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https://depedph-my.sharepoint.com/personal/reamae_ragay_deped_gov_ph/Documents/PROJECTS/"/>
    </mc:Choice>
  </mc:AlternateContent>
  <xr:revisionPtr revIDLastSave="68" documentId="8_{A2D065CD-E703-4FF7-81D0-F28C36108601}" xr6:coauthVersionLast="47" xr6:coauthVersionMax="47" xr10:uidLastSave="{D4ED4AFA-8E07-BF41-83B6-FCA0345941BA}"/>
  <bookViews>
    <workbookView xWindow="0" yWindow="660" windowWidth="29400" windowHeight="16900" activeTab="2" xr2:uid="{770DCDB1-C00C-46E6-B29C-CE01157B6E60}"/>
  </bookViews>
  <sheets>
    <sheet name="DASHBOARD" sheetId="4" r:id="rId1"/>
    <sheet name="PIVOTS" sheetId="3" r:id="rId2"/>
    <sheet name="Coffe_sales" sheetId="2" r:id="rId3"/>
  </sheets>
  <definedNames>
    <definedName name="ExternalData_1" localSheetId="2" hidden="1">'Coffe_sales'!$A$1:$K$3548</definedName>
    <definedName name="Slicer_Month_name">#N/A</definedName>
    <definedName name="Slicer_Time_of_Day">#N/A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L2" i="2" l="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L1010" i="2"/>
  <c r="L1011" i="2"/>
  <c r="L1012" i="2"/>
  <c r="L1013" i="2"/>
  <c r="L1014" i="2"/>
  <c r="L1015" i="2"/>
  <c r="L1016" i="2"/>
  <c r="L1017" i="2"/>
  <c r="L1018" i="2"/>
  <c r="L1019" i="2"/>
  <c r="L1020" i="2"/>
  <c r="L1021" i="2"/>
  <c r="L1022" i="2"/>
  <c r="L1023" i="2"/>
  <c r="L1024" i="2"/>
  <c r="L1025" i="2"/>
  <c r="L1026" i="2"/>
  <c r="L1027" i="2"/>
  <c r="L1028" i="2"/>
  <c r="L1029" i="2"/>
  <c r="L1030" i="2"/>
  <c r="L1031" i="2"/>
  <c r="L1032" i="2"/>
  <c r="L1033" i="2"/>
  <c r="L1034" i="2"/>
  <c r="L1035" i="2"/>
  <c r="L1036" i="2"/>
  <c r="L1037" i="2"/>
  <c r="L1038" i="2"/>
  <c r="L1039" i="2"/>
  <c r="L1040" i="2"/>
  <c r="L1041" i="2"/>
  <c r="L1042" i="2"/>
  <c r="L1043" i="2"/>
  <c r="L1044" i="2"/>
  <c r="L1045" i="2"/>
  <c r="L1046" i="2"/>
  <c r="L1047" i="2"/>
  <c r="L1048" i="2"/>
  <c r="L1049" i="2"/>
  <c r="L1050" i="2"/>
  <c r="L1051" i="2"/>
  <c r="L1052" i="2"/>
  <c r="L1053" i="2"/>
  <c r="L1054" i="2"/>
  <c r="L1055" i="2"/>
  <c r="L1056" i="2"/>
  <c r="L1057" i="2"/>
  <c r="L1058" i="2"/>
  <c r="L1059" i="2"/>
  <c r="L1060" i="2"/>
  <c r="L1061" i="2"/>
  <c r="L1062" i="2"/>
  <c r="L1063" i="2"/>
  <c r="L1064" i="2"/>
  <c r="L1065" i="2"/>
  <c r="L1066" i="2"/>
  <c r="L1067" i="2"/>
  <c r="L1068" i="2"/>
  <c r="L1069" i="2"/>
  <c r="L1070" i="2"/>
  <c r="L1071" i="2"/>
  <c r="L1072" i="2"/>
  <c r="L1073" i="2"/>
  <c r="L1074" i="2"/>
  <c r="L1075" i="2"/>
  <c r="L1076" i="2"/>
  <c r="L1077" i="2"/>
  <c r="L1078" i="2"/>
  <c r="L1079" i="2"/>
  <c r="L1080" i="2"/>
  <c r="L1081" i="2"/>
  <c r="L1082" i="2"/>
  <c r="L1083" i="2"/>
  <c r="L1084" i="2"/>
  <c r="L1085" i="2"/>
  <c r="L1086" i="2"/>
  <c r="L1087" i="2"/>
  <c r="L1088" i="2"/>
  <c r="L1089" i="2"/>
  <c r="L1090" i="2"/>
  <c r="L1091" i="2"/>
  <c r="L1092" i="2"/>
  <c r="L1093" i="2"/>
  <c r="L1094" i="2"/>
  <c r="L1095" i="2"/>
  <c r="L1096" i="2"/>
  <c r="L1097" i="2"/>
  <c r="L1098" i="2"/>
  <c r="L1099" i="2"/>
  <c r="L1100" i="2"/>
  <c r="L1101" i="2"/>
  <c r="L1102" i="2"/>
  <c r="L1103" i="2"/>
  <c r="L1104" i="2"/>
  <c r="L1105" i="2"/>
  <c r="L1106" i="2"/>
  <c r="L1107" i="2"/>
  <c r="L1108" i="2"/>
  <c r="L1109" i="2"/>
  <c r="L1110" i="2"/>
  <c r="L1111" i="2"/>
  <c r="L1112" i="2"/>
  <c r="L1113" i="2"/>
  <c r="L1114" i="2"/>
  <c r="L1115" i="2"/>
  <c r="L1116" i="2"/>
  <c r="L1117" i="2"/>
  <c r="L1118" i="2"/>
  <c r="L1119" i="2"/>
  <c r="L1120" i="2"/>
  <c r="L1121" i="2"/>
  <c r="L1122" i="2"/>
  <c r="L1123" i="2"/>
  <c r="L1124" i="2"/>
  <c r="L1125" i="2"/>
  <c r="L1126" i="2"/>
  <c r="L1127" i="2"/>
  <c r="L1128" i="2"/>
  <c r="L1129" i="2"/>
  <c r="L1130" i="2"/>
  <c r="L1131" i="2"/>
  <c r="L1132" i="2"/>
  <c r="L1133" i="2"/>
  <c r="L1134" i="2"/>
  <c r="L1135" i="2"/>
  <c r="L1136" i="2"/>
  <c r="L1137" i="2"/>
  <c r="L1138" i="2"/>
  <c r="L1139" i="2"/>
  <c r="L1140" i="2"/>
  <c r="L1141" i="2"/>
  <c r="L1142" i="2"/>
  <c r="L1143" i="2"/>
  <c r="L1144" i="2"/>
  <c r="L1145" i="2"/>
  <c r="L1146" i="2"/>
  <c r="L1147" i="2"/>
  <c r="L1148" i="2"/>
  <c r="L1149" i="2"/>
  <c r="L1150" i="2"/>
  <c r="L1151" i="2"/>
  <c r="L1152" i="2"/>
  <c r="L1153" i="2"/>
  <c r="L1154" i="2"/>
  <c r="L1155" i="2"/>
  <c r="L1156" i="2"/>
  <c r="L1157" i="2"/>
  <c r="L1158" i="2"/>
  <c r="L1159" i="2"/>
  <c r="L1160" i="2"/>
  <c r="L1161" i="2"/>
  <c r="L1162" i="2"/>
  <c r="L1163" i="2"/>
  <c r="L1164" i="2"/>
  <c r="L1165" i="2"/>
  <c r="L1166" i="2"/>
  <c r="L1167" i="2"/>
  <c r="L1168" i="2"/>
  <c r="L1169" i="2"/>
  <c r="L1170" i="2"/>
  <c r="L1171" i="2"/>
  <c r="L1172" i="2"/>
  <c r="L1173" i="2"/>
  <c r="L1174" i="2"/>
  <c r="L1175" i="2"/>
  <c r="L1176" i="2"/>
  <c r="L1177" i="2"/>
  <c r="L1178" i="2"/>
  <c r="L1179" i="2"/>
  <c r="L1180" i="2"/>
  <c r="L1181" i="2"/>
  <c r="L1182" i="2"/>
  <c r="L1183" i="2"/>
  <c r="L1184" i="2"/>
  <c r="L1185" i="2"/>
  <c r="L1186" i="2"/>
  <c r="L1187" i="2"/>
  <c r="L1188" i="2"/>
  <c r="L1189" i="2"/>
  <c r="L1190" i="2"/>
  <c r="L1191" i="2"/>
  <c r="L1192" i="2"/>
  <c r="L1193" i="2"/>
  <c r="L1194" i="2"/>
  <c r="L1195" i="2"/>
  <c r="L1196" i="2"/>
  <c r="L1197" i="2"/>
  <c r="L1198" i="2"/>
  <c r="L1199" i="2"/>
  <c r="L1200" i="2"/>
  <c r="L1201" i="2"/>
  <c r="L1202" i="2"/>
  <c r="L1203" i="2"/>
  <c r="L1204" i="2"/>
  <c r="L1205" i="2"/>
  <c r="L1206" i="2"/>
  <c r="L1207" i="2"/>
  <c r="L1208" i="2"/>
  <c r="L1209" i="2"/>
  <c r="L1210" i="2"/>
  <c r="L1211" i="2"/>
  <c r="L1212" i="2"/>
  <c r="L1213" i="2"/>
  <c r="L1214" i="2"/>
  <c r="L1215" i="2"/>
  <c r="L1216" i="2"/>
  <c r="L1217" i="2"/>
  <c r="L1218" i="2"/>
  <c r="L1219" i="2"/>
  <c r="L1220" i="2"/>
  <c r="L1221" i="2"/>
  <c r="L1222" i="2"/>
  <c r="L1223" i="2"/>
  <c r="L1224" i="2"/>
  <c r="L1225" i="2"/>
  <c r="L1226" i="2"/>
  <c r="L1227" i="2"/>
  <c r="L1228" i="2"/>
  <c r="L1229" i="2"/>
  <c r="L1230" i="2"/>
  <c r="L1231" i="2"/>
  <c r="L1232" i="2"/>
  <c r="L1233" i="2"/>
  <c r="L1234" i="2"/>
  <c r="L1235" i="2"/>
  <c r="L1236" i="2"/>
  <c r="L1237" i="2"/>
  <c r="L1238" i="2"/>
  <c r="L1239" i="2"/>
  <c r="L1240" i="2"/>
  <c r="L1241" i="2"/>
  <c r="L1242" i="2"/>
  <c r="L1243" i="2"/>
  <c r="L1244" i="2"/>
  <c r="L1245" i="2"/>
  <c r="L1246" i="2"/>
  <c r="L1247" i="2"/>
  <c r="L1248" i="2"/>
  <c r="L1249" i="2"/>
  <c r="L1250" i="2"/>
  <c r="L1251" i="2"/>
  <c r="L1252" i="2"/>
  <c r="L1253" i="2"/>
  <c r="L1254" i="2"/>
  <c r="L1255" i="2"/>
  <c r="L1256" i="2"/>
  <c r="L1257" i="2"/>
  <c r="L1258" i="2"/>
  <c r="L1259" i="2"/>
  <c r="L1260" i="2"/>
  <c r="L1261" i="2"/>
  <c r="L1262" i="2"/>
  <c r="L1263" i="2"/>
  <c r="L1264" i="2"/>
  <c r="L1265" i="2"/>
  <c r="L1266" i="2"/>
  <c r="L1267" i="2"/>
  <c r="L1268" i="2"/>
  <c r="L1269" i="2"/>
  <c r="L1270" i="2"/>
  <c r="L1271" i="2"/>
  <c r="L1272" i="2"/>
  <c r="L1273" i="2"/>
  <c r="L1274" i="2"/>
  <c r="L1275" i="2"/>
  <c r="L1276" i="2"/>
  <c r="L1277" i="2"/>
  <c r="L1278" i="2"/>
  <c r="L1279" i="2"/>
  <c r="L1280" i="2"/>
  <c r="L1281" i="2"/>
  <c r="L1282" i="2"/>
  <c r="L1283" i="2"/>
  <c r="L1284" i="2"/>
  <c r="L1285" i="2"/>
  <c r="L1286" i="2"/>
  <c r="L1287" i="2"/>
  <c r="L1288" i="2"/>
  <c r="L1289" i="2"/>
  <c r="L1290" i="2"/>
  <c r="L1291" i="2"/>
  <c r="L1292" i="2"/>
  <c r="L1293" i="2"/>
  <c r="L1294" i="2"/>
  <c r="L1295" i="2"/>
  <c r="L1296" i="2"/>
  <c r="L1297" i="2"/>
  <c r="L1298" i="2"/>
  <c r="L1299" i="2"/>
  <c r="L1300" i="2"/>
  <c r="L1301" i="2"/>
  <c r="L1302" i="2"/>
  <c r="L1303" i="2"/>
  <c r="L1304" i="2"/>
  <c r="L1305" i="2"/>
  <c r="L1306" i="2"/>
  <c r="L1307" i="2"/>
  <c r="L1308" i="2"/>
  <c r="L1309" i="2"/>
  <c r="L1310" i="2"/>
  <c r="L1311" i="2"/>
  <c r="L1312" i="2"/>
  <c r="L1313" i="2"/>
  <c r="L1314" i="2"/>
  <c r="L1315" i="2"/>
  <c r="L1316" i="2"/>
  <c r="L1317" i="2"/>
  <c r="L1318" i="2"/>
  <c r="L1319" i="2"/>
  <c r="L1320" i="2"/>
  <c r="L1321" i="2"/>
  <c r="L1322" i="2"/>
  <c r="L1323" i="2"/>
  <c r="L1324" i="2"/>
  <c r="L1325" i="2"/>
  <c r="L1326" i="2"/>
  <c r="L1327" i="2"/>
  <c r="L1328" i="2"/>
  <c r="L1329" i="2"/>
  <c r="L1330" i="2"/>
  <c r="L1331" i="2"/>
  <c r="L1332" i="2"/>
  <c r="L1333" i="2"/>
  <c r="L1334" i="2"/>
  <c r="L1335" i="2"/>
  <c r="L1336" i="2"/>
  <c r="L1337" i="2"/>
  <c r="L1338" i="2"/>
  <c r="L1339" i="2"/>
  <c r="L1340" i="2"/>
  <c r="L1341" i="2"/>
  <c r="L1342" i="2"/>
  <c r="L1343" i="2"/>
  <c r="L1344" i="2"/>
  <c r="L1345" i="2"/>
  <c r="L1346" i="2"/>
  <c r="L1347" i="2"/>
  <c r="L1348" i="2"/>
  <c r="L1349" i="2"/>
  <c r="L1350" i="2"/>
  <c r="L1351" i="2"/>
  <c r="L1352" i="2"/>
  <c r="L1353" i="2"/>
  <c r="L1354" i="2"/>
  <c r="L1355" i="2"/>
  <c r="L1356" i="2"/>
  <c r="L1357" i="2"/>
  <c r="L1358" i="2"/>
  <c r="L1359" i="2"/>
  <c r="L1360" i="2"/>
  <c r="L1361" i="2"/>
  <c r="L1362" i="2"/>
  <c r="L1363" i="2"/>
  <c r="L1364" i="2"/>
  <c r="L1365" i="2"/>
  <c r="L1366" i="2"/>
  <c r="L1367" i="2"/>
  <c r="L1368" i="2"/>
  <c r="L1369" i="2"/>
  <c r="L1370" i="2"/>
  <c r="L1371" i="2"/>
  <c r="L1372" i="2"/>
  <c r="L1373" i="2"/>
  <c r="L1374" i="2"/>
  <c r="L1375" i="2"/>
  <c r="L1376" i="2"/>
  <c r="L1377" i="2"/>
  <c r="L1378" i="2"/>
  <c r="L1379" i="2"/>
  <c r="L1380" i="2"/>
  <c r="L1381" i="2"/>
  <c r="L1382" i="2"/>
  <c r="L1383" i="2"/>
  <c r="L1384" i="2"/>
  <c r="L1385" i="2"/>
  <c r="L1386" i="2"/>
  <c r="L1387" i="2"/>
  <c r="L1388" i="2"/>
  <c r="L1389" i="2"/>
  <c r="L1390" i="2"/>
  <c r="L1391" i="2"/>
  <c r="L1392" i="2"/>
  <c r="L1393" i="2"/>
  <c r="L1394" i="2"/>
  <c r="L1395" i="2"/>
  <c r="L1396" i="2"/>
  <c r="L1397" i="2"/>
  <c r="L1398" i="2"/>
  <c r="L1399" i="2"/>
  <c r="L1400" i="2"/>
  <c r="L1401" i="2"/>
  <c r="L1402" i="2"/>
  <c r="L1403" i="2"/>
  <c r="L1404" i="2"/>
  <c r="L1405" i="2"/>
  <c r="L1406" i="2"/>
  <c r="L1407" i="2"/>
  <c r="L1408" i="2"/>
  <c r="L1409" i="2"/>
  <c r="L1410" i="2"/>
  <c r="L1411" i="2"/>
  <c r="L1412" i="2"/>
  <c r="L1413" i="2"/>
  <c r="L1414" i="2"/>
  <c r="L1415" i="2"/>
  <c r="L1416" i="2"/>
  <c r="L1417" i="2"/>
  <c r="L1418" i="2"/>
  <c r="L1419" i="2"/>
  <c r="L1420" i="2"/>
  <c r="L1421" i="2"/>
  <c r="L1422" i="2"/>
  <c r="L1423" i="2"/>
  <c r="L1424" i="2"/>
  <c r="L1425" i="2"/>
  <c r="L1426" i="2"/>
  <c r="L1427" i="2"/>
  <c r="L1428" i="2"/>
  <c r="L1429" i="2"/>
  <c r="L1430" i="2"/>
  <c r="L1431" i="2"/>
  <c r="L1432" i="2"/>
  <c r="L1433" i="2"/>
  <c r="L1434" i="2"/>
  <c r="L1435" i="2"/>
  <c r="L1436" i="2"/>
  <c r="L1437" i="2"/>
  <c r="L1438" i="2"/>
  <c r="L1439" i="2"/>
  <c r="L1440" i="2"/>
  <c r="L1441" i="2"/>
  <c r="L1442" i="2"/>
  <c r="L1443" i="2"/>
  <c r="L1444" i="2"/>
  <c r="L1445" i="2"/>
  <c r="L1446" i="2"/>
  <c r="L1447" i="2"/>
  <c r="L1448" i="2"/>
  <c r="L1449" i="2"/>
  <c r="L1450" i="2"/>
  <c r="L1451" i="2"/>
  <c r="L1452" i="2"/>
  <c r="L1453" i="2"/>
  <c r="L1454" i="2"/>
  <c r="L1455" i="2"/>
  <c r="L1456" i="2"/>
  <c r="L1457" i="2"/>
  <c r="L1458" i="2"/>
  <c r="L1459" i="2"/>
  <c r="L1460" i="2"/>
  <c r="L1461" i="2"/>
  <c r="L1462" i="2"/>
  <c r="L1463" i="2"/>
  <c r="L1464" i="2"/>
  <c r="L1465" i="2"/>
  <c r="L1466" i="2"/>
  <c r="L1467" i="2"/>
  <c r="L1468" i="2"/>
  <c r="L1469" i="2"/>
  <c r="L1470" i="2"/>
  <c r="L1471" i="2"/>
  <c r="L1472" i="2"/>
  <c r="L1473" i="2"/>
  <c r="L1474" i="2"/>
  <c r="L1475" i="2"/>
  <c r="L1476" i="2"/>
  <c r="L1477" i="2"/>
  <c r="L1478" i="2"/>
  <c r="L1479" i="2"/>
  <c r="L1480" i="2"/>
  <c r="L1481" i="2"/>
  <c r="L1482" i="2"/>
  <c r="L1483" i="2"/>
  <c r="L1484" i="2"/>
  <c r="L1485" i="2"/>
  <c r="L1486" i="2"/>
  <c r="L1487" i="2"/>
  <c r="L1488" i="2"/>
  <c r="L1489" i="2"/>
  <c r="L1490" i="2"/>
  <c r="L1491" i="2"/>
  <c r="L1492" i="2"/>
  <c r="L1493" i="2"/>
  <c r="L1494" i="2"/>
  <c r="L1495" i="2"/>
  <c r="L1496" i="2"/>
  <c r="L1497" i="2"/>
  <c r="L1498" i="2"/>
  <c r="L1499" i="2"/>
  <c r="L1500" i="2"/>
  <c r="L1501" i="2"/>
  <c r="L1502" i="2"/>
  <c r="L1503" i="2"/>
  <c r="L1504" i="2"/>
  <c r="L1505" i="2"/>
  <c r="L1506" i="2"/>
  <c r="L1507" i="2"/>
  <c r="L1508" i="2"/>
  <c r="L1509" i="2"/>
  <c r="L1510" i="2"/>
  <c r="L1511" i="2"/>
  <c r="L1512" i="2"/>
  <c r="L1513" i="2"/>
  <c r="L1514" i="2"/>
  <c r="L1515" i="2"/>
  <c r="L1516" i="2"/>
  <c r="L1517" i="2"/>
  <c r="L1518" i="2"/>
  <c r="L1519" i="2"/>
  <c r="L1520" i="2"/>
  <c r="L1521" i="2"/>
  <c r="L1522" i="2"/>
  <c r="L1523" i="2"/>
  <c r="L1524" i="2"/>
  <c r="L1525" i="2"/>
  <c r="L1526" i="2"/>
  <c r="L1527" i="2"/>
  <c r="L1528" i="2"/>
  <c r="L1529" i="2"/>
  <c r="L1530" i="2"/>
  <c r="L1531" i="2"/>
  <c r="L1532" i="2"/>
  <c r="L1533" i="2"/>
  <c r="L1534" i="2"/>
  <c r="L1535" i="2"/>
  <c r="L1536" i="2"/>
  <c r="L1537" i="2"/>
  <c r="L1538" i="2"/>
  <c r="L1539" i="2"/>
  <c r="L1540" i="2"/>
  <c r="L1541" i="2"/>
  <c r="L1542" i="2"/>
  <c r="L1543" i="2"/>
  <c r="L1544" i="2"/>
  <c r="L1545" i="2"/>
  <c r="L1546" i="2"/>
  <c r="L1547" i="2"/>
  <c r="L1548" i="2"/>
  <c r="L1549" i="2"/>
  <c r="L1550" i="2"/>
  <c r="L1551" i="2"/>
  <c r="L1552" i="2"/>
  <c r="L1553" i="2"/>
  <c r="L1554" i="2"/>
  <c r="L1555" i="2"/>
  <c r="L1556" i="2"/>
  <c r="L1557" i="2"/>
  <c r="L1558" i="2"/>
  <c r="L1559" i="2"/>
  <c r="L1560" i="2"/>
  <c r="L1561" i="2"/>
  <c r="L1562" i="2"/>
  <c r="L1563" i="2"/>
  <c r="L1564" i="2"/>
  <c r="L1565" i="2"/>
  <c r="L1566" i="2"/>
  <c r="L1567" i="2"/>
  <c r="L1568" i="2"/>
  <c r="L1569" i="2"/>
  <c r="L1570" i="2"/>
  <c r="L1571" i="2"/>
  <c r="L1572" i="2"/>
  <c r="L1573" i="2"/>
  <c r="L1574" i="2"/>
  <c r="L1575" i="2"/>
  <c r="L1576" i="2"/>
  <c r="L1577" i="2"/>
  <c r="L1578" i="2"/>
  <c r="L1579" i="2"/>
  <c r="L1580" i="2"/>
  <c r="L1581" i="2"/>
  <c r="L1582" i="2"/>
  <c r="L1583" i="2"/>
  <c r="L1584" i="2"/>
  <c r="L1585" i="2"/>
  <c r="L1586" i="2"/>
  <c r="L1587" i="2"/>
  <c r="L1588" i="2"/>
  <c r="L1589" i="2"/>
  <c r="L1590" i="2"/>
  <c r="L1591" i="2"/>
  <c r="L1592" i="2"/>
  <c r="L1593" i="2"/>
  <c r="L1594" i="2"/>
  <c r="L1595" i="2"/>
  <c r="L1596" i="2"/>
  <c r="L1597" i="2"/>
  <c r="L1598" i="2"/>
  <c r="L1599" i="2"/>
  <c r="L1600" i="2"/>
  <c r="L1601" i="2"/>
  <c r="L1602" i="2"/>
  <c r="L1603" i="2"/>
  <c r="L1604" i="2"/>
  <c r="L1605" i="2"/>
  <c r="L1606" i="2"/>
  <c r="L1607" i="2"/>
  <c r="L1608" i="2"/>
  <c r="L1609" i="2"/>
  <c r="L1610" i="2"/>
  <c r="L1611" i="2"/>
  <c r="L1612" i="2"/>
  <c r="L1613" i="2"/>
  <c r="L1614" i="2"/>
  <c r="L1615" i="2"/>
  <c r="L1616" i="2"/>
  <c r="L1617" i="2"/>
  <c r="L1618" i="2"/>
  <c r="L1619" i="2"/>
  <c r="L1620" i="2"/>
  <c r="L1621" i="2"/>
  <c r="L1622" i="2"/>
  <c r="L1623" i="2"/>
  <c r="L1624" i="2"/>
  <c r="L1625" i="2"/>
  <c r="L1626" i="2"/>
  <c r="L1627" i="2"/>
  <c r="L1628" i="2"/>
  <c r="L1629" i="2"/>
  <c r="L1630" i="2"/>
  <c r="L1631" i="2"/>
  <c r="L1632" i="2"/>
  <c r="L1633" i="2"/>
  <c r="L1634" i="2"/>
  <c r="L1635" i="2"/>
  <c r="L1636" i="2"/>
  <c r="L1637" i="2"/>
  <c r="L1638" i="2"/>
  <c r="L1639" i="2"/>
  <c r="L1640" i="2"/>
  <c r="L1641" i="2"/>
  <c r="L1642" i="2"/>
  <c r="L1643" i="2"/>
  <c r="L1644" i="2"/>
  <c r="L1645" i="2"/>
  <c r="L1646" i="2"/>
  <c r="L1647" i="2"/>
  <c r="L1648" i="2"/>
  <c r="L1649" i="2"/>
  <c r="L1650" i="2"/>
  <c r="L1651" i="2"/>
  <c r="L1652" i="2"/>
  <c r="L1653" i="2"/>
  <c r="L1654" i="2"/>
  <c r="L1655" i="2"/>
  <c r="L1656" i="2"/>
  <c r="L1657" i="2"/>
  <c r="L1658" i="2"/>
  <c r="L1659" i="2"/>
  <c r="L1660" i="2"/>
  <c r="L1661" i="2"/>
  <c r="L1662" i="2"/>
  <c r="L1663" i="2"/>
  <c r="L1664" i="2"/>
  <c r="L1665" i="2"/>
  <c r="L1666" i="2"/>
  <c r="L1667" i="2"/>
  <c r="L1668" i="2"/>
  <c r="L1669" i="2"/>
  <c r="L1670" i="2"/>
  <c r="L1671" i="2"/>
  <c r="L1672" i="2"/>
  <c r="L1673" i="2"/>
  <c r="L1674" i="2"/>
  <c r="L1675" i="2"/>
  <c r="L1676" i="2"/>
  <c r="L1677" i="2"/>
  <c r="L1678" i="2"/>
  <c r="L1679" i="2"/>
  <c r="L1680" i="2"/>
  <c r="L1681" i="2"/>
  <c r="L1682" i="2"/>
  <c r="L1683" i="2"/>
  <c r="L1684" i="2"/>
  <c r="L1685" i="2"/>
  <c r="L1686" i="2"/>
  <c r="L1687" i="2"/>
  <c r="L1688" i="2"/>
  <c r="L1689" i="2"/>
  <c r="L1690" i="2"/>
  <c r="L1691" i="2"/>
  <c r="L1692" i="2"/>
  <c r="L1693" i="2"/>
  <c r="L1694" i="2"/>
  <c r="L1695" i="2"/>
  <c r="L1696" i="2"/>
  <c r="L1697" i="2"/>
  <c r="L1698" i="2"/>
  <c r="L1699" i="2"/>
  <c r="L1700" i="2"/>
  <c r="L1701" i="2"/>
  <c r="L1702" i="2"/>
  <c r="L1703" i="2"/>
  <c r="L1704" i="2"/>
  <c r="L1705" i="2"/>
  <c r="L1706" i="2"/>
  <c r="L1707" i="2"/>
  <c r="L1708" i="2"/>
  <c r="L1709" i="2"/>
  <c r="L1710" i="2"/>
  <c r="L1711" i="2"/>
  <c r="L1712" i="2"/>
  <c r="L1713" i="2"/>
  <c r="L1714" i="2"/>
  <c r="L1715" i="2"/>
  <c r="L1716" i="2"/>
  <c r="L1717" i="2"/>
  <c r="L1718" i="2"/>
  <c r="L1719" i="2"/>
  <c r="L1720" i="2"/>
  <c r="L1721" i="2"/>
  <c r="L1722" i="2"/>
  <c r="L1723" i="2"/>
  <c r="L1724" i="2"/>
  <c r="L1725" i="2"/>
  <c r="L1726" i="2"/>
  <c r="L1727" i="2"/>
  <c r="L1728" i="2"/>
  <c r="L1729" i="2"/>
  <c r="L1730" i="2"/>
  <c r="L1731" i="2"/>
  <c r="L1732" i="2"/>
  <c r="L1733" i="2"/>
  <c r="L1734" i="2"/>
  <c r="L1735" i="2"/>
  <c r="L1736" i="2"/>
  <c r="L1737" i="2"/>
  <c r="L1738" i="2"/>
  <c r="L1739" i="2"/>
  <c r="L1740" i="2"/>
  <c r="L1741" i="2"/>
  <c r="L1742" i="2"/>
  <c r="L1743" i="2"/>
  <c r="L1744" i="2"/>
  <c r="L1745" i="2"/>
  <c r="L1746" i="2"/>
  <c r="L1747" i="2"/>
  <c r="L1748" i="2"/>
  <c r="L1749" i="2"/>
  <c r="L1750" i="2"/>
  <c r="L1751" i="2"/>
  <c r="L1752" i="2"/>
  <c r="L1753" i="2"/>
  <c r="L1754" i="2"/>
  <c r="L1755" i="2"/>
  <c r="L1756" i="2"/>
  <c r="L1757" i="2"/>
  <c r="L1758" i="2"/>
  <c r="L1759" i="2"/>
  <c r="L1760" i="2"/>
  <c r="L1761" i="2"/>
  <c r="L1762" i="2"/>
  <c r="L1763" i="2"/>
  <c r="L1764" i="2"/>
  <c r="L1765" i="2"/>
  <c r="L1766" i="2"/>
  <c r="L1767" i="2"/>
  <c r="L1768" i="2"/>
  <c r="L1769" i="2"/>
  <c r="L1770" i="2"/>
  <c r="L1771" i="2"/>
  <c r="L1772" i="2"/>
  <c r="L1773" i="2"/>
  <c r="L1774" i="2"/>
  <c r="L1775" i="2"/>
  <c r="L1776" i="2"/>
  <c r="L1777" i="2"/>
  <c r="L1778" i="2"/>
  <c r="L1779" i="2"/>
  <c r="L1780" i="2"/>
  <c r="L1781" i="2"/>
  <c r="L1782" i="2"/>
  <c r="L1783" i="2"/>
  <c r="L1784" i="2"/>
  <c r="L1785" i="2"/>
  <c r="L1786" i="2"/>
  <c r="L1787" i="2"/>
  <c r="L1788" i="2"/>
  <c r="L1789" i="2"/>
  <c r="L1790" i="2"/>
  <c r="L1791" i="2"/>
  <c r="L1792" i="2"/>
  <c r="L1793" i="2"/>
  <c r="L1794" i="2"/>
  <c r="L1795" i="2"/>
  <c r="L1796" i="2"/>
  <c r="L1797" i="2"/>
  <c r="L1798" i="2"/>
  <c r="L1799" i="2"/>
  <c r="L1800" i="2"/>
  <c r="L1801" i="2"/>
  <c r="L1802" i="2"/>
  <c r="L1803" i="2"/>
  <c r="L1804" i="2"/>
  <c r="L1805" i="2"/>
  <c r="L1806" i="2"/>
  <c r="L1807" i="2"/>
  <c r="L1808" i="2"/>
  <c r="L1809" i="2"/>
  <c r="L1810" i="2"/>
  <c r="L1811" i="2"/>
  <c r="L1812" i="2"/>
  <c r="L1813" i="2"/>
  <c r="L1814" i="2"/>
  <c r="L1815" i="2"/>
  <c r="L1816" i="2"/>
  <c r="L1817" i="2"/>
  <c r="L1818" i="2"/>
  <c r="L1819" i="2"/>
  <c r="L1820" i="2"/>
  <c r="L1821" i="2"/>
  <c r="L1822" i="2"/>
  <c r="L1823" i="2"/>
  <c r="L1824" i="2"/>
  <c r="L1825" i="2"/>
  <c r="L1826" i="2"/>
  <c r="L1827" i="2"/>
  <c r="L1828" i="2"/>
  <c r="L1829" i="2"/>
  <c r="L1830" i="2"/>
  <c r="L1831" i="2"/>
  <c r="L1832" i="2"/>
  <c r="L1833" i="2"/>
  <c r="L1834" i="2"/>
  <c r="L1835" i="2"/>
  <c r="L1836" i="2"/>
  <c r="L1837" i="2"/>
  <c r="L1838" i="2"/>
  <c r="L1839" i="2"/>
  <c r="L1840" i="2"/>
  <c r="L1841" i="2"/>
  <c r="L1842" i="2"/>
  <c r="L1843" i="2"/>
  <c r="L1844" i="2"/>
  <c r="L1845" i="2"/>
  <c r="L1846" i="2"/>
  <c r="L1847" i="2"/>
  <c r="L1848" i="2"/>
  <c r="L1849" i="2"/>
  <c r="L1850" i="2"/>
  <c r="L1851" i="2"/>
  <c r="L1852" i="2"/>
  <c r="L1853" i="2"/>
  <c r="L1854" i="2"/>
  <c r="L1855" i="2"/>
  <c r="L1856" i="2"/>
  <c r="L1857" i="2"/>
  <c r="L1858" i="2"/>
  <c r="L1859" i="2"/>
  <c r="L1860" i="2"/>
  <c r="L1861" i="2"/>
  <c r="L1862" i="2"/>
  <c r="L1863" i="2"/>
  <c r="L1864" i="2"/>
  <c r="L1865" i="2"/>
  <c r="L1866" i="2"/>
  <c r="L1867" i="2"/>
  <c r="L1868" i="2"/>
  <c r="L1869" i="2"/>
  <c r="L1870" i="2"/>
  <c r="L1871" i="2"/>
  <c r="L1872" i="2"/>
  <c r="L1873" i="2"/>
  <c r="L1874" i="2"/>
  <c r="L1875" i="2"/>
  <c r="L1876" i="2"/>
  <c r="L1877" i="2"/>
  <c r="L1878" i="2"/>
  <c r="L1879" i="2"/>
  <c r="L1880" i="2"/>
  <c r="L1881" i="2"/>
  <c r="L1882" i="2"/>
  <c r="L1883" i="2"/>
  <c r="L1884" i="2"/>
  <c r="L1885" i="2"/>
  <c r="L1886" i="2"/>
  <c r="L1887" i="2"/>
  <c r="L1888" i="2"/>
  <c r="L1889" i="2"/>
  <c r="L1890" i="2"/>
  <c r="L1891" i="2"/>
  <c r="L1892" i="2"/>
  <c r="L1893" i="2"/>
  <c r="L1894" i="2"/>
  <c r="L1895" i="2"/>
  <c r="L1896" i="2"/>
  <c r="L1897" i="2"/>
  <c r="L1898" i="2"/>
  <c r="L1899" i="2"/>
  <c r="L1900" i="2"/>
  <c r="L1901" i="2"/>
  <c r="L1902" i="2"/>
  <c r="L1903" i="2"/>
  <c r="L1904" i="2"/>
  <c r="L1905" i="2"/>
  <c r="L1906" i="2"/>
  <c r="L1907" i="2"/>
  <c r="L1908" i="2"/>
  <c r="L1909" i="2"/>
  <c r="L1910" i="2"/>
  <c r="L1911" i="2"/>
  <c r="L1912" i="2"/>
  <c r="L1913" i="2"/>
  <c r="L1914" i="2"/>
  <c r="L1915" i="2"/>
  <c r="L1916" i="2"/>
  <c r="L1917" i="2"/>
  <c r="L1918" i="2"/>
  <c r="L1919" i="2"/>
  <c r="L1920" i="2"/>
  <c r="L1921" i="2"/>
  <c r="L1922" i="2"/>
  <c r="L1923" i="2"/>
  <c r="L1924" i="2"/>
  <c r="L1925" i="2"/>
  <c r="L1926" i="2"/>
  <c r="L1927" i="2"/>
  <c r="L1928" i="2"/>
  <c r="L1929" i="2"/>
  <c r="L1930" i="2"/>
  <c r="L1931" i="2"/>
  <c r="L1932" i="2"/>
  <c r="L1933" i="2"/>
  <c r="L1934" i="2"/>
  <c r="L1935" i="2"/>
  <c r="L1936" i="2"/>
  <c r="L1937" i="2"/>
  <c r="L1938" i="2"/>
  <c r="L1939" i="2"/>
  <c r="L1940" i="2"/>
  <c r="L1941" i="2"/>
  <c r="L1942" i="2"/>
  <c r="L1943" i="2"/>
  <c r="L1944" i="2"/>
  <c r="L1945" i="2"/>
  <c r="L1946" i="2"/>
  <c r="L1947" i="2"/>
  <c r="L1948" i="2"/>
  <c r="L1949" i="2"/>
  <c r="L1950" i="2"/>
  <c r="L1951" i="2"/>
  <c r="L1952" i="2"/>
  <c r="L1953" i="2"/>
  <c r="L1954" i="2"/>
  <c r="L1955" i="2"/>
  <c r="L1956" i="2"/>
  <c r="L1957" i="2"/>
  <c r="L1958" i="2"/>
  <c r="L1959" i="2"/>
  <c r="L1960" i="2"/>
  <c r="L1961" i="2"/>
  <c r="L1962" i="2"/>
  <c r="L1963" i="2"/>
  <c r="L1964" i="2"/>
  <c r="L1965" i="2"/>
  <c r="L1966" i="2"/>
  <c r="L1967" i="2"/>
  <c r="L1968" i="2"/>
  <c r="L1969" i="2"/>
  <c r="L1970" i="2"/>
  <c r="L1971" i="2"/>
  <c r="L1972" i="2"/>
  <c r="L1973" i="2"/>
  <c r="L1974" i="2"/>
  <c r="L1975" i="2"/>
  <c r="L1976" i="2"/>
  <c r="L1977" i="2"/>
  <c r="L1978" i="2"/>
  <c r="L1979" i="2"/>
  <c r="L1980" i="2"/>
  <c r="L1981" i="2"/>
  <c r="L1982" i="2"/>
  <c r="L1983" i="2"/>
  <c r="L1984" i="2"/>
  <c r="L1985" i="2"/>
  <c r="L1986" i="2"/>
  <c r="L1987" i="2"/>
  <c r="L1988" i="2"/>
  <c r="L1989" i="2"/>
  <c r="L1990" i="2"/>
  <c r="L1991" i="2"/>
  <c r="L1992" i="2"/>
  <c r="L1993" i="2"/>
  <c r="L1994" i="2"/>
  <c r="L1995" i="2"/>
  <c r="L1996" i="2"/>
  <c r="L1997" i="2"/>
  <c r="L1998" i="2"/>
  <c r="L1999" i="2"/>
  <c r="L2000" i="2"/>
  <c r="L2001" i="2"/>
  <c r="L2002" i="2"/>
  <c r="L2003" i="2"/>
  <c r="L2004" i="2"/>
  <c r="L2005" i="2"/>
  <c r="L2006" i="2"/>
  <c r="L2007" i="2"/>
  <c r="L2008" i="2"/>
  <c r="L2009" i="2"/>
  <c r="L2010" i="2"/>
  <c r="L2011" i="2"/>
  <c r="L2012" i="2"/>
  <c r="L2013" i="2"/>
  <c r="L2014" i="2"/>
  <c r="L2015" i="2"/>
  <c r="L2016" i="2"/>
  <c r="L2017" i="2"/>
  <c r="L2018" i="2"/>
  <c r="L2019" i="2"/>
  <c r="L2020" i="2"/>
  <c r="L2021" i="2"/>
  <c r="L2022" i="2"/>
  <c r="L2023" i="2"/>
  <c r="L2024" i="2"/>
  <c r="L2025" i="2"/>
  <c r="L2026" i="2"/>
  <c r="L2027" i="2"/>
  <c r="L2028" i="2"/>
  <c r="L2029" i="2"/>
  <c r="L2030" i="2"/>
  <c r="L2031" i="2"/>
  <c r="L2032" i="2"/>
  <c r="L2033" i="2"/>
  <c r="L2034" i="2"/>
  <c r="L2035" i="2"/>
  <c r="L2036" i="2"/>
  <c r="L2037" i="2"/>
  <c r="L2038" i="2"/>
  <c r="L2039" i="2"/>
  <c r="L2040" i="2"/>
  <c r="L2041" i="2"/>
  <c r="L2042" i="2"/>
  <c r="L2043" i="2"/>
  <c r="L2044" i="2"/>
  <c r="L2045" i="2"/>
  <c r="L2046" i="2"/>
  <c r="L2047" i="2"/>
  <c r="L2048" i="2"/>
  <c r="L2049" i="2"/>
  <c r="L2050" i="2"/>
  <c r="L2051" i="2"/>
  <c r="L2052" i="2"/>
  <c r="L2053" i="2"/>
  <c r="L2054" i="2"/>
  <c r="L2055" i="2"/>
  <c r="L2056" i="2"/>
  <c r="L2057" i="2"/>
  <c r="L2058" i="2"/>
  <c r="L2059" i="2"/>
  <c r="L2060" i="2"/>
  <c r="L2061" i="2"/>
  <c r="L2062" i="2"/>
  <c r="L2063" i="2"/>
  <c r="L2064" i="2"/>
  <c r="L2065" i="2"/>
  <c r="L2066" i="2"/>
  <c r="L2067" i="2"/>
  <c r="L2068" i="2"/>
  <c r="L2069" i="2"/>
  <c r="L2070" i="2"/>
  <c r="L2071" i="2"/>
  <c r="L2072" i="2"/>
  <c r="L2073" i="2"/>
  <c r="L2074" i="2"/>
  <c r="L2075" i="2"/>
  <c r="L2076" i="2"/>
  <c r="L2077" i="2"/>
  <c r="L2078" i="2"/>
  <c r="L2079" i="2"/>
  <c r="L2080" i="2"/>
  <c r="L2081" i="2"/>
  <c r="L2082" i="2"/>
  <c r="L2083" i="2"/>
  <c r="L2084" i="2"/>
  <c r="L2085" i="2"/>
  <c r="L2086" i="2"/>
  <c r="L2087" i="2"/>
  <c r="L2088" i="2"/>
  <c r="L2089" i="2"/>
  <c r="L2090" i="2"/>
  <c r="L2091" i="2"/>
  <c r="L2092" i="2"/>
  <c r="L2093" i="2"/>
  <c r="L2094" i="2"/>
  <c r="L2095" i="2"/>
  <c r="L2096" i="2"/>
  <c r="L2097" i="2"/>
  <c r="L2098" i="2"/>
  <c r="L2099" i="2"/>
  <c r="L2100" i="2"/>
  <c r="L2101" i="2"/>
  <c r="L2102" i="2"/>
  <c r="L2103" i="2"/>
  <c r="L2104" i="2"/>
  <c r="L2105" i="2"/>
  <c r="L2106" i="2"/>
  <c r="L2107" i="2"/>
  <c r="L2108" i="2"/>
  <c r="L2109" i="2"/>
  <c r="L2110" i="2"/>
  <c r="L2111" i="2"/>
  <c r="L2112" i="2"/>
  <c r="L2113" i="2"/>
  <c r="L2114" i="2"/>
  <c r="L2115" i="2"/>
  <c r="L2116" i="2"/>
  <c r="L2117" i="2"/>
  <c r="L2118" i="2"/>
  <c r="L2119" i="2"/>
  <c r="L2120" i="2"/>
  <c r="L2121" i="2"/>
  <c r="L2122" i="2"/>
  <c r="L2123" i="2"/>
  <c r="L2124" i="2"/>
  <c r="L2125" i="2"/>
  <c r="L2126" i="2"/>
  <c r="L2127" i="2"/>
  <c r="L2128" i="2"/>
  <c r="L2129" i="2"/>
  <c r="L2130" i="2"/>
  <c r="L2131" i="2"/>
  <c r="L2132" i="2"/>
  <c r="L2133" i="2"/>
  <c r="L2134" i="2"/>
  <c r="L2135" i="2"/>
  <c r="L2136" i="2"/>
  <c r="L2137" i="2"/>
  <c r="L2138" i="2"/>
  <c r="L2139" i="2"/>
  <c r="L2140" i="2"/>
  <c r="L2141" i="2"/>
  <c r="L2142" i="2"/>
  <c r="L2143" i="2"/>
  <c r="L2144" i="2"/>
  <c r="L2145" i="2"/>
  <c r="L2146" i="2"/>
  <c r="L2147" i="2"/>
  <c r="L2148" i="2"/>
  <c r="L2149" i="2"/>
  <c r="L2150" i="2"/>
  <c r="L2151" i="2"/>
  <c r="L2152" i="2"/>
  <c r="L2153" i="2"/>
  <c r="L2154" i="2"/>
  <c r="L2155" i="2"/>
  <c r="L2156" i="2"/>
  <c r="L2157" i="2"/>
  <c r="L2158" i="2"/>
  <c r="L2159" i="2"/>
  <c r="L2160" i="2"/>
  <c r="L2161" i="2"/>
  <c r="L2162" i="2"/>
  <c r="L2163" i="2"/>
  <c r="L2164" i="2"/>
  <c r="L2165" i="2"/>
  <c r="L2166" i="2"/>
  <c r="L2167" i="2"/>
  <c r="L2168" i="2"/>
  <c r="L2169" i="2"/>
  <c r="L2170" i="2"/>
  <c r="L2171" i="2"/>
  <c r="L2172" i="2"/>
  <c r="L2173" i="2"/>
  <c r="L2174" i="2"/>
  <c r="L2175" i="2"/>
  <c r="L2176" i="2"/>
  <c r="L2177" i="2"/>
  <c r="L2178" i="2"/>
  <c r="L2179" i="2"/>
  <c r="L2180" i="2"/>
  <c r="L2181" i="2"/>
  <c r="L2182" i="2"/>
  <c r="L2183" i="2"/>
  <c r="L2184" i="2"/>
  <c r="L2185" i="2"/>
  <c r="L2186" i="2"/>
  <c r="L2187" i="2"/>
  <c r="L2188" i="2"/>
  <c r="L2189" i="2"/>
  <c r="L2190" i="2"/>
  <c r="L2191" i="2"/>
  <c r="L2192" i="2"/>
  <c r="L2193" i="2"/>
  <c r="L2194" i="2"/>
  <c r="L2195" i="2"/>
  <c r="L2196" i="2"/>
  <c r="L2197" i="2"/>
  <c r="L2198" i="2"/>
  <c r="L2199" i="2"/>
  <c r="L2200" i="2"/>
  <c r="L2201" i="2"/>
  <c r="L2202" i="2"/>
  <c r="L2203" i="2"/>
  <c r="L2204" i="2"/>
  <c r="L2205" i="2"/>
  <c r="L2206" i="2"/>
  <c r="L2207" i="2"/>
  <c r="L2208" i="2"/>
  <c r="L2209" i="2"/>
  <c r="L2210" i="2"/>
  <c r="L2211" i="2"/>
  <c r="L2212" i="2"/>
  <c r="L2213" i="2"/>
  <c r="L2214" i="2"/>
  <c r="L2215" i="2"/>
  <c r="L2216" i="2"/>
  <c r="L2217" i="2"/>
  <c r="L2218" i="2"/>
  <c r="L2219" i="2"/>
  <c r="L2220" i="2"/>
  <c r="L2221" i="2"/>
  <c r="L2222" i="2"/>
  <c r="L2223" i="2"/>
  <c r="L2224" i="2"/>
  <c r="L2225" i="2"/>
  <c r="L2226" i="2"/>
  <c r="L2227" i="2"/>
  <c r="L2228" i="2"/>
  <c r="L2229" i="2"/>
  <c r="L2230" i="2"/>
  <c r="L2231" i="2"/>
  <c r="L2232" i="2"/>
  <c r="L2233" i="2"/>
  <c r="L2234" i="2"/>
  <c r="L2235" i="2"/>
  <c r="L2236" i="2"/>
  <c r="L2237" i="2"/>
  <c r="L2238" i="2"/>
  <c r="L2239" i="2"/>
  <c r="L2240" i="2"/>
  <c r="L2241" i="2"/>
  <c r="L2242" i="2"/>
  <c r="L2243" i="2"/>
  <c r="L2244" i="2"/>
  <c r="L2245" i="2"/>
  <c r="L2246" i="2"/>
  <c r="L2247" i="2"/>
  <c r="L2248" i="2"/>
  <c r="L2249" i="2"/>
  <c r="L2250" i="2"/>
  <c r="L2251" i="2"/>
  <c r="L2252" i="2"/>
  <c r="L2253" i="2"/>
  <c r="L2254" i="2"/>
  <c r="L2255" i="2"/>
  <c r="L2256" i="2"/>
  <c r="L2257" i="2"/>
  <c r="L2258" i="2"/>
  <c r="L2259" i="2"/>
  <c r="L2260" i="2"/>
  <c r="L2261" i="2"/>
  <c r="L2262" i="2"/>
  <c r="L2263" i="2"/>
  <c r="L2264" i="2"/>
  <c r="L2265" i="2"/>
  <c r="L2266" i="2"/>
  <c r="L2267" i="2"/>
  <c r="L2268" i="2"/>
  <c r="L2269" i="2"/>
  <c r="L2270" i="2"/>
  <c r="L2271" i="2"/>
  <c r="L2272" i="2"/>
  <c r="L2273" i="2"/>
  <c r="L2274" i="2"/>
  <c r="L2275" i="2"/>
  <c r="L2276" i="2"/>
  <c r="L2277" i="2"/>
  <c r="L2278" i="2"/>
  <c r="L2279" i="2"/>
  <c r="L2280" i="2"/>
  <c r="L2281" i="2"/>
  <c r="L2282" i="2"/>
  <c r="L2283" i="2"/>
  <c r="L2284" i="2"/>
  <c r="L2285" i="2"/>
  <c r="L2286" i="2"/>
  <c r="L2287" i="2"/>
  <c r="L2288" i="2"/>
  <c r="L2289" i="2"/>
  <c r="L2290" i="2"/>
  <c r="L2291" i="2"/>
  <c r="L2292" i="2"/>
  <c r="L2293" i="2"/>
  <c r="L2294" i="2"/>
  <c r="L2295" i="2"/>
  <c r="L2296" i="2"/>
  <c r="L2297" i="2"/>
  <c r="L2298" i="2"/>
  <c r="L2299" i="2"/>
  <c r="L2300" i="2"/>
  <c r="L2301" i="2"/>
  <c r="L2302" i="2"/>
  <c r="L2303" i="2"/>
  <c r="L2304" i="2"/>
  <c r="L2305" i="2"/>
  <c r="L2306" i="2"/>
  <c r="L2307" i="2"/>
  <c r="L2308" i="2"/>
  <c r="L2309" i="2"/>
  <c r="L2310" i="2"/>
  <c r="L2311" i="2"/>
  <c r="L2312" i="2"/>
  <c r="L2313" i="2"/>
  <c r="L2314" i="2"/>
  <c r="L2315" i="2"/>
  <c r="L2316" i="2"/>
  <c r="L2317" i="2"/>
  <c r="L2318" i="2"/>
  <c r="L2319" i="2"/>
  <c r="L2320" i="2"/>
  <c r="L2321" i="2"/>
  <c r="L2322" i="2"/>
  <c r="L2323" i="2"/>
  <c r="L2324" i="2"/>
  <c r="L2325" i="2"/>
  <c r="L2326" i="2"/>
  <c r="L2327" i="2"/>
  <c r="L2328" i="2"/>
  <c r="L2329" i="2"/>
  <c r="L2330" i="2"/>
  <c r="L2331" i="2"/>
  <c r="L2332" i="2"/>
  <c r="L2333" i="2"/>
  <c r="L2334" i="2"/>
  <c r="L2335" i="2"/>
  <c r="L2336" i="2"/>
  <c r="L2337" i="2"/>
  <c r="L2338" i="2"/>
  <c r="L2339" i="2"/>
  <c r="L2340" i="2"/>
  <c r="L2341" i="2"/>
  <c r="L2342" i="2"/>
  <c r="L2343" i="2"/>
  <c r="L2344" i="2"/>
  <c r="L2345" i="2"/>
  <c r="L2346" i="2"/>
  <c r="L2347" i="2"/>
  <c r="L2348" i="2"/>
  <c r="L2349" i="2"/>
  <c r="L2350" i="2"/>
  <c r="L2351" i="2"/>
  <c r="L2352" i="2"/>
  <c r="L2353" i="2"/>
  <c r="L2354" i="2"/>
  <c r="L2355" i="2"/>
  <c r="L2356" i="2"/>
  <c r="L2357" i="2"/>
  <c r="L2358" i="2"/>
  <c r="L2359" i="2"/>
  <c r="L2360" i="2"/>
  <c r="L2361" i="2"/>
  <c r="L2362" i="2"/>
  <c r="L2363" i="2"/>
  <c r="L2364" i="2"/>
  <c r="L2365" i="2"/>
  <c r="L2366" i="2"/>
  <c r="L2367" i="2"/>
  <c r="L2368" i="2"/>
  <c r="L2369" i="2"/>
  <c r="L2370" i="2"/>
  <c r="L2371" i="2"/>
  <c r="L2372" i="2"/>
  <c r="L2373" i="2"/>
  <c r="L2374" i="2"/>
  <c r="L2375" i="2"/>
  <c r="L2376" i="2"/>
  <c r="L2377" i="2"/>
  <c r="L2378" i="2"/>
  <c r="L2379" i="2"/>
  <c r="L2380" i="2"/>
  <c r="L2381" i="2"/>
  <c r="L2382" i="2"/>
  <c r="L2383" i="2"/>
  <c r="L2384" i="2"/>
  <c r="L2385" i="2"/>
  <c r="L2386" i="2"/>
  <c r="L2387" i="2"/>
  <c r="L2388" i="2"/>
  <c r="L2389" i="2"/>
  <c r="L2390" i="2"/>
  <c r="L2391" i="2"/>
  <c r="L2392" i="2"/>
  <c r="L2393" i="2"/>
  <c r="L2394" i="2"/>
  <c r="L2395" i="2"/>
  <c r="L2396" i="2"/>
  <c r="L2397" i="2"/>
  <c r="L2398" i="2"/>
  <c r="L2399" i="2"/>
  <c r="L2400" i="2"/>
  <c r="L2401" i="2"/>
  <c r="L2402" i="2"/>
  <c r="L2403" i="2"/>
  <c r="L2404" i="2"/>
  <c r="L2405" i="2"/>
  <c r="L2406" i="2"/>
  <c r="L2407" i="2"/>
  <c r="L2408" i="2"/>
  <c r="L2409" i="2"/>
  <c r="L2410" i="2"/>
  <c r="L2411" i="2"/>
  <c r="L2412" i="2"/>
  <c r="L2413" i="2"/>
  <c r="L2414" i="2"/>
  <c r="L2415" i="2"/>
  <c r="L2416" i="2"/>
  <c r="L2417" i="2"/>
  <c r="L2418" i="2"/>
  <c r="L2419" i="2"/>
  <c r="L2420" i="2"/>
  <c r="L2421" i="2"/>
  <c r="L2422" i="2"/>
  <c r="L2423" i="2"/>
  <c r="L2424" i="2"/>
  <c r="L2425" i="2"/>
  <c r="L2426" i="2"/>
  <c r="L2427" i="2"/>
  <c r="L2428" i="2"/>
  <c r="L2429" i="2"/>
  <c r="L2430" i="2"/>
  <c r="L2431" i="2"/>
  <c r="L2432" i="2"/>
  <c r="L2433" i="2"/>
  <c r="L2434" i="2"/>
  <c r="L2435" i="2"/>
  <c r="L2436" i="2"/>
  <c r="L2437" i="2"/>
  <c r="L2438" i="2"/>
  <c r="L2439" i="2"/>
  <c r="L2440" i="2"/>
  <c r="L2441" i="2"/>
  <c r="L2442" i="2"/>
  <c r="L2443" i="2"/>
  <c r="L2444" i="2"/>
  <c r="L2445" i="2"/>
  <c r="L2446" i="2"/>
  <c r="L2447" i="2"/>
  <c r="L2448" i="2"/>
  <c r="L2449" i="2"/>
  <c r="L2450" i="2"/>
  <c r="L2451" i="2"/>
  <c r="L2452" i="2"/>
  <c r="L2453" i="2"/>
  <c r="L2454" i="2"/>
  <c r="L2455" i="2"/>
  <c r="L2456" i="2"/>
  <c r="L2457" i="2"/>
  <c r="L2458" i="2"/>
  <c r="L2459" i="2"/>
  <c r="L2460" i="2"/>
  <c r="L2461" i="2"/>
  <c r="L2462" i="2"/>
  <c r="L2463" i="2"/>
  <c r="L2464" i="2"/>
  <c r="L2465" i="2"/>
  <c r="L2466" i="2"/>
  <c r="L2467" i="2"/>
  <c r="L2468" i="2"/>
  <c r="L2469" i="2"/>
  <c r="L2470" i="2"/>
  <c r="L2471" i="2"/>
  <c r="L2472" i="2"/>
  <c r="L2473" i="2"/>
  <c r="L2474" i="2"/>
  <c r="L2475" i="2"/>
  <c r="L2476" i="2"/>
  <c r="L2477" i="2"/>
  <c r="L2478" i="2"/>
  <c r="L2479" i="2"/>
  <c r="L2480" i="2"/>
  <c r="L2481" i="2"/>
  <c r="L2482" i="2"/>
  <c r="L2483" i="2"/>
  <c r="L2484" i="2"/>
  <c r="L2485" i="2"/>
  <c r="L2486" i="2"/>
  <c r="L2487" i="2"/>
  <c r="L2488" i="2"/>
  <c r="L2489" i="2"/>
  <c r="L2490" i="2"/>
  <c r="L2491" i="2"/>
  <c r="L2492" i="2"/>
  <c r="L2493" i="2"/>
  <c r="L2494" i="2"/>
  <c r="L2495" i="2"/>
  <c r="L2496" i="2"/>
  <c r="L2497" i="2"/>
  <c r="L2498" i="2"/>
  <c r="L2499" i="2"/>
  <c r="L2500" i="2"/>
  <c r="L2501" i="2"/>
  <c r="L2502" i="2"/>
  <c r="L2503" i="2"/>
  <c r="L2504" i="2"/>
  <c r="L2505" i="2"/>
  <c r="L2506" i="2"/>
  <c r="L2507" i="2"/>
  <c r="L2508" i="2"/>
  <c r="L2509" i="2"/>
  <c r="L2510" i="2"/>
  <c r="L2511" i="2"/>
  <c r="L2512" i="2"/>
  <c r="L2513" i="2"/>
  <c r="L2514" i="2"/>
  <c r="L2515" i="2"/>
  <c r="L2516" i="2"/>
  <c r="L2517" i="2"/>
  <c r="L2518" i="2"/>
  <c r="L2519" i="2"/>
  <c r="L2520" i="2"/>
  <c r="L2521" i="2"/>
  <c r="L2522" i="2"/>
  <c r="L2523" i="2"/>
  <c r="L2524" i="2"/>
  <c r="L2525" i="2"/>
  <c r="L2526" i="2"/>
  <c r="L2527" i="2"/>
  <c r="L2528" i="2"/>
  <c r="L2529" i="2"/>
  <c r="L2530" i="2"/>
  <c r="L2531" i="2"/>
  <c r="L2532" i="2"/>
  <c r="L2533" i="2"/>
  <c r="L2534" i="2"/>
  <c r="L2535" i="2"/>
  <c r="L2536" i="2"/>
  <c r="L2537" i="2"/>
  <c r="L2538" i="2"/>
  <c r="L2539" i="2"/>
  <c r="L2540" i="2"/>
  <c r="L2541" i="2"/>
  <c r="L2542" i="2"/>
  <c r="L2543" i="2"/>
  <c r="L2544" i="2"/>
  <c r="L2545" i="2"/>
  <c r="L2546" i="2"/>
  <c r="L2547" i="2"/>
  <c r="L2548" i="2"/>
  <c r="L2549" i="2"/>
  <c r="L2550" i="2"/>
  <c r="L2551" i="2"/>
  <c r="L2552" i="2"/>
  <c r="L2553" i="2"/>
  <c r="L2554" i="2"/>
  <c r="L2555" i="2"/>
  <c r="L2556" i="2"/>
  <c r="L2557" i="2"/>
  <c r="L2558" i="2"/>
  <c r="L2559" i="2"/>
  <c r="L2560" i="2"/>
  <c r="L2561" i="2"/>
  <c r="L2562" i="2"/>
  <c r="L2563" i="2"/>
  <c r="L2564" i="2"/>
  <c r="L2565" i="2"/>
  <c r="L2566" i="2"/>
  <c r="L2567" i="2"/>
  <c r="L2568" i="2"/>
  <c r="L2569" i="2"/>
  <c r="L2570" i="2"/>
  <c r="L2571" i="2"/>
  <c r="L2572" i="2"/>
  <c r="L2573" i="2"/>
  <c r="L2574" i="2"/>
  <c r="L2575" i="2"/>
  <c r="L2576" i="2"/>
  <c r="L2577" i="2"/>
  <c r="L2578" i="2"/>
  <c r="L2579" i="2"/>
  <c r="L2580" i="2"/>
  <c r="L2581" i="2"/>
  <c r="L2582" i="2"/>
  <c r="L2583" i="2"/>
  <c r="L2584" i="2"/>
  <c r="L2585" i="2"/>
  <c r="L2586" i="2"/>
  <c r="L2587" i="2"/>
  <c r="L2588" i="2"/>
  <c r="L2589" i="2"/>
  <c r="L2590" i="2"/>
  <c r="L2591" i="2"/>
  <c r="L2592" i="2"/>
  <c r="L2593" i="2"/>
  <c r="L2594" i="2"/>
  <c r="L2595" i="2"/>
  <c r="L2596" i="2"/>
  <c r="L2597" i="2"/>
  <c r="L2598" i="2"/>
  <c r="L2599" i="2"/>
  <c r="L2600" i="2"/>
  <c r="L2601" i="2"/>
  <c r="L2602" i="2"/>
  <c r="L2603" i="2"/>
  <c r="L2604" i="2"/>
  <c r="L2605" i="2"/>
  <c r="L2606" i="2"/>
  <c r="L2607" i="2"/>
  <c r="L2608" i="2"/>
  <c r="L2609" i="2"/>
  <c r="L2610" i="2"/>
  <c r="L2611" i="2"/>
  <c r="L2612" i="2"/>
  <c r="L2613" i="2"/>
  <c r="L2614" i="2"/>
  <c r="L2615" i="2"/>
  <c r="L2616" i="2"/>
  <c r="L2617" i="2"/>
  <c r="L2618" i="2"/>
  <c r="L2619" i="2"/>
  <c r="L2620" i="2"/>
  <c r="L2621" i="2"/>
  <c r="L2622" i="2"/>
  <c r="L2623" i="2"/>
  <c r="L2624" i="2"/>
  <c r="L2625" i="2"/>
  <c r="L2626" i="2"/>
  <c r="L2627" i="2"/>
  <c r="L2628" i="2"/>
  <c r="L2629" i="2"/>
  <c r="L2630" i="2"/>
  <c r="L2631" i="2"/>
  <c r="L2632" i="2"/>
  <c r="L2633" i="2"/>
  <c r="L2634" i="2"/>
  <c r="L2635" i="2"/>
  <c r="L2636" i="2"/>
  <c r="L2637" i="2"/>
  <c r="L2638" i="2"/>
  <c r="L2639" i="2"/>
  <c r="L2640" i="2"/>
  <c r="L2641" i="2"/>
  <c r="L2642" i="2"/>
  <c r="L2643" i="2"/>
  <c r="L2644" i="2"/>
  <c r="L2645" i="2"/>
  <c r="L2646" i="2"/>
  <c r="L2647" i="2"/>
  <c r="L2648" i="2"/>
  <c r="L2649" i="2"/>
  <c r="L2650" i="2"/>
  <c r="L2651" i="2"/>
  <c r="L2652" i="2"/>
  <c r="L2653" i="2"/>
  <c r="L2654" i="2"/>
  <c r="L2655" i="2"/>
  <c r="L2656" i="2"/>
  <c r="L2657" i="2"/>
  <c r="L2658" i="2"/>
  <c r="L2659" i="2"/>
  <c r="L2660" i="2"/>
  <c r="L2661" i="2"/>
  <c r="L2662" i="2"/>
  <c r="L2663" i="2"/>
  <c r="L2664" i="2"/>
  <c r="L2665" i="2"/>
  <c r="L2666" i="2"/>
  <c r="L2667" i="2"/>
  <c r="L2668" i="2"/>
  <c r="L2669" i="2"/>
  <c r="L2670" i="2"/>
  <c r="L2671" i="2"/>
  <c r="L2672" i="2"/>
  <c r="L2673" i="2"/>
  <c r="L2674" i="2"/>
  <c r="L2675" i="2"/>
  <c r="L2676" i="2"/>
  <c r="L2677" i="2"/>
  <c r="L2678" i="2"/>
  <c r="L2679" i="2"/>
  <c r="L2680" i="2"/>
  <c r="L2681" i="2"/>
  <c r="L2682" i="2"/>
  <c r="L2683" i="2"/>
  <c r="L2684" i="2"/>
  <c r="L2685" i="2"/>
  <c r="L2686" i="2"/>
  <c r="L2687" i="2"/>
  <c r="L2688" i="2"/>
  <c r="L2689" i="2"/>
  <c r="L2690" i="2"/>
  <c r="L2691" i="2"/>
  <c r="L2692" i="2"/>
  <c r="L2693" i="2"/>
  <c r="L2694" i="2"/>
  <c r="L2695" i="2"/>
  <c r="L2696" i="2"/>
  <c r="L2697" i="2"/>
  <c r="L2698" i="2"/>
  <c r="L2699" i="2"/>
  <c r="L2700" i="2"/>
  <c r="L2701" i="2"/>
  <c r="L2702" i="2"/>
  <c r="L2703" i="2"/>
  <c r="L2704" i="2"/>
  <c r="L2705" i="2"/>
  <c r="L2706" i="2"/>
  <c r="L2707" i="2"/>
  <c r="L2708" i="2"/>
  <c r="L2709" i="2"/>
  <c r="L2710" i="2"/>
  <c r="L2711" i="2"/>
  <c r="L2712" i="2"/>
  <c r="L2713" i="2"/>
  <c r="L2714" i="2"/>
  <c r="L2715" i="2"/>
  <c r="L2716" i="2"/>
  <c r="L2717" i="2"/>
  <c r="L2718" i="2"/>
  <c r="L2719" i="2"/>
  <c r="L2720" i="2"/>
  <c r="L2721" i="2"/>
  <c r="L2722" i="2"/>
  <c r="L2723" i="2"/>
  <c r="L2724" i="2"/>
  <c r="L2725" i="2"/>
  <c r="L2726" i="2"/>
  <c r="L2727" i="2"/>
  <c r="L2728" i="2"/>
  <c r="L2729" i="2"/>
  <c r="L2730" i="2"/>
  <c r="L2731" i="2"/>
  <c r="L2732" i="2"/>
  <c r="L2733" i="2"/>
  <c r="L2734" i="2"/>
  <c r="L2735" i="2"/>
  <c r="L2736" i="2"/>
  <c r="L2737" i="2"/>
  <c r="L2738" i="2"/>
  <c r="L2739" i="2"/>
  <c r="L2740" i="2"/>
  <c r="L2741" i="2"/>
  <c r="L2742" i="2"/>
  <c r="L2743" i="2"/>
  <c r="L2744" i="2"/>
  <c r="L2745" i="2"/>
  <c r="L2746" i="2"/>
  <c r="L2747" i="2"/>
  <c r="L2748" i="2"/>
  <c r="L2749" i="2"/>
  <c r="L2750" i="2"/>
  <c r="L2751" i="2"/>
  <c r="L2752" i="2"/>
  <c r="L2753" i="2"/>
  <c r="L2754" i="2"/>
  <c r="L2755" i="2"/>
  <c r="L2756" i="2"/>
  <c r="L2757" i="2"/>
  <c r="L2758" i="2"/>
  <c r="L2759" i="2"/>
  <c r="L2760" i="2"/>
  <c r="L2761" i="2"/>
  <c r="L2762" i="2"/>
  <c r="L2763" i="2"/>
  <c r="L2764" i="2"/>
  <c r="L2765" i="2"/>
  <c r="L2766" i="2"/>
  <c r="L2767" i="2"/>
  <c r="L2768" i="2"/>
  <c r="L2769" i="2"/>
  <c r="L2770" i="2"/>
  <c r="L2771" i="2"/>
  <c r="L2772" i="2"/>
  <c r="L2773" i="2"/>
  <c r="L2774" i="2"/>
  <c r="L2775" i="2"/>
  <c r="L2776" i="2"/>
  <c r="L2777" i="2"/>
  <c r="L2778" i="2"/>
  <c r="L2779" i="2"/>
  <c r="L2780" i="2"/>
  <c r="L2781" i="2"/>
  <c r="L2782" i="2"/>
  <c r="L2783" i="2"/>
  <c r="L2784" i="2"/>
  <c r="L2785" i="2"/>
  <c r="L2786" i="2"/>
  <c r="L2787" i="2"/>
  <c r="L2788" i="2"/>
  <c r="L2789" i="2"/>
  <c r="L2790" i="2"/>
  <c r="L2791" i="2"/>
  <c r="L2792" i="2"/>
  <c r="L2793" i="2"/>
  <c r="L2794" i="2"/>
  <c r="L2795" i="2"/>
  <c r="L2796" i="2"/>
  <c r="L2797" i="2"/>
  <c r="L2798" i="2"/>
  <c r="L2799" i="2"/>
  <c r="L2800" i="2"/>
  <c r="L2801" i="2"/>
  <c r="L2802" i="2"/>
  <c r="L2803" i="2"/>
  <c r="L2804" i="2"/>
  <c r="L2805" i="2"/>
  <c r="L2806" i="2"/>
  <c r="L2807" i="2"/>
  <c r="L2808" i="2"/>
  <c r="L2809" i="2"/>
  <c r="L2810" i="2"/>
  <c r="L2811" i="2"/>
  <c r="L2812" i="2"/>
  <c r="L2813" i="2"/>
  <c r="L2814" i="2"/>
  <c r="L2815" i="2"/>
  <c r="L2816" i="2"/>
  <c r="L2817" i="2"/>
  <c r="L2818" i="2"/>
  <c r="L2819" i="2"/>
  <c r="L2820" i="2"/>
  <c r="L2821" i="2"/>
  <c r="L2822" i="2"/>
  <c r="L2823" i="2"/>
  <c r="L2824" i="2"/>
  <c r="L2825" i="2"/>
  <c r="L2826" i="2"/>
  <c r="L2827" i="2"/>
  <c r="L2828" i="2"/>
  <c r="L2829" i="2"/>
  <c r="L2830" i="2"/>
  <c r="L2831" i="2"/>
  <c r="L2832" i="2"/>
  <c r="L2833" i="2"/>
  <c r="L2834" i="2"/>
  <c r="L2835" i="2"/>
  <c r="L2836" i="2"/>
  <c r="L2837" i="2"/>
  <c r="L2838" i="2"/>
  <c r="L2839" i="2"/>
  <c r="L2840" i="2"/>
  <c r="L2841" i="2"/>
  <c r="L2842" i="2"/>
  <c r="L2843" i="2"/>
  <c r="L2844" i="2"/>
  <c r="L2845" i="2"/>
  <c r="L2846" i="2"/>
  <c r="L2847" i="2"/>
  <c r="L2848" i="2"/>
  <c r="L2849" i="2"/>
  <c r="L2850" i="2"/>
  <c r="L2851" i="2"/>
  <c r="L2852" i="2"/>
  <c r="L2853" i="2"/>
  <c r="L2854" i="2"/>
  <c r="L2855" i="2"/>
  <c r="L2856" i="2"/>
  <c r="L2857" i="2"/>
  <c r="L2858" i="2"/>
  <c r="L2859" i="2"/>
  <c r="L2860" i="2"/>
  <c r="L2861" i="2"/>
  <c r="L2862" i="2"/>
  <c r="L2863" i="2"/>
  <c r="L2864" i="2"/>
  <c r="L2865" i="2"/>
  <c r="L2866" i="2"/>
  <c r="L2867" i="2"/>
  <c r="L2868" i="2"/>
  <c r="L2869" i="2"/>
  <c r="L2870" i="2"/>
  <c r="L2871" i="2"/>
  <c r="L2872" i="2"/>
  <c r="L2873" i="2"/>
  <c r="L2874" i="2"/>
  <c r="L2875" i="2"/>
  <c r="L2876" i="2"/>
  <c r="L2877" i="2"/>
  <c r="L2878" i="2"/>
  <c r="L2879" i="2"/>
  <c r="L2880" i="2"/>
  <c r="L2881" i="2"/>
  <c r="L2882" i="2"/>
  <c r="L2883" i="2"/>
  <c r="L2884" i="2"/>
  <c r="L2885" i="2"/>
  <c r="L2886" i="2"/>
  <c r="L2887" i="2"/>
  <c r="L2888" i="2"/>
  <c r="L2889" i="2"/>
  <c r="L2890" i="2"/>
  <c r="L2891" i="2"/>
  <c r="L2892" i="2"/>
  <c r="L2893" i="2"/>
  <c r="L2894" i="2"/>
  <c r="L2895" i="2"/>
  <c r="L2896" i="2"/>
  <c r="L2897" i="2"/>
  <c r="L2898" i="2"/>
  <c r="L2899" i="2"/>
  <c r="L2900" i="2"/>
  <c r="L2901" i="2"/>
  <c r="L2902" i="2"/>
  <c r="L2903" i="2"/>
  <c r="L2904" i="2"/>
  <c r="L2905" i="2"/>
  <c r="L2906" i="2"/>
  <c r="L2907" i="2"/>
  <c r="L2908" i="2"/>
  <c r="L2909" i="2"/>
  <c r="L2910" i="2"/>
  <c r="L2911" i="2"/>
  <c r="L2912" i="2"/>
  <c r="L2913" i="2"/>
  <c r="L2914" i="2"/>
  <c r="L2915" i="2"/>
  <c r="L2916" i="2"/>
  <c r="L2917" i="2"/>
  <c r="L2918" i="2"/>
  <c r="L2919" i="2"/>
  <c r="L2920" i="2"/>
  <c r="L2921" i="2"/>
  <c r="L2922" i="2"/>
  <c r="L2923" i="2"/>
  <c r="L2924" i="2"/>
  <c r="L2925" i="2"/>
  <c r="L2926" i="2"/>
  <c r="L2927" i="2"/>
  <c r="L2928" i="2"/>
  <c r="L2929" i="2"/>
  <c r="L2930" i="2"/>
  <c r="L2931" i="2"/>
  <c r="L2932" i="2"/>
  <c r="L2933" i="2"/>
  <c r="L2934" i="2"/>
  <c r="L2935" i="2"/>
  <c r="L2936" i="2"/>
  <c r="L2937" i="2"/>
  <c r="L2938" i="2"/>
  <c r="L2939" i="2"/>
  <c r="L2940" i="2"/>
  <c r="L2941" i="2"/>
  <c r="L2942" i="2"/>
  <c r="L2943" i="2"/>
  <c r="L2944" i="2"/>
  <c r="L2945" i="2"/>
  <c r="L2946" i="2"/>
  <c r="L2947" i="2"/>
  <c r="L2948" i="2"/>
  <c r="L2949" i="2"/>
  <c r="L2950" i="2"/>
  <c r="L2951" i="2"/>
  <c r="L2952" i="2"/>
  <c r="L2953" i="2"/>
  <c r="L2954" i="2"/>
  <c r="L2955" i="2"/>
  <c r="L2956" i="2"/>
  <c r="L2957" i="2"/>
  <c r="L2958" i="2"/>
  <c r="L2959" i="2"/>
  <c r="L2960" i="2"/>
  <c r="L2961" i="2"/>
  <c r="L2962" i="2"/>
  <c r="L2963" i="2"/>
  <c r="L2964" i="2"/>
  <c r="L2965" i="2"/>
  <c r="L2966" i="2"/>
  <c r="L2967" i="2"/>
  <c r="L2968" i="2"/>
  <c r="L2969" i="2"/>
  <c r="L2970" i="2"/>
  <c r="L2971" i="2"/>
  <c r="L2972" i="2"/>
  <c r="L2973" i="2"/>
  <c r="L2974" i="2"/>
  <c r="L2975" i="2"/>
  <c r="L2976" i="2"/>
  <c r="L2977" i="2"/>
  <c r="L2978" i="2"/>
  <c r="L2979" i="2"/>
  <c r="L2980" i="2"/>
  <c r="L2981" i="2"/>
  <c r="L2982" i="2"/>
  <c r="L2983" i="2"/>
  <c r="L2984" i="2"/>
  <c r="L2985" i="2"/>
  <c r="L2986" i="2"/>
  <c r="L2987" i="2"/>
  <c r="L2988" i="2"/>
  <c r="L2989" i="2"/>
  <c r="L2990" i="2"/>
  <c r="L2991" i="2"/>
  <c r="L2992" i="2"/>
  <c r="L2993" i="2"/>
  <c r="L2994" i="2"/>
  <c r="L2995" i="2"/>
  <c r="L2996" i="2"/>
  <c r="L2997" i="2"/>
  <c r="L2998" i="2"/>
  <c r="L2999" i="2"/>
  <c r="L3000" i="2"/>
  <c r="L3001" i="2"/>
  <c r="L3002" i="2"/>
  <c r="L3003" i="2"/>
  <c r="L3004" i="2"/>
  <c r="L3005" i="2"/>
  <c r="L3006" i="2"/>
  <c r="L3007" i="2"/>
  <c r="L3008" i="2"/>
  <c r="L3009" i="2"/>
  <c r="L3010" i="2"/>
  <c r="L3011" i="2"/>
  <c r="L3012" i="2"/>
  <c r="L3013" i="2"/>
  <c r="L3014" i="2"/>
  <c r="L3015" i="2"/>
  <c r="L3016" i="2"/>
  <c r="L3017" i="2"/>
  <c r="L3018" i="2"/>
  <c r="L3019" i="2"/>
  <c r="L3020" i="2"/>
  <c r="L3021" i="2"/>
  <c r="L3022" i="2"/>
  <c r="L3023" i="2"/>
  <c r="L3024" i="2"/>
  <c r="L3025" i="2"/>
  <c r="L3026" i="2"/>
  <c r="L3027" i="2"/>
  <c r="L3028" i="2"/>
  <c r="L3029" i="2"/>
  <c r="L3030" i="2"/>
  <c r="L3031" i="2"/>
  <c r="L3032" i="2"/>
  <c r="L3033" i="2"/>
  <c r="L3034" i="2"/>
  <c r="L3035" i="2"/>
  <c r="L3036" i="2"/>
  <c r="L3037" i="2"/>
  <c r="L3038" i="2"/>
  <c r="L3039" i="2"/>
  <c r="L3040" i="2"/>
  <c r="L3041" i="2"/>
  <c r="L3042" i="2"/>
  <c r="L3043" i="2"/>
  <c r="L3044" i="2"/>
  <c r="L3045" i="2"/>
  <c r="L3046" i="2"/>
  <c r="L3047" i="2"/>
  <c r="L3048" i="2"/>
  <c r="L3049" i="2"/>
  <c r="L3050" i="2"/>
  <c r="L3051" i="2"/>
  <c r="L3052" i="2"/>
  <c r="L3053" i="2"/>
  <c r="L3054" i="2"/>
  <c r="L3055" i="2"/>
  <c r="L3056" i="2"/>
  <c r="L3057" i="2"/>
  <c r="L3058" i="2"/>
  <c r="L3059" i="2"/>
  <c r="L3060" i="2"/>
  <c r="L3061" i="2"/>
  <c r="L3062" i="2"/>
  <c r="L3063" i="2"/>
  <c r="L3064" i="2"/>
  <c r="L3065" i="2"/>
  <c r="L3066" i="2"/>
  <c r="L3067" i="2"/>
  <c r="L3068" i="2"/>
  <c r="L3069" i="2"/>
  <c r="L3070" i="2"/>
  <c r="L3071" i="2"/>
  <c r="L3072" i="2"/>
  <c r="L3073" i="2"/>
  <c r="L3074" i="2"/>
  <c r="L3075" i="2"/>
  <c r="L3076" i="2"/>
  <c r="L3077" i="2"/>
  <c r="L3078" i="2"/>
  <c r="L3079" i="2"/>
  <c r="L3080" i="2"/>
  <c r="L3081" i="2"/>
  <c r="L3082" i="2"/>
  <c r="L3083" i="2"/>
  <c r="L3084" i="2"/>
  <c r="L3085" i="2"/>
  <c r="L3086" i="2"/>
  <c r="L3087" i="2"/>
  <c r="L3088" i="2"/>
  <c r="L3089" i="2"/>
  <c r="L3090" i="2"/>
  <c r="L3091" i="2"/>
  <c r="L3092" i="2"/>
  <c r="L3093" i="2"/>
  <c r="L3094" i="2"/>
  <c r="L3095" i="2"/>
  <c r="L3096" i="2"/>
  <c r="L3097" i="2"/>
  <c r="L3098" i="2"/>
  <c r="L3099" i="2"/>
  <c r="L3100" i="2"/>
  <c r="L3101" i="2"/>
  <c r="L3102" i="2"/>
  <c r="L3103" i="2"/>
  <c r="L3104" i="2"/>
  <c r="L3105" i="2"/>
  <c r="L3106" i="2"/>
  <c r="L3107" i="2"/>
  <c r="L3108" i="2"/>
  <c r="L3109" i="2"/>
  <c r="L3110" i="2"/>
  <c r="L3111" i="2"/>
  <c r="L3112" i="2"/>
  <c r="L3113" i="2"/>
  <c r="L3114" i="2"/>
  <c r="L3115" i="2"/>
  <c r="L3116" i="2"/>
  <c r="L3117" i="2"/>
  <c r="L3118" i="2"/>
  <c r="L3119" i="2"/>
  <c r="L3120" i="2"/>
  <c r="L3121" i="2"/>
  <c r="L3122" i="2"/>
  <c r="L3123" i="2"/>
  <c r="L3124" i="2"/>
  <c r="L3125" i="2"/>
  <c r="L3126" i="2"/>
  <c r="L3127" i="2"/>
  <c r="L3128" i="2"/>
  <c r="L3129" i="2"/>
  <c r="L3130" i="2"/>
  <c r="L3131" i="2"/>
  <c r="L3132" i="2"/>
  <c r="L3133" i="2"/>
  <c r="L3134" i="2"/>
  <c r="L3135" i="2"/>
  <c r="L3136" i="2"/>
  <c r="L3137" i="2"/>
  <c r="L3138" i="2"/>
  <c r="L3139" i="2"/>
  <c r="L3140" i="2"/>
  <c r="L3141" i="2"/>
  <c r="L3142" i="2"/>
  <c r="L3143" i="2"/>
  <c r="L3144" i="2"/>
  <c r="L3145" i="2"/>
  <c r="L3146" i="2"/>
  <c r="L3147" i="2"/>
  <c r="L3148" i="2"/>
  <c r="L3149" i="2"/>
  <c r="L3150" i="2"/>
  <c r="L3151" i="2"/>
  <c r="L3152" i="2"/>
  <c r="L3153" i="2"/>
  <c r="L3154" i="2"/>
  <c r="L3155" i="2"/>
  <c r="L3156" i="2"/>
  <c r="L3157" i="2"/>
  <c r="L3158" i="2"/>
  <c r="L3159" i="2"/>
  <c r="L3160" i="2"/>
  <c r="L3161" i="2"/>
  <c r="L3162" i="2"/>
  <c r="L3163" i="2"/>
  <c r="L3164" i="2"/>
  <c r="L3165" i="2"/>
  <c r="L3166" i="2"/>
  <c r="L3167" i="2"/>
  <c r="L3168" i="2"/>
  <c r="L3169" i="2"/>
  <c r="L3170" i="2"/>
  <c r="L3171" i="2"/>
  <c r="L3172" i="2"/>
  <c r="L3173" i="2"/>
  <c r="L3174" i="2"/>
  <c r="L3175" i="2"/>
  <c r="L3176" i="2"/>
  <c r="L3177" i="2"/>
  <c r="L3178" i="2"/>
  <c r="L3179" i="2"/>
  <c r="L3180" i="2"/>
  <c r="L3181" i="2"/>
  <c r="L3182" i="2"/>
  <c r="L3183" i="2"/>
  <c r="L3184" i="2"/>
  <c r="L3185" i="2"/>
  <c r="L3186" i="2"/>
  <c r="L3187" i="2"/>
  <c r="L3188" i="2"/>
  <c r="L3189" i="2"/>
  <c r="L3190" i="2"/>
  <c r="L3191" i="2"/>
  <c r="L3192" i="2"/>
  <c r="L3193" i="2"/>
  <c r="L3194" i="2"/>
  <c r="L3195" i="2"/>
  <c r="L3196" i="2"/>
  <c r="L3197" i="2"/>
  <c r="L3198" i="2"/>
  <c r="L3199" i="2"/>
  <c r="L3200" i="2"/>
  <c r="L3201" i="2"/>
  <c r="L3202" i="2"/>
  <c r="L3203" i="2"/>
  <c r="L3204" i="2"/>
  <c r="L3205" i="2"/>
  <c r="L3206" i="2"/>
  <c r="L3207" i="2"/>
  <c r="L3208" i="2"/>
  <c r="L3209" i="2"/>
  <c r="L3210" i="2"/>
  <c r="L3211" i="2"/>
  <c r="L3212" i="2"/>
  <c r="L3213" i="2"/>
  <c r="L3214" i="2"/>
  <c r="L3215" i="2"/>
  <c r="L3216" i="2"/>
  <c r="L3217" i="2"/>
  <c r="L3218" i="2"/>
  <c r="L3219" i="2"/>
  <c r="L3220" i="2"/>
  <c r="L3221" i="2"/>
  <c r="L3222" i="2"/>
  <c r="L3223" i="2"/>
  <c r="L3224" i="2"/>
  <c r="L3225" i="2"/>
  <c r="L3226" i="2"/>
  <c r="L3227" i="2"/>
  <c r="L3228" i="2"/>
  <c r="L3229" i="2"/>
  <c r="L3230" i="2"/>
  <c r="L3231" i="2"/>
  <c r="L3232" i="2"/>
  <c r="L3233" i="2"/>
  <c r="L3234" i="2"/>
  <c r="L3235" i="2"/>
  <c r="L3236" i="2"/>
  <c r="L3237" i="2"/>
  <c r="L3238" i="2"/>
  <c r="L3239" i="2"/>
  <c r="L3240" i="2"/>
  <c r="L3241" i="2"/>
  <c r="L3242" i="2"/>
  <c r="L3243" i="2"/>
  <c r="L3244" i="2"/>
  <c r="L3245" i="2"/>
  <c r="L3246" i="2"/>
  <c r="L3247" i="2"/>
  <c r="L3248" i="2"/>
  <c r="L3249" i="2"/>
  <c r="L3250" i="2"/>
  <c r="L3251" i="2"/>
  <c r="L3252" i="2"/>
  <c r="L3253" i="2"/>
  <c r="L3254" i="2"/>
  <c r="L3255" i="2"/>
  <c r="L3256" i="2"/>
  <c r="L3257" i="2"/>
  <c r="L3258" i="2"/>
  <c r="L3259" i="2"/>
  <c r="L3260" i="2"/>
  <c r="L3261" i="2"/>
  <c r="L3262" i="2"/>
  <c r="L3263" i="2"/>
  <c r="L3264" i="2"/>
  <c r="L3265" i="2"/>
  <c r="L3266" i="2"/>
  <c r="L3267" i="2"/>
  <c r="L3268" i="2"/>
  <c r="L3269" i="2"/>
  <c r="L3270" i="2"/>
  <c r="L3271" i="2"/>
  <c r="L3272" i="2"/>
  <c r="L3273" i="2"/>
  <c r="L3274" i="2"/>
  <c r="L3275" i="2"/>
  <c r="L3276" i="2"/>
  <c r="L3277" i="2"/>
  <c r="L3278" i="2"/>
  <c r="L3279" i="2"/>
  <c r="L3280" i="2"/>
  <c r="L3281" i="2"/>
  <c r="L3282" i="2"/>
  <c r="L3283" i="2"/>
  <c r="L3284" i="2"/>
  <c r="L3285" i="2"/>
  <c r="L3286" i="2"/>
  <c r="L3287" i="2"/>
  <c r="L3288" i="2"/>
  <c r="L3289" i="2"/>
  <c r="L3290" i="2"/>
  <c r="L3291" i="2"/>
  <c r="L3292" i="2"/>
  <c r="L3293" i="2"/>
  <c r="L3294" i="2"/>
  <c r="L3295" i="2"/>
  <c r="L3296" i="2"/>
  <c r="L3297" i="2"/>
  <c r="L3298" i="2"/>
  <c r="L3299" i="2"/>
  <c r="L3300" i="2"/>
  <c r="L3301" i="2"/>
  <c r="L3302" i="2"/>
  <c r="L3303" i="2"/>
  <c r="L3304" i="2"/>
  <c r="L3305" i="2"/>
  <c r="L3306" i="2"/>
  <c r="L3307" i="2"/>
  <c r="L3308" i="2"/>
  <c r="L3309" i="2"/>
  <c r="L3310" i="2"/>
  <c r="L3311" i="2"/>
  <c r="L3312" i="2"/>
  <c r="L3313" i="2"/>
  <c r="L3314" i="2"/>
  <c r="L3315" i="2"/>
  <c r="L3316" i="2"/>
  <c r="L3317" i="2"/>
  <c r="L3318" i="2"/>
  <c r="L3319" i="2"/>
  <c r="L3320" i="2"/>
  <c r="L3321" i="2"/>
  <c r="L3322" i="2"/>
  <c r="L3323" i="2"/>
  <c r="L3324" i="2"/>
  <c r="L3325" i="2"/>
  <c r="L3326" i="2"/>
  <c r="L3327" i="2"/>
  <c r="L3328" i="2"/>
  <c r="L3329" i="2"/>
  <c r="L3330" i="2"/>
  <c r="L3331" i="2"/>
  <c r="L3332" i="2"/>
  <c r="L3333" i="2"/>
  <c r="L3334" i="2"/>
  <c r="L3335" i="2"/>
  <c r="L3336" i="2"/>
  <c r="L3337" i="2"/>
  <c r="L3338" i="2"/>
  <c r="L3339" i="2"/>
  <c r="L3340" i="2"/>
  <c r="L3341" i="2"/>
  <c r="L3342" i="2"/>
  <c r="L3343" i="2"/>
  <c r="L3344" i="2"/>
  <c r="L3345" i="2"/>
  <c r="L3346" i="2"/>
  <c r="L3347" i="2"/>
  <c r="L3348" i="2"/>
  <c r="L3349" i="2"/>
  <c r="L3350" i="2"/>
  <c r="L3351" i="2"/>
  <c r="L3352" i="2"/>
  <c r="L3353" i="2"/>
  <c r="L3354" i="2"/>
  <c r="L3355" i="2"/>
  <c r="L3356" i="2"/>
  <c r="L3357" i="2"/>
  <c r="L3358" i="2"/>
  <c r="L3359" i="2"/>
  <c r="L3360" i="2"/>
  <c r="L3361" i="2"/>
  <c r="L3362" i="2"/>
  <c r="L3363" i="2"/>
  <c r="L3364" i="2"/>
  <c r="L3365" i="2"/>
  <c r="L3366" i="2"/>
  <c r="L3367" i="2"/>
  <c r="L3368" i="2"/>
  <c r="L3369" i="2"/>
  <c r="L3370" i="2"/>
  <c r="L3371" i="2"/>
  <c r="L3372" i="2"/>
  <c r="L3373" i="2"/>
  <c r="L3374" i="2"/>
  <c r="L3375" i="2"/>
  <c r="L3376" i="2"/>
  <c r="L3377" i="2"/>
  <c r="L3378" i="2"/>
  <c r="L3379" i="2"/>
  <c r="L3380" i="2"/>
  <c r="L3381" i="2"/>
  <c r="L3382" i="2"/>
  <c r="L3383" i="2"/>
  <c r="L3384" i="2"/>
  <c r="L3385" i="2"/>
  <c r="L3386" i="2"/>
  <c r="L3387" i="2"/>
  <c r="L3388" i="2"/>
  <c r="L3389" i="2"/>
  <c r="L3390" i="2"/>
  <c r="L3391" i="2"/>
  <c r="L3392" i="2"/>
  <c r="L3393" i="2"/>
  <c r="L3394" i="2"/>
  <c r="L3395" i="2"/>
  <c r="L3396" i="2"/>
  <c r="L3397" i="2"/>
  <c r="L3398" i="2"/>
  <c r="L3399" i="2"/>
  <c r="L3400" i="2"/>
  <c r="L3401" i="2"/>
  <c r="L3402" i="2"/>
  <c r="L3403" i="2"/>
  <c r="L3404" i="2"/>
  <c r="L3405" i="2"/>
  <c r="L3406" i="2"/>
  <c r="L3407" i="2"/>
  <c r="L3408" i="2"/>
  <c r="L3409" i="2"/>
  <c r="L3410" i="2"/>
  <c r="L3411" i="2"/>
  <c r="L3412" i="2"/>
  <c r="L3413" i="2"/>
  <c r="L3414" i="2"/>
  <c r="L3415" i="2"/>
  <c r="L3416" i="2"/>
  <c r="L3417" i="2"/>
  <c r="L3418" i="2"/>
  <c r="L3419" i="2"/>
  <c r="L3420" i="2"/>
  <c r="L3421" i="2"/>
  <c r="L3422" i="2"/>
  <c r="L3423" i="2"/>
  <c r="L3424" i="2"/>
  <c r="L3425" i="2"/>
  <c r="L3426" i="2"/>
  <c r="L3427" i="2"/>
  <c r="L3428" i="2"/>
  <c r="L3429" i="2"/>
  <c r="L3430" i="2"/>
  <c r="L3431" i="2"/>
  <c r="L3432" i="2"/>
  <c r="L3433" i="2"/>
  <c r="L3434" i="2"/>
  <c r="L3435" i="2"/>
  <c r="L3436" i="2"/>
  <c r="L3437" i="2"/>
  <c r="L3438" i="2"/>
  <c r="L3439" i="2"/>
  <c r="L3440" i="2"/>
  <c r="L3441" i="2"/>
  <c r="L3442" i="2"/>
  <c r="L3443" i="2"/>
  <c r="L3444" i="2"/>
  <c r="L3445" i="2"/>
  <c r="L3446" i="2"/>
  <c r="L3447" i="2"/>
  <c r="L3448" i="2"/>
  <c r="L3449" i="2"/>
  <c r="L3450" i="2"/>
  <c r="L3451" i="2"/>
  <c r="L3452" i="2"/>
  <c r="L3453" i="2"/>
  <c r="L3454" i="2"/>
  <c r="L3455" i="2"/>
  <c r="L3456" i="2"/>
  <c r="L3457" i="2"/>
  <c r="L3458" i="2"/>
  <c r="L3459" i="2"/>
  <c r="L3460" i="2"/>
  <c r="L3461" i="2"/>
  <c r="L3462" i="2"/>
  <c r="L3463" i="2"/>
  <c r="L3464" i="2"/>
  <c r="L3465" i="2"/>
  <c r="L3466" i="2"/>
  <c r="L3467" i="2"/>
  <c r="L3468" i="2"/>
  <c r="L3469" i="2"/>
  <c r="L3470" i="2"/>
  <c r="L3471" i="2"/>
  <c r="L3472" i="2"/>
  <c r="L3473" i="2"/>
  <c r="L3474" i="2"/>
  <c r="L3475" i="2"/>
  <c r="L3476" i="2"/>
  <c r="L3477" i="2"/>
  <c r="L3478" i="2"/>
  <c r="L3479" i="2"/>
  <c r="L3480" i="2"/>
  <c r="L3481" i="2"/>
  <c r="L3482" i="2"/>
  <c r="L3483" i="2"/>
  <c r="L3484" i="2"/>
  <c r="L3485" i="2"/>
  <c r="L3486" i="2"/>
  <c r="L3487" i="2"/>
  <c r="L3488" i="2"/>
  <c r="L3489" i="2"/>
  <c r="L3490" i="2"/>
  <c r="L3491" i="2"/>
  <c r="L3492" i="2"/>
  <c r="L3493" i="2"/>
  <c r="L3494" i="2"/>
  <c r="L3495" i="2"/>
  <c r="L3496" i="2"/>
  <c r="L3497" i="2"/>
  <c r="L3498" i="2"/>
  <c r="L3499" i="2"/>
  <c r="L3500" i="2"/>
  <c r="L3501" i="2"/>
  <c r="L3502" i="2"/>
  <c r="L3503" i="2"/>
  <c r="L3504" i="2"/>
  <c r="L3505" i="2"/>
  <c r="L3506" i="2"/>
  <c r="L3507" i="2"/>
  <c r="L3508" i="2"/>
  <c r="L3509" i="2"/>
  <c r="L3510" i="2"/>
  <c r="L3511" i="2"/>
  <c r="L3512" i="2"/>
  <c r="L3513" i="2"/>
  <c r="L3514" i="2"/>
  <c r="L3515" i="2"/>
  <c r="L3516" i="2"/>
  <c r="L3517" i="2"/>
  <c r="L3518" i="2"/>
  <c r="L3519" i="2"/>
  <c r="L3520" i="2"/>
  <c r="L3521" i="2"/>
  <c r="L3522" i="2"/>
  <c r="L3523" i="2"/>
  <c r="L3524" i="2"/>
  <c r="L3525" i="2"/>
  <c r="L3526" i="2"/>
  <c r="L3527" i="2"/>
  <c r="L3528" i="2"/>
  <c r="L3529" i="2"/>
  <c r="L3530" i="2"/>
  <c r="L3531" i="2"/>
  <c r="L3532" i="2"/>
  <c r="L3533" i="2"/>
  <c r="L3534" i="2"/>
  <c r="L3535" i="2"/>
  <c r="L3536" i="2"/>
  <c r="L3537" i="2"/>
  <c r="L3538" i="2"/>
  <c r="L3539" i="2"/>
  <c r="L3540" i="2"/>
  <c r="L3541" i="2"/>
  <c r="L3542" i="2"/>
  <c r="L3543" i="2"/>
  <c r="L3544" i="2"/>
  <c r="L3545" i="2"/>
  <c r="L3546" i="2"/>
  <c r="L3547" i="2"/>
  <c r="L3548" i="2"/>
  <c r="B21" i="3"/>
  <c r="B22" i="3"/>
  <c r="B2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E35647E-6659-4C33-B686-68A25FE4BA14}" keepAlive="1" name="Query - Coffe_sales" description="Connection to the 'Coffe_sales' query in the workbook." type="5" refreshedVersion="8" background="1" saveData="1">
    <dbPr connection="Provider=Microsoft.Mashup.OleDb.1;Data Source=$Workbook$;Location=Coffe_sales;Extended Properties=&quot;&quot;" command="SELECT * FROM [Coffe_sales]"/>
  </connection>
</connections>
</file>

<file path=xl/sharedStrings.xml><?xml version="1.0" encoding="utf-8"?>
<sst xmlns="http://schemas.openxmlformats.org/spreadsheetml/2006/main" count="32034" uniqueCount="462">
  <si>
    <t>hour_of_day</t>
  </si>
  <si>
    <t>cash_type</t>
  </si>
  <si>
    <t>money</t>
  </si>
  <si>
    <t>coffee_name</t>
  </si>
  <si>
    <t>Time_of_Day</t>
  </si>
  <si>
    <t>Weekday</t>
  </si>
  <si>
    <t>Month_name</t>
  </si>
  <si>
    <t>Weekdaysort</t>
  </si>
  <si>
    <t>Monthsort</t>
  </si>
  <si>
    <t>Date</t>
  </si>
  <si>
    <t>Time</t>
  </si>
  <si>
    <t>10</t>
  </si>
  <si>
    <t>card</t>
  </si>
  <si>
    <t>Latte</t>
  </si>
  <si>
    <t>Morning</t>
  </si>
  <si>
    <t>Fri</t>
  </si>
  <si>
    <t>Mar</t>
  </si>
  <si>
    <t>5</t>
  </si>
  <si>
    <t>3</t>
  </si>
  <si>
    <t>2024-03-01</t>
  </si>
  <si>
    <t>12</t>
  </si>
  <si>
    <t>Hot Chocolate</t>
  </si>
  <si>
    <t>Afternoon</t>
  </si>
  <si>
    <t>13</t>
  </si>
  <si>
    <t>Americano</t>
  </si>
  <si>
    <t>15</t>
  </si>
  <si>
    <t>Americano with Milk</t>
  </si>
  <si>
    <t>16</t>
  </si>
  <si>
    <t>18</t>
  </si>
  <si>
    <t>Night</t>
  </si>
  <si>
    <t>19</t>
  </si>
  <si>
    <t>Cocoa</t>
  </si>
  <si>
    <t>Sat</t>
  </si>
  <si>
    <t>6</t>
  </si>
  <si>
    <t>2024-03-02</t>
  </si>
  <si>
    <t>11</t>
  </si>
  <si>
    <t>14</t>
  </si>
  <si>
    <t>17</t>
  </si>
  <si>
    <t>Sun</t>
  </si>
  <si>
    <t>7</t>
  </si>
  <si>
    <t>2024-03-03</t>
  </si>
  <si>
    <t>Cortado</t>
  </si>
  <si>
    <t>Mon</t>
  </si>
  <si>
    <t>1</t>
  </si>
  <si>
    <t>2024-03-04</t>
  </si>
  <si>
    <t>Espresso</t>
  </si>
  <si>
    <t>9</t>
  </si>
  <si>
    <t>Tue</t>
  </si>
  <si>
    <t>2</t>
  </si>
  <si>
    <t>2024-03-05</t>
  </si>
  <si>
    <t>Wed</t>
  </si>
  <si>
    <t>2024-03-06</t>
  </si>
  <si>
    <t>Cappuccino</t>
  </si>
  <si>
    <t>Thu</t>
  </si>
  <si>
    <t>4</t>
  </si>
  <si>
    <t>2024-03-07</t>
  </si>
  <si>
    <t>2024-03-08</t>
  </si>
  <si>
    <t>2024-03-09</t>
  </si>
  <si>
    <t>2024-03-10</t>
  </si>
  <si>
    <t>2024-03-11</t>
  </si>
  <si>
    <t>2024-03-12</t>
  </si>
  <si>
    <t>2024-03-13</t>
  </si>
  <si>
    <t>2024-03-14</t>
  </si>
  <si>
    <t>2024-03-15</t>
  </si>
  <si>
    <t>2024-03-16</t>
  </si>
  <si>
    <t>2024-03-17</t>
  </si>
  <si>
    <t>2024-03-18</t>
  </si>
  <si>
    <t>2024-03-19</t>
  </si>
  <si>
    <t>2024-03-20</t>
  </si>
  <si>
    <t>2024-03-21</t>
  </si>
  <si>
    <t>2024-03-22</t>
  </si>
  <si>
    <t>2024-03-23</t>
  </si>
  <si>
    <t>2024-03-24</t>
  </si>
  <si>
    <t>2024-03-25</t>
  </si>
  <si>
    <t>2024-03-26</t>
  </si>
  <si>
    <t>2024-03-27</t>
  </si>
  <si>
    <t>2024-03-28</t>
  </si>
  <si>
    <t>2024-03-29</t>
  </si>
  <si>
    <t>2024-03-30</t>
  </si>
  <si>
    <t>2024-03-31</t>
  </si>
  <si>
    <t>Apr</t>
  </si>
  <si>
    <t>2024-04-01</t>
  </si>
  <si>
    <t>2024-04-02</t>
  </si>
  <si>
    <t>2024-04-03</t>
  </si>
  <si>
    <t>2024-04-04</t>
  </si>
  <si>
    <t>2024-04-05</t>
  </si>
  <si>
    <t>2024-04-06</t>
  </si>
  <si>
    <t>2024-04-07</t>
  </si>
  <si>
    <t>2024-04-08</t>
  </si>
  <si>
    <t>2024-04-09</t>
  </si>
  <si>
    <t>2024-04-10</t>
  </si>
  <si>
    <t>20</t>
  </si>
  <si>
    <t>2024-04-11</t>
  </si>
  <si>
    <t>2024-04-12</t>
  </si>
  <si>
    <t>2024-04-13</t>
  </si>
  <si>
    <t>2024-04-14</t>
  </si>
  <si>
    <t>2024-04-15</t>
  </si>
  <si>
    <t>2024-04-16</t>
  </si>
  <si>
    <t>2024-04-17</t>
  </si>
  <si>
    <t>2024-04-18</t>
  </si>
  <si>
    <t>2024-04-19</t>
  </si>
  <si>
    <t>2024-04-20</t>
  </si>
  <si>
    <t>2024-04-21</t>
  </si>
  <si>
    <t>2024-04-22</t>
  </si>
  <si>
    <t>2024-04-23</t>
  </si>
  <si>
    <t>2024-04-24</t>
  </si>
  <si>
    <t>2024-04-25</t>
  </si>
  <si>
    <t>2024-04-26</t>
  </si>
  <si>
    <t>2024-04-27</t>
  </si>
  <si>
    <t>2024-04-28</t>
  </si>
  <si>
    <t>2024-04-29</t>
  </si>
  <si>
    <t>2024-04-30</t>
  </si>
  <si>
    <t>May</t>
  </si>
  <si>
    <t>2024-05-02</t>
  </si>
  <si>
    <t>2024-05-03</t>
  </si>
  <si>
    <t>2024-05-06</t>
  </si>
  <si>
    <t>2024-05-07</t>
  </si>
  <si>
    <t>2024-05-08</t>
  </si>
  <si>
    <t>2024-05-09</t>
  </si>
  <si>
    <t>2024-05-10</t>
  </si>
  <si>
    <t>2024-05-11</t>
  </si>
  <si>
    <t>2024-05-12</t>
  </si>
  <si>
    <t>2024-05-13</t>
  </si>
  <si>
    <t>8</t>
  </si>
  <si>
    <t>2024-05-14</t>
  </si>
  <si>
    <t>22</t>
  </si>
  <si>
    <t>2024-05-15</t>
  </si>
  <si>
    <t>2024-05-16</t>
  </si>
  <si>
    <t>2024-05-17</t>
  </si>
  <si>
    <t>2024-05-18</t>
  </si>
  <si>
    <t>2024-05-19</t>
  </si>
  <si>
    <t>21</t>
  </si>
  <si>
    <t>2024-05-20</t>
  </si>
  <si>
    <t>2024-05-21</t>
  </si>
  <si>
    <t>2024-05-22</t>
  </si>
  <si>
    <t>2024-05-23</t>
  </si>
  <si>
    <t>2024-05-24</t>
  </si>
  <si>
    <t>2024-05-25</t>
  </si>
  <si>
    <t>2024-05-26</t>
  </si>
  <si>
    <t>2024-05-27</t>
  </si>
  <si>
    <t>2024-05-28</t>
  </si>
  <si>
    <t>2024-05-29</t>
  </si>
  <si>
    <t>2024-05-30</t>
  </si>
  <si>
    <t>2024-05-31</t>
  </si>
  <si>
    <t>Jun</t>
  </si>
  <si>
    <t>2024-06-01</t>
  </si>
  <si>
    <t>2024-06-02</t>
  </si>
  <si>
    <t>2024-06-03</t>
  </si>
  <si>
    <t>2024-06-04</t>
  </si>
  <si>
    <t>2024-06-05</t>
  </si>
  <si>
    <t>2024-06-06</t>
  </si>
  <si>
    <t>2024-06-07</t>
  </si>
  <si>
    <t>2024-06-08</t>
  </si>
  <si>
    <t>2024-06-09</t>
  </si>
  <si>
    <t>2024-06-10</t>
  </si>
  <si>
    <t>2024-06-11</t>
  </si>
  <si>
    <t>2024-06-12</t>
  </si>
  <si>
    <t>2024-06-13</t>
  </si>
  <si>
    <t>2024-06-14</t>
  </si>
  <si>
    <t>2024-06-15</t>
  </si>
  <si>
    <t>2024-06-16</t>
  </si>
  <si>
    <t>2024-06-17</t>
  </si>
  <si>
    <t>2024-06-18</t>
  </si>
  <si>
    <t>2024-06-19</t>
  </si>
  <si>
    <t>2024-06-20</t>
  </si>
  <si>
    <t>2024-06-21</t>
  </si>
  <si>
    <t>2024-06-22</t>
  </si>
  <si>
    <t>2024-06-23</t>
  </si>
  <si>
    <t>2024-06-24</t>
  </si>
  <si>
    <t>2024-06-25</t>
  </si>
  <si>
    <t>2024-06-26</t>
  </si>
  <si>
    <t>2024-06-27</t>
  </si>
  <si>
    <t>2024-06-28</t>
  </si>
  <si>
    <t>2024-06-29</t>
  </si>
  <si>
    <t>2024-06-30</t>
  </si>
  <si>
    <t>Jul</t>
  </si>
  <si>
    <t>2024-07-01</t>
  </si>
  <si>
    <t>2024-07-02</t>
  </si>
  <si>
    <t>2024-07-03</t>
  </si>
  <si>
    <t>2024-07-04</t>
  </si>
  <si>
    <t>2024-07-05</t>
  </si>
  <si>
    <t>2024-07-06</t>
  </si>
  <si>
    <t>2024-07-07</t>
  </si>
  <si>
    <t>2024-07-08</t>
  </si>
  <si>
    <t>2024-07-09</t>
  </si>
  <si>
    <t>2024-07-10</t>
  </si>
  <si>
    <t>2024-07-11</t>
  </si>
  <si>
    <t>2024-07-12</t>
  </si>
  <si>
    <t>2024-07-13</t>
  </si>
  <si>
    <t>2024-07-14</t>
  </si>
  <si>
    <t>2024-07-15</t>
  </si>
  <si>
    <t>2024-07-16</t>
  </si>
  <si>
    <t>2024-07-17</t>
  </si>
  <si>
    <t>2024-07-18</t>
  </si>
  <si>
    <t>2024-07-19</t>
  </si>
  <si>
    <t>2024-07-20</t>
  </si>
  <si>
    <t>2024-07-21</t>
  </si>
  <si>
    <t>2024-07-22</t>
  </si>
  <si>
    <t>2024-07-23</t>
  </si>
  <si>
    <t>2024-07-24</t>
  </si>
  <si>
    <t>2024-07-25</t>
  </si>
  <si>
    <t>2024-07-26</t>
  </si>
  <si>
    <t>2024-07-27</t>
  </si>
  <si>
    <t>2024-07-28</t>
  </si>
  <si>
    <t>2024-07-29</t>
  </si>
  <si>
    <t>2024-07-30</t>
  </si>
  <si>
    <t>2024-07-31</t>
  </si>
  <si>
    <t>Aug</t>
  </si>
  <si>
    <t>2024-08-01</t>
  </si>
  <si>
    <t>2024-08-02</t>
  </si>
  <si>
    <t>2024-08-03</t>
  </si>
  <si>
    <t>2024-08-04</t>
  </si>
  <si>
    <t>2024-08-05</t>
  </si>
  <si>
    <t>2024-08-06</t>
  </si>
  <si>
    <t>2024-08-07</t>
  </si>
  <si>
    <t>2024-08-08</t>
  </si>
  <si>
    <t>2024-08-09</t>
  </si>
  <si>
    <t>2024-08-10</t>
  </si>
  <si>
    <t>2024-08-11</t>
  </si>
  <si>
    <t>2024-08-12</t>
  </si>
  <si>
    <t>2024-08-13</t>
  </si>
  <si>
    <t>2024-08-14</t>
  </si>
  <si>
    <t>2024-08-15</t>
  </si>
  <si>
    <t>2024-08-16</t>
  </si>
  <si>
    <t>2024-08-17</t>
  </si>
  <si>
    <t>2024-08-18</t>
  </si>
  <si>
    <t>2024-08-19</t>
  </si>
  <si>
    <t>2024-08-20</t>
  </si>
  <si>
    <t>2024-08-21</t>
  </si>
  <si>
    <t>2024-08-22</t>
  </si>
  <si>
    <t>2024-08-23</t>
  </si>
  <si>
    <t>2024-08-24</t>
  </si>
  <si>
    <t>2024-08-25</t>
  </si>
  <si>
    <t>2024-08-26</t>
  </si>
  <si>
    <t>2024-08-27</t>
  </si>
  <si>
    <t>2024-08-28</t>
  </si>
  <si>
    <t>2024-08-29</t>
  </si>
  <si>
    <t>2024-08-30</t>
  </si>
  <si>
    <t>2024-08-31</t>
  </si>
  <si>
    <t>Sep</t>
  </si>
  <si>
    <t>2024-09-01</t>
  </si>
  <si>
    <t>2024-09-02</t>
  </si>
  <si>
    <t>2024-09-03</t>
  </si>
  <si>
    <t>2024-09-04</t>
  </si>
  <si>
    <t>2024-09-05</t>
  </si>
  <si>
    <t>2024-09-06</t>
  </si>
  <si>
    <t>2024-09-07</t>
  </si>
  <si>
    <t>2024-09-08</t>
  </si>
  <si>
    <t>2024-09-09</t>
  </si>
  <si>
    <t>2024-09-10</t>
  </si>
  <si>
    <t>2024-09-11</t>
  </si>
  <si>
    <t>2024-09-12</t>
  </si>
  <si>
    <t>2024-09-13</t>
  </si>
  <si>
    <t>2024-09-14</t>
  </si>
  <si>
    <t>2024-09-15</t>
  </si>
  <si>
    <t>2024-09-16</t>
  </si>
  <si>
    <t>2024-09-17</t>
  </si>
  <si>
    <t>2024-09-18</t>
  </si>
  <si>
    <t>2024-09-19</t>
  </si>
  <si>
    <t>2024-09-20</t>
  </si>
  <si>
    <t>2024-09-21</t>
  </si>
  <si>
    <t>2024-09-22</t>
  </si>
  <si>
    <t>2024-09-23</t>
  </si>
  <si>
    <t>2024-09-24</t>
  </si>
  <si>
    <t>2024-09-25</t>
  </si>
  <si>
    <t>2024-09-26</t>
  </si>
  <si>
    <t>2024-09-27</t>
  </si>
  <si>
    <t>2024-09-28</t>
  </si>
  <si>
    <t>2024-09-29</t>
  </si>
  <si>
    <t>2024-09-30</t>
  </si>
  <si>
    <t>Oct</t>
  </si>
  <si>
    <t>2024-10-01</t>
  </si>
  <si>
    <t>2024-10-02</t>
  </si>
  <si>
    <t>2024-10-03</t>
  </si>
  <si>
    <t>2024-10-04</t>
  </si>
  <si>
    <t>2024-10-05</t>
  </si>
  <si>
    <t>2024-10-06</t>
  </si>
  <si>
    <t>2024-10-07</t>
  </si>
  <si>
    <t>2024-10-08</t>
  </si>
  <si>
    <t>2024-10-09</t>
  </si>
  <si>
    <t>2024-10-10</t>
  </si>
  <si>
    <t>2024-10-11</t>
  </si>
  <si>
    <t>2024-10-12</t>
  </si>
  <si>
    <t>2024-10-13</t>
  </si>
  <si>
    <t>2024-10-14</t>
  </si>
  <si>
    <t>2024-10-15</t>
  </si>
  <si>
    <t>2024-10-16</t>
  </si>
  <si>
    <t>2024-10-17</t>
  </si>
  <si>
    <t>2024-10-18</t>
  </si>
  <si>
    <t>2024-10-19</t>
  </si>
  <si>
    <t>2024-10-20</t>
  </si>
  <si>
    <t>2024-10-21</t>
  </si>
  <si>
    <t>2024-10-22</t>
  </si>
  <si>
    <t>2024-10-23</t>
  </si>
  <si>
    <t>2024-10-24</t>
  </si>
  <si>
    <t>2024-10-25</t>
  </si>
  <si>
    <t>2024-10-26</t>
  </si>
  <si>
    <t>2024-10-27</t>
  </si>
  <si>
    <t>2024-10-28</t>
  </si>
  <si>
    <t>2024-10-29</t>
  </si>
  <si>
    <t>2024-10-30</t>
  </si>
  <si>
    <t>2024-10-31</t>
  </si>
  <si>
    <t>Nov</t>
  </si>
  <si>
    <t>2024-11-01</t>
  </si>
  <si>
    <t>2024-11-02</t>
  </si>
  <si>
    <t>2024-11-03</t>
  </si>
  <si>
    <t>2024-11-04</t>
  </si>
  <si>
    <t>2024-11-05</t>
  </si>
  <si>
    <t>2024-11-06</t>
  </si>
  <si>
    <t>2024-11-07</t>
  </si>
  <si>
    <t>2024-11-08</t>
  </si>
  <si>
    <t>2024-11-09</t>
  </si>
  <si>
    <t>2024-11-10</t>
  </si>
  <si>
    <t>2024-11-11</t>
  </si>
  <si>
    <t>2024-11-12</t>
  </si>
  <si>
    <t>2024-11-13</t>
  </si>
  <si>
    <t>2024-11-14</t>
  </si>
  <si>
    <t>2024-11-15</t>
  </si>
  <si>
    <t>2024-11-16</t>
  </si>
  <si>
    <t>2024-11-17</t>
  </si>
  <si>
    <t>2024-11-18</t>
  </si>
  <si>
    <t>2024-11-19</t>
  </si>
  <si>
    <t>2024-11-20</t>
  </si>
  <si>
    <t>2024-11-21</t>
  </si>
  <si>
    <t>2024-11-22</t>
  </si>
  <si>
    <t>2024-11-23</t>
  </si>
  <si>
    <t>2024-11-24</t>
  </si>
  <si>
    <t>2024-11-25</t>
  </si>
  <si>
    <t>2024-11-26</t>
  </si>
  <si>
    <t>2024-11-28</t>
  </si>
  <si>
    <t>2024-11-29</t>
  </si>
  <si>
    <t>2024-11-30</t>
  </si>
  <si>
    <t>Dec</t>
  </si>
  <si>
    <t>2024-12-01</t>
  </si>
  <si>
    <t>2024-12-02</t>
  </si>
  <si>
    <t>2024-12-03</t>
  </si>
  <si>
    <t>2024-12-04</t>
  </si>
  <si>
    <t>2024-12-05</t>
  </si>
  <si>
    <t>2024-12-06</t>
  </si>
  <si>
    <t>2024-12-07</t>
  </si>
  <si>
    <t>2024-12-08</t>
  </si>
  <si>
    <t>2024-12-09</t>
  </si>
  <si>
    <t>2024-12-10</t>
  </si>
  <si>
    <t>2024-12-11</t>
  </si>
  <si>
    <t>2024-12-12</t>
  </si>
  <si>
    <t>2024-12-13</t>
  </si>
  <si>
    <t>2024-12-14</t>
  </si>
  <si>
    <t>2024-12-15</t>
  </si>
  <si>
    <t>2024-12-16</t>
  </si>
  <si>
    <t>2024-12-17</t>
  </si>
  <si>
    <t>2024-12-18</t>
  </si>
  <si>
    <t>2024-12-19</t>
  </si>
  <si>
    <t>2024-12-20</t>
  </si>
  <si>
    <t>2024-12-21</t>
  </si>
  <si>
    <t>2024-12-22</t>
  </si>
  <si>
    <t>2024-12-23</t>
  </si>
  <si>
    <t>2024-12-24</t>
  </si>
  <si>
    <t>2024-12-25</t>
  </si>
  <si>
    <t>2024-12-26</t>
  </si>
  <si>
    <t>2024-12-27</t>
  </si>
  <si>
    <t>2024-12-28</t>
  </si>
  <si>
    <t>2024-12-29</t>
  </si>
  <si>
    <t>2024-12-30</t>
  </si>
  <si>
    <t>2024-12-31</t>
  </si>
  <si>
    <t>Jan</t>
  </si>
  <si>
    <t>2025-01-02</t>
  </si>
  <si>
    <t>2025-01-03</t>
  </si>
  <si>
    <t>2025-01-04</t>
  </si>
  <si>
    <t>2025-01-05</t>
  </si>
  <si>
    <t>2025-01-06</t>
  </si>
  <si>
    <t>2025-01-07</t>
  </si>
  <si>
    <t>2025-01-08</t>
  </si>
  <si>
    <t>2025-01-09</t>
  </si>
  <si>
    <t>2025-01-10</t>
  </si>
  <si>
    <t>2025-01-11</t>
  </si>
  <si>
    <t>2025-01-12</t>
  </si>
  <si>
    <t>2025-01-13</t>
  </si>
  <si>
    <t>2025-01-14</t>
  </si>
  <si>
    <t>2025-01-15</t>
  </si>
  <si>
    <t>2025-01-16</t>
  </si>
  <si>
    <t>2025-01-17</t>
  </si>
  <si>
    <t>2025-01-18</t>
  </si>
  <si>
    <t>2025-01-20</t>
  </si>
  <si>
    <t>2025-01-21</t>
  </si>
  <si>
    <t>2025-01-22</t>
  </si>
  <si>
    <t>2025-01-24</t>
  </si>
  <si>
    <t>2025-01-25</t>
  </si>
  <si>
    <t>2025-01-26</t>
  </si>
  <si>
    <t>2025-01-27</t>
  </si>
  <si>
    <t>2025-01-28</t>
  </si>
  <si>
    <t>2025-01-29</t>
  </si>
  <si>
    <t>2025-01-30</t>
  </si>
  <si>
    <t>2025-01-31</t>
  </si>
  <si>
    <t>Feb</t>
  </si>
  <si>
    <t>2025-02-01</t>
  </si>
  <si>
    <t>2025-02-02</t>
  </si>
  <si>
    <t>2025-02-03</t>
  </si>
  <si>
    <t>2025-02-04</t>
  </si>
  <si>
    <t>2025-02-05</t>
  </si>
  <si>
    <t>2025-02-06</t>
  </si>
  <si>
    <t>2025-02-07</t>
  </si>
  <si>
    <t>2025-02-08</t>
  </si>
  <si>
    <t>2025-02-09</t>
  </si>
  <si>
    <t>2025-02-10</t>
  </si>
  <si>
    <t>2025-02-11</t>
  </si>
  <si>
    <t>2025-02-12</t>
  </si>
  <si>
    <t>2025-02-13</t>
  </si>
  <si>
    <t>2025-02-14</t>
  </si>
  <si>
    <t>2025-02-15</t>
  </si>
  <si>
    <t>2025-02-16</t>
  </si>
  <si>
    <t>2025-02-17</t>
  </si>
  <si>
    <t>2025-02-18</t>
  </si>
  <si>
    <t>2025-02-19</t>
  </si>
  <si>
    <t>2025-02-20</t>
  </si>
  <si>
    <t>2025-02-21</t>
  </si>
  <si>
    <t>2025-02-22</t>
  </si>
  <si>
    <t>2025-02-23</t>
  </si>
  <si>
    <t>2025-02-24</t>
  </si>
  <si>
    <t>2025-02-25</t>
  </si>
  <si>
    <t>2025-02-26</t>
  </si>
  <si>
    <t>2025-02-27</t>
  </si>
  <si>
    <t>2025-02-28</t>
  </si>
  <si>
    <t>2025-03-01</t>
  </si>
  <si>
    <t>2025-03-02</t>
  </si>
  <si>
    <t>2025-03-03</t>
  </si>
  <si>
    <t>2025-03-04</t>
  </si>
  <si>
    <t>2025-03-05</t>
  </si>
  <si>
    <t>2025-03-06</t>
  </si>
  <si>
    <t>2025-03-07</t>
  </si>
  <si>
    <t>2025-03-08</t>
  </si>
  <si>
    <t>2025-03-09</t>
  </si>
  <si>
    <t>2025-03-10</t>
  </si>
  <si>
    <t>2025-03-11</t>
  </si>
  <si>
    <t>2025-03-12</t>
  </si>
  <si>
    <t>2025-03-13</t>
  </si>
  <si>
    <t>2025-03-14</t>
  </si>
  <si>
    <t>2025-03-15</t>
  </si>
  <si>
    <t>2025-03-16</t>
  </si>
  <si>
    <t>2025-03-17</t>
  </si>
  <si>
    <t>2025-03-18</t>
  </si>
  <si>
    <t>2025-03-19</t>
  </si>
  <si>
    <t>2025-03-20</t>
  </si>
  <si>
    <t>2025-03-21</t>
  </si>
  <si>
    <t>2025-03-22</t>
  </si>
  <si>
    <t>2025-03-23</t>
  </si>
  <si>
    <t>Year</t>
  </si>
  <si>
    <t>Row Labels</t>
  </si>
  <si>
    <t>Grand Total</t>
  </si>
  <si>
    <t>REVENUE</t>
  </si>
  <si>
    <t>Revenue by Coffee Name</t>
  </si>
  <si>
    <t>Revenue by Year</t>
  </si>
  <si>
    <t>Revenue by Month</t>
  </si>
  <si>
    <t>Revenue by Weekday</t>
  </si>
  <si>
    <t>Quantity Sold by Weekday</t>
  </si>
  <si>
    <t>QTY SOLD</t>
  </si>
  <si>
    <t>Quantity Sold by Year and Month</t>
  </si>
  <si>
    <t>Column Labels</t>
  </si>
  <si>
    <t>Quantity Sold by Time of the Day</t>
  </si>
  <si>
    <t>Quantity Sold by Time of the Day and Coffee Name</t>
  </si>
  <si>
    <t>Transactions</t>
  </si>
  <si>
    <t>Qty</t>
  </si>
  <si>
    <t>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</si>
</sst>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quot;$&quot;* #,##0.00_);_(&quot;$&quot;* \(#,##0.00\);_(&quot;$&quot;* &quot;-&quot;??_);_(@_)"/>
    <numFmt numFmtId="165" formatCode="[$-F400]h:mm:ss\ AM/PM"/>
    <numFmt numFmtId="166" formatCode="&quot;$&quot;#,##0.00"/>
    <numFmt numFmtId="167" formatCode="_(* #,##0_);_(* \(#,##0\);_(* &quot;-&quot;??_);_(@_)"/>
  </numFmts>
  <fonts count="4" x14ac:knownFonts="1">
    <font>
      <sz val="11"/>
      <color theme="1"/>
      <name val="Aptos Narrow"/>
      <family val="2"/>
      <scheme val="minor"/>
    </font>
    <font>
      <sz val="11"/>
      <color theme="1"/>
      <name val="Aptos Narrow"/>
      <family val="2"/>
      <scheme val="minor"/>
    </font>
    <font>
      <b/>
      <sz val="11"/>
      <color theme="1"/>
      <name val="Aptos Narrow"/>
      <family val="2"/>
      <scheme val="minor"/>
    </font>
    <font>
      <b/>
      <sz val="11"/>
      <color rgb="FFFF0000"/>
      <name val="Aptos Narrow"/>
      <family val="2"/>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164" fontId="1" fillId="0" borderId="0" applyFont="0" applyFill="0" applyBorder="0" applyAlignment="0" applyProtection="0"/>
  </cellStyleXfs>
  <cellXfs count="10">
    <xf numFmtId="0" fontId="0" fillId="0" borderId="0" xfId="0"/>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3" fillId="0" borderId="0" xfId="0" applyFont="1"/>
    <xf numFmtId="3" fontId="0" fillId="0" borderId="0" xfId="0" applyNumberFormat="1"/>
    <xf numFmtId="166" fontId="0" fillId="0" borderId="1" xfId="2" applyNumberFormat="1" applyFont="1" applyBorder="1"/>
    <xf numFmtId="167" fontId="0" fillId="0" borderId="1" xfId="1" applyNumberFormat="1" applyFont="1" applyBorder="1"/>
    <xf numFmtId="0" fontId="2" fillId="2" borderId="1" xfId="0" applyFont="1" applyFill="1" applyBorder="1"/>
  </cellXfs>
  <cellStyles count="3">
    <cellStyle name="Comma" xfId="1" builtinId="3"/>
    <cellStyle name="Currency" xfId="2" builtinId="4"/>
    <cellStyle name="Normal" xfId="0" builtinId="0"/>
  </cellStyles>
  <dxfs count="13">
    <dxf>
      <numFmt numFmtId="0" formatCode="General"/>
    </dxf>
    <dxf>
      <numFmt numFmtId="165"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color rgb="FFF3EFE8"/>
      </font>
    </dxf>
    <dxf>
      <fill>
        <patternFill patternType="solid">
          <bgColor rgb="FF6D5649"/>
        </patternFill>
      </fill>
      <border diagonalUp="0" diagonalDown="0">
        <left/>
        <right/>
        <top/>
        <bottom/>
        <vertical/>
        <horizontal/>
      </border>
    </dxf>
  </dxfs>
  <tableStyles count="1" defaultTableStyle="TableStyleMedium2" defaultPivotStyle="PivotStyleLight16">
    <tableStyle name="Brown" pivot="0" table="0" count="5" xr9:uid="{8B4E650D-75D4-4C77-BA06-BE274D868F18}">
      <tableStyleElement type="wholeTable" dxfId="12"/>
      <tableStyleElement type="headerRow" dxfId="11"/>
    </tableStyle>
  </tableStyles>
  <colors>
    <mruColors>
      <color rgb="FFF3EFE8"/>
      <color rgb="FF2A2624"/>
      <color rgb="FFC9B8A4"/>
      <color rgb="FF6D5649"/>
      <color rgb="FFDEDBD0"/>
      <color rgb="FFB86A2E"/>
    </mruColors>
  </colors>
  <extLst>
    <ext xmlns:x14="http://schemas.microsoft.com/office/spreadsheetml/2009/9/main" uri="{46F421CA-312F-682f-3DD2-61675219B42D}">
      <x14:dxfs count="3">
        <dxf>
          <fill>
            <patternFill>
              <fgColor rgb="FFF3EFE8"/>
              <bgColor rgb="FFF3EFE8"/>
            </patternFill>
          </fill>
          <border>
            <left style="thin">
              <color auto="1"/>
            </left>
            <right style="thin">
              <color auto="1"/>
            </right>
            <top style="thin">
              <color auto="1"/>
            </top>
            <bottom style="thin">
              <color auto="1"/>
            </bottom>
          </border>
        </dxf>
        <dxf>
          <font>
            <b/>
            <i val="0"/>
            <color rgb="FF2A2624"/>
          </font>
          <fill>
            <patternFill patternType="solid">
              <fgColor rgb="FFC9B8A4"/>
              <bgColor rgb="FFC9B8A4"/>
            </patternFill>
          </fill>
          <border>
            <left style="thin">
              <color rgb="FFF3EFE8"/>
            </left>
            <right style="thin">
              <color rgb="FFF3EFE8"/>
            </right>
            <top style="thin">
              <color rgb="FFF3EFE8"/>
            </top>
            <bottom style="thin">
              <color rgb="FFF3EFE8"/>
            </bottom>
          </border>
        </dxf>
        <dxf>
          <font>
            <color rgb="FF2A2624"/>
          </font>
          <fill>
            <patternFill>
              <bgColor rgb="FFF3EFE8"/>
            </patternFill>
          </fill>
          <border diagonalUp="0" diagonalDown="0">
            <left style="thin">
              <color auto="1"/>
            </left>
            <right style="thin">
              <color auto="1"/>
            </right>
            <top style="thin">
              <color auto="1"/>
            </top>
            <bottom style="thin">
              <color auto="1"/>
            </bottom>
            <vertical/>
            <horizontal/>
          </border>
        </dxf>
      </x14:dxfs>
    </ext>
    <ext xmlns:x14="http://schemas.microsoft.com/office/spreadsheetml/2009/9/main" uri="{EB79DEF2-80B8-43e5-95BD-54CBDDF9020C}">
      <x14:slicerStyles defaultSlicerStyle="Brown">
        <x14:slicerStyle name="Brown">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Dashboard Project.xlsm]PIVOTS!PivotTable1</c:name>
    <c:fmtId val="2"/>
  </c:pivotSource>
  <c:chart>
    <c:title>
      <c:tx>
        <c:rich>
          <a:bodyPr rot="0" spcFirstLastPara="1" vertOverflow="ellipsis" vert="horz" wrap="square" anchor="ctr" anchorCtr="1"/>
          <a:lstStyle/>
          <a:p>
            <a:pPr>
              <a:defRPr sz="1400" b="0" i="0" u="none" strike="noStrike" kern="1200" spc="0" baseline="0">
                <a:solidFill>
                  <a:srgbClr val="F3EFE8"/>
                </a:solidFill>
                <a:latin typeface="+mn-lt"/>
                <a:ea typeface="+mn-ea"/>
                <a:cs typeface="+mn-cs"/>
              </a:defRPr>
            </a:pPr>
            <a:r>
              <a:rPr lang="en-US" sz="2000" b="1">
                <a:solidFill>
                  <a:srgbClr val="F3EFE8"/>
                </a:solidFill>
              </a:rPr>
              <a:t>Revenue by Product Category</a:t>
            </a:r>
          </a:p>
          <a:p>
            <a:pPr>
              <a:defRPr>
                <a:solidFill>
                  <a:srgbClr val="F3EFE8"/>
                </a:solidFill>
              </a:defRPr>
            </a:pPr>
            <a:endParaRPr lang="en-US" b="1">
              <a:solidFill>
                <a:srgbClr val="F3EFE8"/>
              </a:solidFill>
            </a:endParaRPr>
          </a:p>
        </c:rich>
      </c:tx>
      <c:layout>
        <c:manualLayout>
          <c:xMode val="edge"/>
          <c:yMode val="edge"/>
          <c:x val="0.2390551181102361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3EFE8"/>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9B8A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3EFE8"/>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614992580767934"/>
          <c:y val="0.12082256416967478"/>
          <c:w val="0.62005569400578331"/>
          <c:h val="0.8312866166710895"/>
        </c:manualLayout>
      </c:layout>
      <c:barChart>
        <c:barDir val="bar"/>
        <c:grouping val="clustered"/>
        <c:varyColors val="0"/>
        <c:ser>
          <c:idx val="0"/>
          <c:order val="0"/>
          <c:tx>
            <c:strRef>
              <c:f>PIVOTS!$B$3</c:f>
              <c:strCache>
                <c:ptCount val="1"/>
                <c:pt idx="0">
                  <c:v>Total</c:v>
                </c:pt>
              </c:strCache>
            </c:strRef>
          </c:tx>
          <c:spPr>
            <a:solidFill>
              <a:srgbClr val="C9B8A4"/>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3EFE8"/>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PIVOTS!$A$4:$A$12</c:f>
              <c:strCache>
                <c:ptCount val="8"/>
                <c:pt idx="0">
                  <c:v>Americano</c:v>
                </c:pt>
                <c:pt idx="1">
                  <c:v>Americano with Milk</c:v>
                </c:pt>
                <c:pt idx="2">
                  <c:v>Cappuccino</c:v>
                </c:pt>
                <c:pt idx="3">
                  <c:v>Cocoa</c:v>
                </c:pt>
                <c:pt idx="4">
                  <c:v>Cortado</c:v>
                </c:pt>
                <c:pt idx="5">
                  <c:v>Espresso</c:v>
                </c:pt>
                <c:pt idx="6">
                  <c:v>Hot Chocolate</c:v>
                </c:pt>
                <c:pt idx="7">
                  <c:v>Latte</c:v>
                </c:pt>
              </c:strCache>
            </c:strRef>
          </c:cat>
          <c:val>
            <c:numRef>
              <c:f>PIVOTS!$B$4:$B$12</c:f>
              <c:numCache>
                <c:formatCode>"$"#,##0.00</c:formatCode>
                <c:ptCount val="8"/>
                <c:pt idx="0">
                  <c:v>14650.259999999824</c:v>
                </c:pt>
                <c:pt idx="1">
                  <c:v>24751.120000000228</c:v>
                </c:pt>
                <c:pt idx="2">
                  <c:v>17439.139999999974</c:v>
                </c:pt>
                <c:pt idx="3">
                  <c:v>8521.1600000000381</c:v>
                </c:pt>
                <c:pt idx="4">
                  <c:v>7384.8600000000097</c:v>
                </c:pt>
                <c:pt idx="5">
                  <c:v>2690.2799999999938</c:v>
                </c:pt>
                <c:pt idx="6">
                  <c:v>9933.4600000000464</c:v>
                </c:pt>
                <c:pt idx="7">
                  <c:v>26875.299999999501</c:v>
                </c:pt>
              </c:numCache>
            </c:numRef>
          </c:val>
          <c:extLst>
            <c:ext xmlns:c16="http://schemas.microsoft.com/office/drawing/2014/chart" uri="{C3380CC4-5D6E-409C-BE32-E72D297353CC}">
              <c16:uniqueId val="{00000000-8DBA-43B7-83AB-9A44D273EBF6}"/>
            </c:ext>
          </c:extLst>
        </c:ser>
        <c:dLbls>
          <c:showLegendKey val="0"/>
          <c:showVal val="0"/>
          <c:showCatName val="0"/>
          <c:showSerName val="0"/>
          <c:showPercent val="0"/>
          <c:showBubbleSize val="0"/>
        </c:dLbls>
        <c:gapWidth val="50"/>
        <c:axId val="1565149328"/>
        <c:axId val="1565148848"/>
      </c:barChart>
      <c:catAx>
        <c:axId val="1565149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rgbClr val="F3EFE8"/>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565148848"/>
        <c:crosses val="autoZero"/>
        <c:auto val="1"/>
        <c:lblAlgn val="ctr"/>
        <c:lblOffset val="100"/>
        <c:noMultiLvlLbl val="0"/>
      </c:catAx>
      <c:valAx>
        <c:axId val="1565148848"/>
        <c:scaling>
          <c:orientation val="minMax"/>
        </c:scaling>
        <c:delete val="1"/>
        <c:axPos val="b"/>
        <c:numFmt formatCode="&quot;$&quot;#,##0.00" sourceLinked="1"/>
        <c:majorTickMark val="out"/>
        <c:minorTickMark val="none"/>
        <c:tickLblPos val="nextTo"/>
        <c:crossAx val="15651493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Dashboard Project.xlsm]PIVOTS!PivotTable3</c:name>
    <c:fmtId val="2"/>
  </c:pivotSource>
  <c:chart>
    <c:title>
      <c:tx>
        <c:rich>
          <a:bodyPr rot="0" spcFirstLastPara="1" vertOverflow="ellipsis" vert="horz" wrap="square" anchor="ctr" anchorCtr="1"/>
          <a:lstStyle/>
          <a:p>
            <a:pPr algn="ctr" rtl="0">
              <a:defRPr lang="en-US" sz="2000" b="1" i="0" u="none" strike="noStrike" kern="1200" spc="0" baseline="0">
                <a:solidFill>
                  <a:srgbClr val="F3EFE8"/>
                </a:solidFill>
                <a:latin typeface="+mn-lt"/>
                <a:ea typeface="+mn-ea"/>
                <a:cs typeface="+mn-cs"/>
              </a:defRPr>
            </a:pPr>
            <a:r>
              <a:rPr lang="en-US" sz="2000" b="1" i="0" u="none" strike="noStrike" kern="1200" spc="0" baseline="0">
                <a:solidFill>
                  <a:srgbClr val="F3EFE8"/>
                </a:solidFill>
                <a:latin typeface="+mn-lt"/>
                <a:ea typeface="+mn-ea"/>
                <a:cs typeface="+mn-cs"/>
              </a:rPr>
              <a:t>Revenue by Month</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rgbClr val="F3EFE8"/>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9B8A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F3EFE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174226564723426E-2"/>
          <c:y val="0.11299773057146302"/>
          <c:w val="0.9556515468705532"/>
          <c:h val="0.7775946720219109"/>
        </c:manualLayout>
      </c:layout>
      <c:barChart>
        <c:barDir val="col"/>
        <c:grouping val="clustered"/>
        <c:varyColors val="0"/>
        <c:ser>
          <c:idx val="0"/>
          <c:order val="0"/>
          <c:tx>
            <c:strRef>
              <c:f>PIVOTS!$H$3</c:f>
              <c:strCache>
                <c:ptCount val="1"/>
                <c:pt idx="0">
                  <c:v>Total</c:v>
                </c:pt>
              </c:strCache>
            </c:strRef>
          </c:tx>
          <c:spPr>
            <a:solidFill>
              <a:srgbClr val="C9B8A4"/>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F3EFE8"/>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PIVOTS!$H$4:$H$16</c:f>
              <c:numCache>
                <c:formatCode>"$"#,##0.00</c:formatCode>
                <c:ptCount val="12"/>
                <c:pt idx="0">
                  <c:v>6398.8600000000124</c:v>
                </c:pt>
                <c:pt idx="1">
                  <c:v>13215.479999999996</c:v>
                </c:pt>
                <c:pt idx="2">
                  <c:v>15891.639999999976</c:v>
                </c:pt>
                <c:pt idx="3">
                  <c:v>5719.5600000000022</c:v>
                </c:pt>
                <c:pt idx="4">
                  <c:v>8164.4200000000119</c:v>
                </c:pt>
                <c:pt idx="5">
                  <c:v>7617.7600000000057</c:v>
                </c:pt>
                <c:pt idx="6">
                  <c:v>6915.940000000006</c:v>
                </c:pt>
                <c:pt idx="7">
                  <c:v>7613.8400000000147</c:v>
                </c:pt>
                <c:pt idx="8">
                  <c:v>9988.6400000000067</c:v>
                </c:pt>
                <c:pt idx="9">
                  <c:v>13891.16000000004</c:v>
                </c:pt>
                <c:pt idx="10">
                  <c:v>8590.5400000000227</c:v>
                </c:pt>
                <c:pt idx="11">
                  <c:v>8237.740000000018</c:v>
                </c:pt>
              </c:numCache>
            </c:numRef>
          </c:val>
          <c:extLst>
            <c:ext xmlns:c16="http://schemas.microsoft.com/office/drawing/2014/chart" uri="{C3380CC4-5D6E-409C-BE32-E72D297353CC}">
              <c16:uniqueId val="{00000000-F070-4DC2-B212-0B7D60F575F0}"/>
            </c:ext>
          </c:extLst>
        </c:ser>
        <c:dLbls>
          <c:showLegendKey val="0"/>
          <c:showVal val="0"/>
          <c:showCatName val="0"/>
          <c:showSerName val="0"/>
          <c:showPercent val="0"/>
          <c:showBubbleSize val="0"/>
        </c:dLbls>
        <c:gapWidth val="50"/>
        <c:overlap val="-27"/>
        <c:axId val="1558627584"/>
        <c:axId val="1558625664"/>
      </c:barChart>
      <c:catAx>
        <c:axId val="155862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F3EFE8"/>
                </a:solidFill>
                <a:latin typeface="+mn-lt"/>
                <a:ea typeface="+mn-ea"/>
                <a:cs typeface="+mn-cs"/>
              </a:defRPr>
            </a:pPr>
            <a:endParaRPr lang="en-US"/>
          </a:p>
        </c:txPr>
        <c:crossAx val="1558625664"/>
        <c:crosses val="autoZero"/>
        <c:auto val="1"/>
        <c:lblAlgn val="ctr"/>
        <c:lblOffset val="100"/>
        <c:noMultiLvlLbl val="0"/>
      </c:catAx>
      <c:valAx>
        <c:axId val="1558625664"/>
        <c:scaling>
          <c:orientation val="minMax"/>
        </c:scaling>
        <c:delete val="1"/>
        <c:axPos val="l"/>
        <c:numFmt formatCode="&quot;$&quot;#,##0.00" sourceLinked="1"/>
        <c:majorTickMark val="none"/>
        <c:minorTickMark val="none"/>
        <c:tickLblPos val="nextTo"/>
        <c:crossAx val="1558627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Dashboard Project.xlsm]PIVOTS!PivotTable8</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3EF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9B8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318839560933945E-2"/>
          <c:y val="9.6192612556688969E-2"/>
          <c:w val="0.95536232087813211"/>
          <c:h val="0.76905512619229655"/>
        </c:manualLayout>
      </c:layout>
      <c:barChart>
        <c:barDir val="col"/>
        <c:grouping val="clustered"/>
        <c:varyColors val="0"/>
        <c:ser>
          <c:idx val="0"/>
          <c:order val="0"/>
          <c:tx>
            <c:strRef>
              <c:f>PIVOTS!$Y$3:$Y$4</c:f>
              <c:strCache>
                <c:ptCount val="1"/>
                <c:pt idx="0">
                  <c:v>Afternoon</c:v>
                </c:pt>
              </c:strCache>
            </c:strRef>
          </c:tx>
          <c:spPr>
            <a:solidFill>
              <a:srgbClr val="F3EFE8"/>
            </a:solidFill>
            <a:ln>
              <a:noFill/>
            </a:ln>
            <a:effectLst/>
          </c:spPr>
          <c:invertIfNegative val="0"/>
          <c:cat>
            <c:strRef>
              <c:f>PIVOTS!$X$5:$X$13</c:f>
              <c:strCache>
                <c:ptCount val="8"/>
                <c:pt idx="0">
                  <c:v>Americano</c:v>
                </c:pt>
                <c:pt idx="1">
                  <c:v>Americano with Milk</c:v>
                </c:pt>
                <c:pt idx="2">
                  <c:v>Cappuccino</c:v>
                </c:pt>
                <c:pt idx="3">
                  <c:v>Cocoa</c:v>
                </c:pt>
                <c:pt idx="4">
                  <c:v>Cortado</c:v>
                </c:pt>
                <c:pt idx="5">
                  <c:v>Espresso</c:v>
                </c:pt>
                <c:pt idx="6">
                  <c:v>Hot Chocolate</c:v>
                </c:pt>
                <c:pt idx="7">
                  <c:v>Latte</c:v>
                </c:pt>
              </c:strCache>
            </c:strRef>
          </c:cat>
          <c:val>
            <c:numRef>
              <c:f>PIVOTS!$Y$5:$Y$13</c:f>
              <c:numCache>
                <c:formatCode>#,##0</c:formatCode>
                <c:ptCount val="8"/>
                <c:pt idx="0">
                  <c:v>233</c:v>
                </c:pt>
                <c:pt idx="1">
                  <c:v>239</c:v>
                </c:pt>
                <c:pt idx="2">
                  <c:v>164</c:v>
                </c:pt>
                <c:pt idx="3">
                  <c:v>75</c:v>
                </c:pt>
                <c:pt idx="4">
                  <c:v>88</c:v>
                </c:pt>
                <c:pt idx="5">
                  <c:v>56</c:v>
                </c:pt>
                <c:pt idx="6">
                  <c:v>80</c:v>
                </c:pt>
                <c:pt idx="7">
                  <c:v>270</c:v>
                </c:pt>
              </c:numCache>
            </c:numRef>
          </c:val>
          <c:extLst>
            <c:ext xmlns:c16="http://schemas.microsoft.com/office/drawing/2014/chart" uri="{C3380CC4-5D6E-409C-BE32-E72D297353CC}">
              <c16:uniqueId val="{00000000-27B7-4FBA-93C7-ADD27A8A7FFC}"/>
            </c:ext>
          </c:extLst>
        </c:ser>
        <c:ser>
          <c:idx val="1"/>
          <c:order val="1"/>
          <c:tx>
            <c:strRef>
              <c:f>PIVOTS!$Z$3:$Z$4</c:f>
              <c:strCache>
                <c:ptCount val="1"/>
                <c:pt idx="0">
                  <c:v>Morning</c:v>
                </c:pt>
              </c:strCache>
            </c:strRef>
          </c:tx>
          <c:spPr>
            <a:solidFill>
              <a:schemeClr val="accent2"/>
            </a:solidFill>
            <a:ln>
              <a:noFill/>
            </a:ln>
            <a:effectLst>
              <a:outerShdw blurRad="50800" dist="38100" dir="2700000" algn="tl" rotWithShape="0">
                <a:prstClr val="black">
                  <a:alpha val="40000"/>
                </a:prstClr>
              </a:outerShdw>
            </a:effectLst>
          </c:spPr>
          <c:invertIfNegative val="0"/>
          <c:cat>
            <c:strRef>
              <c:f>PIVOTS!$X$5:$X$13</c:f>
              <c:strCache>
                <c:ptCount val="8"/>
                <c:pt idx="0">
                  <c:v>Americano</c:v>
                </c:pt>
                <c:pt idx="1">
                  <c:v>Americano with Milk</c:v>
                </c:pt>
                <c:pt idx="2">
                  <c:v>Cappuccino</c:v>
                </c:pt>
                <c:pt idx="3">
                  <c:v>Cocoa</c:v>
                </c:pt>
                <c:pt idx="4">
                  <c:v>Cortado</c:v>
                </c:pt>
                <c:pt idx="5">
                  <c:v>Espresso</c:v>
                </c:pt>
                <c:pt idx="6">
                  <c:v>Hot Chocolate</c:v>
                </c:pt>
                <c:pt idx="7">
                  <c:v>Latte</c:v>
                </c:pt>
              </c:strCache>
            </c:strRef>
          </c:cat>
          <c:val>
            <c:numRef>
              <c:f>PIVOTS!$Z$5:$Z$13</c:f>
              <c:numCache>
                <c:formatCode>#,##0</c:formatCode>
                <c:ptCount val="8"/>
                <c:pt idx="0">
                  <c:v>219</c:v>
                </c:pt>
                <c:pt idx="1">
                  <c:v>331</c:v>
                </c:pt>
                <c:pt idx="2">
                  <c:v>122</c:v>
                </c:pt>
                <c:pt idx="3">
                  <c:v>58</c:v>
                </c:pt>
                <c:pt idx="4">
                  <c:v>143</c:v>
                </c:pt>
                <c:pt idx="5">
                  <c:v>44</c:v>
                </c:pt>
                <c:pt idx="6">
                  <c:v>49</c:v>
                </c:pt>
                <c:pt idx="7">
                  <c:v>215</c:v>
                </c:pt>
              </c:numCache>
            </c:numRef>
          </c:val>
          <c:extLst>
            <c:ext xmlns:c16="http://schemas.microsoft.com/office/drawing/2014/chart" uri="{C3380CC4-5D6E-409C-BE32-E72D297353CC}">
              <c16:uniqueId val="{00000004-27B7-4FBA-93C7-ADD27A8A7FFC}"/>
            </c:ext>
          </c:extLst>
        </c:ser>
        <c:ser>
          <c:idx val="2"/>
          <c:order val="2"/>
          <c:tx>
            <c:strRef>
              <c:f>PIVOTS!$AA$3:$AA$4</c:f>
              <c:strCache>
                <c:ptCount val="1"/>
                <c:pt idx="0">
                  <c:v>Night</c:v>
                </c:pt>
              </c:strCache>
            </c:strRef>
          </c:tx>
          <c:spPr>
            <a:solidFill>
              <a:srgbClr val="C9B8A4"/>
            </a:solidFill>
            <a:ln>
              <a:noFill/>
            </a:ln>
            <a:effectLst/>
          </c:spPr>
          <c:invertIfNegative val="0"/>
          <c:cat>
            <c:strRef>
              <c:f>PIVOTS!$X$5:$X$13</c:f>
              <c:strCache>
                <c:ptCount val="8"/>
                <c:pt idx="0">
                  <c:v>Americano</c:v>
                </c:pt>
                <c:pt idx="1">
                  <c:v>Americano with Milk</c:v>
                </c:pt>
                <c:pt idx="2">
                  <c:v>Cappuccino</c:v>
                </c:pt>
                <c:pt idx="3">
                  <c:v>Cocoa</c:v>
                </c:pt>
                <c:pt idx="4">
                  <c:v>Cortado</c:v>
                </c:pt>
                <c:pt idx="5">
                  <c:v>Espresso</c:v>
                </c:pt>
                <c:pt idx="6">
                  <c:v>Hot Chocolate</c:v>
                </c:pt>
                <c:pt idx="7">
                  <c:v>Latte</c:v>
                </c:pt>
              </c:strCache>
            </c:strRef>
          </c:cat>
          <c:val>
            <c:numRef>
              <c:f>PIVOTS!$AA$5:$AA$13</c:f>
              <c:numCache>
                <c:formatCode>#,##0</c:formatCode>
                <c:ptCount val="8"/>
                <c:pt idx="0">
                  <c:v>112</c:v>
                </c:pt>
                <c:pt idx="1">
                  <c:v>239</c:v>
                </c:pt>
                <c:pt idx="2">
                  <c:v>200</c:v>
                </c:pt>
                <c:pt idx="3">
                  <c:v>106</c:v>
                </c:pt>
                <c:pt idx="4">
                  <c:v>56</c:v>
                </c:pt>
                <c:pt idx="5">
                  <c:v>29</c:v>
                </c:pt>
                <c:pt idx="6">
                  <c:v>147</c:v>
                </c:pt>
                <c:pt idx="7">
                  <c:v>272</c:v>
                </c:pt>
              </c:numCache>
            </c:numRef>
          </c:val>
          <c:extLst>
            <c:ext xmlns:c16="http://schemas.microsoft.com/office/drawing/2014/chart" uri="{C3380CC4-5D6E-409C-BE32-E72D297353CC}">
              <c16:uniqueId val="{00000005-27B7-4FBA-93C7-ADD27A8A7FFC}"/>
            </c:ext>
          </c:extLst>
        </c:ser>
        <c:dLbls>
          <c:showLegendKey val="0"/>
          <c:showVal val="0"/>
          <c:showCatName val="0"/>
          <c:showSerName val="0"/>
          <c:showPercent val="0"/>
          <c:showBubbleSize val="0"/>
        </c:dLbls>
        <c:gapWidth val="219"/>
        <c:overlap val="-27"/>
        <c:axId val="1226960592"/>
        <c:axId val="1226961072"/>
      </c:barChart>
      <c:catAx>
        <c:axId val="122696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rgbClr val="F3EFE8"/>
                </a:solidFill>
                <a:latin typeface="+mn-lt"/>
                <a:ea typeface="+mn-ea"/>
                <a:cs typeface="+mn-cs"/>
              </a:defRPr>
            </a:pPr>
            <a:endParaRPr lang="en-US"/>
          </a:p>
        </c:txPr>
        <c:crossAx val="1226961072"/>
        <c:crosses val="autoZero"/>
        <c:auto val="1"/>
        <c:lblAlgn val="ctr"/>
        <c:lblOffset val="100"/>
        <c:noMultiLvlLbl val="0"/>
      </c:catAx>
      <c:valAx>
        <c:axId val="1226961072"/>
        <c:scaling>
          <c:orientation val="minMax"/>
        </c:scaling>
        <c:delete val="1"/>
        <c:axPos val="l"/>
        <c:numFmt formatCode="#,##0" sourceLinked="1"/>
        <c:majorTickMark val="none"/>
        <c:minorTickMark val="none"/>
        <c:tickLblPos val="nextTo"/>
        <c:crossAx val="12269605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rgbClr val="F3EFE8"/>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Dashboard Project.xlsm]PIVOTS!PivotTable5</c:name>
    <c:fmtId val="2"/>
  </c:pivotSource>
  <c:chart>
    <c:title>
      <c:tx>
        <c:rich>
          <a:bodyPr rot="0" spcFirstLastPara="1" vertOverflow="ellipsis" vert="horz" wrap="square" anchor="ctr" anchorCtr="1"/>
          <a:lstStyle/>
          <a:p>
            <a:pPr algn="ctr" rtl="0">
              <a:defRPr lang="en-US" sz="2000" b="1" i="0" u="none" strike="noStrike" kern="1200" cap="all" spc="0" normalizeH="0" baseline="0">
                <a:solidFill>
                  <a:srgbClr val="F3EFE8"/>
                </a:solidFill>
                <a:latin typeface="+mn-lt"/>
                <a:ea typeface="+mn-ea"/>
                <a:cs typeface="+mn-cs"/>
              </a:defRPr>
            </a:pPr>
            <a:r>
              <a:rPr lang="en-US" sz="2000" b="1" i="0" u="none" strike="noStrike" kern="1200" spc="0" baseline="0">
                <a:solidFill>
                  <a:srgbClr val="F3EFE8"/>
                </a:solidFill>
                <a:latin typeface="+mn-lt"/>
                <a:ea typeface="+mn-ea"/>
                <a:cs typeface="+mn-cs"/>
              </a:rPr>
              <a:t>Weekday Transaction Count</a:t>
            </a:r>
          </a:p>
        </c:rich>
      </c:tx>
      <c:overlay val="0"/>
      <c:spPr>
        <a:noFill/>
        <a:ln>
          <a:noFill/>
        </a:ln>
        <a:effectLst/>
      </c:spPr>
      <c:txPr>
        <a:bodyPr rot="0" spcFirstLastPara="1" vertOverflow="ellipsis" vert="horz" wrap="square" anchor="ctr" anchorCtr="1"/>
        <a:lstStyle/>
        <a:p>
          <a:pPr algn="ctr" rtl="0">
            <a:defRPr lang="en-US" sz="2000" b="1" i="0" u="none" strike="noStrike" kern="1200" cap="all" spc="0" normalizeH="0" baseline="0">
              <a:solidFill>
                <a:srgbClr val="F3EFE8"/>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ysClr val="window" lastClr="FFFFFF"/>
            </a:solidFill>
            <a:ln>
              <a:solidFill>
                <a:srgbClr val="156082"/>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solidFill>
                  <a:schemeClr val="accent1"/>
                </a:solidFill>
                <a:ln>
                  <a:noFill/>
                </a:ln>
              </c15:spPr>
            </c:ext>
          </c:extLst>
        </c:dLbl>
      </c:pivotFmt>
    </c:pivotFmts>
    <c:plotArea>
      <c:layout>
        <c:manualLayout>
          <c:layoutTarget val="inner"/>
          <c:xMode val="edge"/>
          <c:yMode val="edge"/>
          <c:x val="3.3011793268193527E-2"/>
          <c:y val="0.13502943103509774"/>
          <c:w val="0.93397641346361293"/>
          <c:h val="0.72708840178551537"/>
        </c:manualLayout>
      </c:layout>
      <c:lineChart>
        <c:grouping val="standard"/>
        <c:varyColors val="0"/>
        <c:ser>
          <c:idx val="0"/>
          <c:order val="0"/>
          <c:tx>
            <c:strRef>
              <c:f>PIVOTS!$N$3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ysClr val="window" lastClr="FFFFFF"/>
              </a:solidFill>
              <a:ln>
                <a:solidFill>
                  <a:srgbClr val="156082"/>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solidFill>
                    <a:schemeClr val="accent1"/>
                  </a:solidFill>
                  <a:ln>
                    <a:noFill/>
                  </a:ln>
                </c15:spPr>
                <c15:showLeaderLines val="0"/>
              </c:ext>
            </c:extLst>
          </c:dLbls>
          <c:cat>
            <c:strRef>
              <c:f>PIVOTS!$M$4:$M$11</c:f>
              <c:strCache>
                <c:ptCount val="7"/>
                <c:pt idx="0">
                  <c:v>Sun</c:v>
                </c:pt>
                <c:pt idx="1">
                  <c:v>Mon</c:v>
                </c:pt>
                <c:pt idx="2">
                  <c:v>Tue</c:v>
                </c:pt>
                <c:pt idx="3">
                  <c:v>Wed</c:v>
                </c:pt>
                <c:pt idx="4">
                  <c:v>Thu</c:v>
                </c:pt>
                <c:pt idx="5">
                  <c:v>Fri</c:v>
                </c:pt>
                <c:pt idx="6">
                  <c:v>Sat</c:v>
                </c:pt>
              </c:strCache>
            </c:strRef>
          </c:cat>
          <c:val>
            <c:numRef>
              <c:f>PIVOTS!$N$4:$N$11</c:f>
              <c:numCache>
                <c:formatCode>#,##0</c:formatCode>
                <c:ptCount val="7"/>
                <c:pt idx="0">
                  <c:v>419</c:v>
                </c:pt>
                <c:pt idx="1">
                  <c:v>544</c:v>
                </c:pt>
                <c:pt idx="2">
                  <c:v>572</c:v>
                </c:pt>
                <c:pt idx="3">
                  <c:v>500</c:v>
                </c:pt>
                <c:pt idx="4">
                  <c:v>510</c:v>
                </c:pt>
                <c:pt idx="5">
                  <c:v>532</c:v>
                </c:pt>
                <c:pt idx="6">
                  <c:v>470</c:v>
                </c:pt>
              </c:numCache>
            </c:numRef>
          </c:val>
          <c:smooth val="0"/>
          <c:extLst>
            <c:ext xmlns:c16="http://schemas.microsoft.com/office/drawing/2014/chart" uri="{C3380CC4-5D6E-409C-BE32-E72D297353CC}">
              <c16:uniqueId val="{00000000-B0F6-44F9-A67D-DEEC4E0A8666}"/>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558648576"/>
        <c:axId val="1558647136"/>
      </c:lineChart>
      <c:catAx>
        <c:axId val="15586485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spc="30" baseline="0">
                <a:solidFill>
                  <a:schemeClr val="lt1"/>
                </a:solidFill>
                <a:latin typeface="+mn-lt"/>
                <a:ea typeface="+mn-ea"/>
                <a:cs typeface="+mn-cs"/>
              </a:defRPr>
            </a:pPr>
            <a:endParaRPr lang="en-US"/>
          </a:p>
        </c:txPr>
        <c:crossAx val="1558647136"/>
        <c:crosses val="autoZero"/>
        <c:auto val="1"/>
        <c:lblAlgn val="ctr"/>
        <c:lblOffset val="100"/>
        <c:noMultiLvlLbl val="0"/>
      </c:catAx>
      <c:valAx>
        <c:axId val="1558647136"/>
        <c:scaling>
          <c:orientation val="minMax"/>
        </c:scaling>
        <c:delete val="1"/>
        <c:axPos val="l"/>
        <c:numFmt formatCode="#,##0" sourceLinked="1"/>
        <c:majorTickMark val="none"/>
        <c:minorTickMark val="none"/>
        <c:tickLblPos val="nextTo"/>
        <c:crossAx val="1558648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Dashboard Project.xlsm]PIVOTS!PivotTable7</c:name>
    <c:fmtId val="3"/>
  </c:pivotSource>
  <c:chart>
    <c:title>
      <c:tx>
        <c:rich>
          <a:bodyPr rot="0" spcFirstLastPara="1" vertOverflow="ellipsis" vert="horz" wrap="square" anchor="ctr" anchorCtr="1"/>
          <a:lstStyle/>
          <a:p>
            <a:pPr algn="ctr" rtl="0">
              <a:defRPr lang="en-US" sz="2000" b="1" i="0" u="none" strike="noStrike" kern="1200" spc="0" baseline="0">
                <a:solidFill>
                  <a:srgbClr val="F3EFE8"/>
                </a:solidFill>
                <a:latin typeface="+mn-lt"/>
                <a:ea typeface="+mn-ea"/>
                <a:cs typeface="+mn-cs"/>
              </a:defRPr>
            </a:pPr>
            <a:r>
              <a:rPr lang="en-US" sz="2000" b="1" i="0" u="none" strike="noStrike" kern="1200" spc="0" baseline="0">
                <a:solidFill>
                  <a:srgbClr val="F3EFE8"/>
                </a:solidFill>
                <a:latin typeface="+mn-lt"/>
                <a:ea typeface="+mn-ea"/>
                <a:cs typeface="+mn-cs"/>
              </a:rPr>
              <a:t>Qty Sold by Time of the Day</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rgbClr val="F3EFE8"/>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3EFE8"/>
          </a:solidFill>
          <a:ln w="19050">
            <a:noFill/>
          </a:ln>
          <a:effectLst>
            <a:outerShdw blurRad="50800" dist="38100" dir="2700000" algn="tl" rotWithShape="0">
              <a:prstClr val="black">
                <a:alpha val="40000"/>
              </a:prstClr>
            </a:outerShdw>
          </a:effectLst>
        </c:spPr>
      </c:pivotFmt>
      <c:pivotFmt>
        <c:idx val="7"/>
        <c:spPr>
          <a:solidFill>
            <a:schemeClr val="accent2"/>
          </a:solidFill>
          <a:ln w="19050">
            <a:noFill/>
          </a:ln>
          <a:effectLst>
            <a:outerShdw blurRad="50800" dist="38100" dir="2700000" algn="tl" rotWithShape="0">
              <a:prstClr val="black">
                <a:alpha val="40000"/>
              </a:prstClr>
            </a:outerShdw>
          </a:effectLst>
        </c:spPr>
      </c:pivotFmt>
      <c:pivotFmt>
        <c:idx val="8"/>
        <c:spPr>
          <a:solidFill>
            <a:srgbClr val="C9B8A4"/>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13754593175853019"/>
          <c:y val="0.19949349740117492"/>
          <c:w val="0.72187783345263656"/>
          <c:h val="0.73621980275746302"/>
        </c:manualLayout>
      </c:layout>
      <c:barChart>
        <c:barDir val="bar"/>
        <c:grouping val="clustered"/>
        <c:varyColors val="0"/>
        <c:ser>
          <c:idx val="0"/>
          <c:order val="0"/>
          <c:tx>
            <c:strRef>
              <c:f>PIVOTS!$V$3</c:f>
              <c:strCache>
                <c:ptCount val="1"/>
                <c:pt idx="0">
                  <c:v>Total</c:v>
                </c:pt>
              </c:strCache>
            </c:strRef>
          </c:tx>
          <c:spPr>
            <a:solidFill>
              <a:schemeClr val="accent1"/>
            </a:solidFill>
            <a:ln w="19050">
              <a:noFill/>
            </a:ln>
            <a:effectLst>
              <a:outerShdw blurRad="50800" dist="38100" dir="2700000" algn="tl" rotWithShape="0">
                <a:prstClr val="black">
                  <a:alpha val="40000"/>
                </a:prstClr>
              </a:outerShdw>
            </a:effectLst>
          </c:spPr>
          <c:invertIfNegative val="0"/>
          <c:dPt>
            <c:idx val="0"/>
            <c:invertIfNegative val="0"/>
            <c:bubble3D val="0"/>
            <c:spPr>
              <a:solidFill>
                <a:srgbClr val="F3EFE8"/>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7B5E-4ED4-8404-2EED4E346B76}"/>
              </c:ext>
            </c:extLst>
          </c:dPt>
          <c:dPt>
            <c:idx val="1"/>
            <c:invertIfNegative val="0"/>
            <c:bubble3D val="0"/>
            <c:spPr>
              <a:solidFill>
                <a:schemeClr val="accent2"/>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7B5E-4ED4-8404-2EED4E346B76}"/>
              </c:ext>
            </c:extLst>
          </c:dPt>
          <c:dPt>
            <c:idx val="2"/>
            <c:invertIfNegative val="0"/>
            <c:bubble3D val="0"/>
            <c:spPr>
              <a:solidFill>
                <a:srgbClr val="C9B8A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7B5E-4ED4-8404-2EED4E346B76}"/>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PIVOTS!$U$4:$U$7</c:f>
              <c:strCache>
                <c:ptCount val="3"/>
                <c:pt idx="0">
                  <c:v>Afternoon</c:v>
                </c:pt>
                <c:pt idx="1">
                  <c:v>Morning</c:v>
                </c:pt>
                <c:pt idx="2">
                  <c:v>Night</c:v>
                </c:pt>
              </c:strCache>
            </c:strRef>
          </c:cat>
          <c:val>
            <c:numRef>
              <c:f>PIVOTS!$V$4:$V$7</c:f>
              <c:numCache>
                <c:formatCode>#,##0</c:formatCode>
                <c:ptCount val="3"/>
                <c:pt idx="0">
                  <c:v>1205</c:v>
                </c:pt>
                <c:pt idx="1">
                  <c:v>1181</c:v>
                </c:pt>
                <c:pt idx="2">
                  <c:v>1161</c:v>
                </c:pt>
              </c:numCache>
            </c:numRef>
          </c:val>
          <c:extLst>
            <c:ext xmlns:c16="http://schemas.microsoft.com/office/drawing/2014/chart" uri="{C3380CC4-5D6E-409C-BE32-E72D297353CC}">
              <c16:uniqueId val="{00000006-7B5E-4ED4-8404-2EED4E346B76}"/>
            </c:ext>
          </c:extLst>
        </c:ser>
        <c:dLbls>
          <c:showLegendKey val="0"/>
          <c:showVal val="0"/>
          <c:showCatName val="0"/>
          <c:showSerName val="0"/>
          <c:showPercent val="0"/>
          <c:showBubbleSize val="0"/>
        </c:dLbls>
        <c:gapWidth val="100"/>
        <c:axId val="1326478912"/>
        <c:axId val="1326477120"/>
      </c:barChart>
      <c:valAx>
        <c:axId val="1326477120"/>
        <c:scaling>
          <c:orientation val="minMax"/>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6478912"/>
        <c:crossBetween val="between"/>
      </c:valAx>
      <c:catAx>
        <c:axId val="132647891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6477120"/>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rgbClr val="F3EFE8"/>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78242</xdr:colOff>
      <xdr:row>0</xdr:row>
      <xdr:rowOff>57832</xdr:rowOff>
    </xdr:from>
    <xdr:to>
      <xdr:col>36</xdr:col>
      <xdr:colOff>244929</xdr:colOff>
      <xdr:row>50</xdr:row>
      <xdr:rowOff>188800</xdr:rowOff>
    </xdr:to>
    <xdr:sp macro="" textlink="">
      <xdr:nvSpPr>
        <xdr:cNvPr id="2" name="Rectangle: Rounded Corners 1">
          <a:extLst>
            <a:ext uri="{FF2B5EF4-FFF2-40B4-BE49-F238E27FC236}">
              <a16:creationId xmlns:a16="http://schemas.microsoft.com/office/drawing/2014/main" id="{03A1FF44-2C78-D93F-2F57-59856B5A77A8}"/>
            </a:ext>
          </a:extLst>
        </xdr:cNvPr>
        <xdr:cNvSpPr/>
      </xdr:nvSpPr>
      <xdr:spPr>
        <a:xfrm>
          <a:off x="78242" y="57832"/>
          <a:ext cx="22210258" cy="9655968"/>
        </a:xfrm>
        <a:prstGeom prst="roundRect">
          <a:avLst>
            <a:gd name="adj" fmla="val 2433"/>
          </a:avLst>
        </a:prstGeom>
        <a:solidFill>
          <a:srgbClr val="F3EFE8"/>
        </a:solidFill>
        <a:ln>
          <a:solidFill>
            <a:srgbClr val="2A262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202405</xdr:colOff>
      <xdr:row>0</xdr:row>
      <xdr:rowOff>165497</xdr:rowOff>
    </xdr:from>
    <xdr:to>
      <xdr:col>4</xdr:col>
      <xdr:colOff>214312</xdr:colOff>
      <xdr:row>11</xdr:row>
      <xdr:rowOff>35718</xdr:rowOff>
    </xdr:to>
    <xdr:sp macro="" textlink="">
      <xdr:nvSpPr>
        <xdr:cNvPr id="4" name="Rectangle: Rounded Corners 3">
          <a:extLst>
            <a:ext uri="{FF2B5EF4-FFF2-40B4-BE49-F238E27FC236}">
              <a16:creationId xmlns:a16="http://schemas.microsoft.com/office/drawing/2014/main" id="{0CF99AF9-57F6-4FC0-842E-5D0CAD42AA71}"/>
            </a:ext>
          </a:extLst>
        </xdr:cNvPr>
        <xdr:cNvSpPr/>
      </xdr:nvSpPr>
      <xdr:spPr>
        <a:xfrm>
          <a:off x="202405" y="165497"/>
          <a:ext cx="2697050" cy="2065507"/>
        </a:xfrm>
        <a:prstGeom prst="roundRect">
          <a:avLst>
            <a:gd name="adj" fmla="val 12203"/>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clientData/>
  </xdr:twoCellAnchor>
  <xdr:twoCellAnchor>
    <xdr:from>
      <xdr:col>4</xdr:col>
      <xdr:colOff>293951</xdr:colOff>
      <xdr:row>0</xdr:row>
      <xdr:rowOff>165498</xdr:rowOff>
    </xdr:from>
    <xdr:to>
      <xdr:col>30</xdr:col>
      <xdr:colOff>40744</xdr:colOff>
      <xdr:row>7</xdr:row>
      <xdr:rowOff>165498</xdr:rowOff>
    </xdr:to>
    <xdr:sp macro="" textlink="">
      <xdr:nvSpPr>
        <xdr:cNvPr id="5" name="Rectangle: Rounded Corners 4">
          <a:extLst>
            <a:ext uri="{FF2B5EF4-FFF2-40B4-BE49-F238E27FC236}">
              <a16:creationId xmlns:a16="http://schemas.microsoft.com/office/drawing/2014/main" id="{A6CDDD1F-8676-4E87-87D0-228D34BF2807}"/>
            </a:ext>
          </a:extLst>
        </xdr:cNvPr>
        <xdr:cNvSpPr/>
      </xdr:nvSpPr>
      <xdr:spPr>
        <a:xfrm>
          <a:off x="2722826" y="165498"/>
          <a:ext cx="15534481" cy="1333500"/>
        </a:xfrm>
        <a:prstGeom prst="roundRect">
          <a:avLst>
            <a:gd name="adj" fmla="val 10417"/>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clientData/>
  </xdr:twoCellAnchor>
  <xdr:twoCellAnchor>
    <xdr:from>
      <xdr:col>33</xdr:col>
      <xdr:colOff>188117</xdr:colOff>
      <xdr:row>0</xdr:row>
      <xdr:rowOff>165498</xdr:rowOff>
    </xdr:from>
    <xdr:to>
      <xdr:col>36</xdr:col>
      <xdr:colOff>176211</xdr:colOff>
      <xdr:row>7</xdr:row>
      <xdr:rowOff>165498</xdr:rowOff>
    </xdr:to>
    <xdr:sp macro="" textlink="">
      <xdr:nvSpPr>
        <xdr:cNvPr id="6" name="Rectangle: Rounded Corners 5">
          <a:extLst>
            <a:ext uri="{FF2B5EF4-FFF2-40B4-BE49-F238E27FC236}">
              <a16:creationId xmlns:a16="http://schemas.microsoft.com/office/drawing/2014/main" id="{B89CFC6E-6086-4D92-955C-9744902817D5}"/>
            </a:ext>
          </a:extLst>
        </xdr:cNvPr>
        <xdr:cNvSpPr/>
      </xdr:nvSpPr>
      <xdr:spPr>
        <a:xfrm>
          <a:off x="20226336" y="165498"/>
          <a:ext cx="1809750" cy="1333500"/>
        </a:xfrm>
        <a:prstGeom prst="roundRect">
          <a:avLst>
            <a:gd name="adj" fmla="val 8631"/>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30</xdr:col>
      <xdr:colOff>120383</xdr:colOff>
      <xdr:row>0</xdr:row>
      <xdr:rowOff>165498</xdr:rowOff>
    </xdr:from>
    <xdr:to>
      <xdr:col>33</xdr:col>
      <xdr:colOff>108477</xdr:colOff>
      <xdr:row>7</xdr:row>
      <xdr:rowOff>165498</xdr:rowOff>
    </xdr:to>
    <xdr:sp macro="" textlink="">
      <xdr:nvSpPr>
        <xdr:cNvPr id="7" name="Rectangle: Rounded Corners 6">
          <a:extLst>
            <a:ext uri="{FF2B5EF4-FFF2-40B4-BE49-F238E27FC236}">
              <a16:creationId xmlns:a16="http://schemas.microsoft.com/office/drawing/2014/main" id="{E8BD43AB-1CF4-453E-9EC0-3F1DDC6AB829}"/>
            </a:ext>
          </a:extLst>
        </xdr:cNvPr>
        <xdr:cNvSpPr/>
      </xdr:nvSpPr>
      <xdr:spPr>
        <a:xfrm>
          <a:off x="18336946" y="165498"/>
          <a:ext cx="1809750" cy="1333500"/>
        </a:xfrm>
        <a:prstGeom prst="roundRect">
          <a:avLst>
            <a:gd name="adj" fmla="val 9524"/>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326571</xdr:colOff>
      <xdr:row>18</xdr:row>
      <xdr:rowOff>176892</xdr:rowOff>
    </xdr:from>
    <xdr:to>
      <xdr:col>25</xdr:col>
      <xdr:colOff>449035</xdr:colOff>
      <xdr:row>27</xdr:row>
      <xdr:rowOff>81643</xdr:rowOff>
    </xdr:to>
    <xdr:sp macro="" textlink="">
      <xdr:nvSpPr>
        <xdr:cNvPr id="8" name="Rectangle: Rounded Corners 7">
          <a:extLst>
            <a:ext uri="{FF2B5EF4-FFF2-40B4-BE49-F238E27FC236}">
              <a16:creationId xmlns:a16="http://schemas.microsoft.com/office/drawing/2014/main" id="{EEBCA304-4CCF-4696-EB29-C1B951ED0C85}"/>
            </a:ext>
          </a:extLst>
        </xdr:cNvPr>
        <xdr:cNvSpPr/>
      </xdr:nvSpPr>
      <xdr:spPr>
        <a:xfrm>
          <a:off x="2775857" y="3605892"/>
          <a:ext cx="12981214" cy="1619251"/>
        </a:xfrm>
        <a:prstGeom prst="roundRect">
          <a:avLst>
            <a:gd name="adj" fmla="val 4960"/>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309561</xdr:colOff>
      <xdr:row>8</xdr:row>
      <xdr:rowOff>82154</xdr:rowOff>
    </xdr:from>
    <xdr:to>
      <xdr:col>11</xdr:col>
      <xdr:colOff>261938</xdr:colOff>
      <xdr:row>18</xdr:row>
      <xdr:rowOff>35720</xdr:rowOff>
    </xdr:to>
    <xdr:sp macro="" textlink="">
      <xdr:nvSpPr>
        <xdr:cNvPr id="10" name="Rectangle: Rounded Corners 9">
          <a:extLst>
            <a:ext uri="{FF2B5EF4-FFF2-40B4-BE49-F238E27FC236}">
              <a16:creationId xmlns:a16="http://schemas.microsoft.com/office/drawing/2014/main" id="{7C790419-A36C-C749-DAF7-B9369973D768}"/>
            </a:ext>
          </a:extLst>
        </xdr:cNvPr>
        <xdr:cNvSpPr/>
      </xdr:nvSpPr>
      <xdr:spPr>
        <a:xfrm>
          <a:off x="2738436" y="1606154"/>
          <a:ext cx="4202908" cy="1858566"/>
        </a:xfrm>
        <a:prstGeom prst="roundRect">
          <a:avLst>
            <a:gd name="adj" fmla="val 4960"/>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11</xdr:col>
      <xdr:colOff>392905</xdr:colOff>
      <xdr:row>8</xdr:row>
      <xdr:rowOff>82154</xdr:rowOff>
    </xdr:from>
    <xdr:to>
      <xdr:col>18</xdr:col>
      <xdr:colOff>345281</xdr:colOff>
      <xdr:row>18</xdr:row>
      <xdr:rowOff>35720</xdr:rowOff>
    </xdr:to>
    <xdr:sp macro="" textlink="">
      <xdr:nvSpPr>
        <xdr:cNvPr id="13" name="Rectangle: Rounded Corners 12">
          <a:extLst>
            <a:ext uri="{FF2B5EF4-FFF2-40B4-BE49-F238E27FC236}">
              <a16:creationId xmlns:a16="http://schemas.microsoft.com/office/drawing/2014/main" id="{71574E6F-DAFC-A068-10AE-C1B5E35DB67B}"/>
            </a:ext>
          </a:extLst>
        </xdr:cNvPr>
        <xdr:cNvSpPr/>
      </xdr:nvSpPr>
      <xdr:spPr>
        <a:xfrm>
          <a:off x="7072311" y="1606154"/>
          <a:ext cx="4202908" cy="1858566"/>
        </a:xfrm>
        <a:prstGeom prst="roundRect">
          <a:avLst>
            <a:gd name="adj" fmla="val 4960"/>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18</xdr:col>
      <xdr:colOff>476248</xdr:colOff>
      <xdr:row>8</xdr:row>
      <xdr:rowOff>82154</xdr:rowOff>
    </xdr:from>
    <xdr:to>
      <xdr:col>25</xdr:col>
      <xdr:colOff>428625</xdr:colOff>
      <xdr:row>18</xdr:row>
      <xdr:rowOff>35720</xdr:rowOff>
    </xdr:to>
    <xdr:sp macro="" textlink="">
      <xdr:nvSpPr>
        <xdr:cNvPr id="14" name="Rectangle: Rounded Corners 13">
          <a:extLst>
            <a:ext uri="{FF2B5EF4-FFF2-40B4-BE49-F238E27FC236}">
              <a16:creationId xmlns:a16="http://schemas.microsoft.com/office/drawing/2014/main" id="{A86D2185-9D49-8EA5-F060-D57D193BB791}"/>
            </a:ext>
          </a:extLst>
        </xdr:cNvPr>
        <xdr:cNvSpPr/>
      </xdr:nvSpPr>
      <xdr:spPr>
        <a:xfrm>
          <a:off x="11406186" y="1606154"/>
          <a:ext cx="4202908" cy="1858566"/>
        </a:xfrm>
        <a:prstGeom prst="roundRect">
          <a:avLst>
            <a:gd name="adj" fmla="val 4960"/>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25</xdr:col>
      <xdr:colOff>559591</xdr:colOff>
      <xdr:row>8</xdr:row>
      <xdr:rowOff>82154</xdr:rowOff>
    </xdr:from>
    <xdr:to>
      <xdr:col>36</xdr:col>
      <xdr:colOff>154780</xdr:colOff>
      <xdr:row>28</xdr:row>
      <xdr:rowOff>35720</xdr:rowOff>
    </xdr:to>
    <xdr:sp macro="" textlink="">
      <xdr:nvSpPr>
        <xdr:cNvPr id="15" name="Rectangle: Rounded Corners 14">
          <a:extLst>
            <a:ext uri="{FF2B5EF4-FFF2-40B4-BE49-F238E27FC236}">
              <a16:creationId xmlns:a16="http://schemas.microsoft.com/office/drawing/2014/main" id="{5FC53AF0-45B2-C0E3-D008-387E47AF445A}"/>
            </a:ext>
          </a:extLst>
        </xdr:cNvPr>
        <xdr:cNvSpPr/>
      </xdr:nvSpPr>
      <xdr:spPr>
        <a:xfrm>
          <a:off x="15740060" y="1606154"/>
          <a:ext cx="6274595" cy="3763566"/>
        </a:xfrm>
        <a:prstGeom prst="roundRect">
          <a:avLst>
            <a:gd name="adj" fmla="val 4960"/>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183015</xdr:colOff>
      <xdr:row>28</xdr:row>
      <xdr:rowOff>85045</xdr:rowOff>
    </xdr:from>
    <xdr:to>
      <xdr:col>8</xdr:col>
      <xdr:colOff>149679</xdr:colOff>
      <xdr:row>50</xdr:row>
      <xdr:rowOff>8845</xdr:rowOff>
    </xdr:to>
    <xdr:sp macro="" textlink="">
      <xdr:nvSpPr>
        <xdr:cNvPr id="16" name="Rectangle: Rounded Corners 15">
          <a:extLst>
            <a:ext uri="{FF2B5EF4-FFF2-40B4-BE49-F238E27FC236}">
              <a16:creationId xmlns:a16="http://schemas.microsoft.com/office/drawing/2014/main" id="{90C9D7C0-605B-4AAF-9A11-36C401D3B8C7}"/>
            </a:ext>
          </a:extLst>
        </xdr:cNvPr>
        <xdr:cNvSpPr/>
      </xdr:nvSpPr>
      <xdr:spPr>
        <a:xfrm>
          <a:off x="183015" y="5419045"/>
          <a:ext cx="4865235" cy="4114800"/>
        </a:xfrm>
        <a:prstGeom prst="roundRect">
          <a:avLst>
            <a:gd name="adj" fmla="val 2989"/>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8</xdr:col>
      <xdr:colOff>272143</xdr:colOff>
      <xdr:row>28</xdr:row>
      <xdr:rowOff>125866</xdr:rowOff>
    </xdr:from>
    <xdr:to>
      <xdr:col>16</xdr:col>
      <xdr:colOff>299356</xdr:colOff>
      <xdr:row>50</xdr:row>
      <xdr:rowOff>49666</xdr:rowOff>
    </xdr:to>
    <xdr:sp macro="" textlink="">
      <xdr:nvSpPr>
        <xdr:cNvPr id="18" name="Rectangle: Rounded Corners 17">
          <a:extLst>
            <a:ext uri="{FF2B5EF4-FFF2-40B4-BE49-F238E27FC236}">
              <a16:creationId xmlns:a16="http://schemas.microsoft.com/office/drawing/2014/main" id="{6F4C0D5B-EA5B-8A6E-E37E-52F0BD28FCA3}"/>
            </a:ext>
          </a:extLst>
        </xdr:cNvPr>
        <xdr:cNvSpPr/>
      </xdr:nvSpPr>
      <xdr:spPr>
        <a:xfrm>
          <a:off x="5170714" y="5459866"/>
          <a:ext cx="4925785" cy="4114800"/>
        </a:xfrm>
        <a:prstGeom prst="roundRect">
          <a:avLst>
            <a:gd name="adj" fmla="val 2989"/>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16</xdr:col>
      <xdr:colOff>456858</xdr:colOff>
      <xdr:row>28</xdr:row>
      <xdr:rowOff>136069</xdr:rowOff>
    </xdr:from>
    <xdr:to>
      <xdr:col>23</xdr:col>
      <xdr:colOff>435429</xdr:colOff>
      <xdr:row>50</xdr:row>
      <xdr:rowOff>59869</xdr:rowOff>
    </xdr:to>
    <xdr:sp macro="" textlink="">
      <xdr:nvSpPr>
        <xdr:cNvPr id="19" name="Rectangle: Rounded Corners 18">
          <a:extLst>
            <a:ext uri="{FF2B5EF4-FFF2-40B4-BE49-F238E27FC236}">
              <a16:creationId xmlns:a16="http://schemas.microsoft.com/office/drawing/2014/main" id="{D4FA08D7-AA70-099B-4C77-94ED853C2EE6}"/>
            </a:ext>
          </a:extLst>
        </xdr:cNvPr>
        <xdr:cNvSpPr/>
      </xdr:nvSpPr>
      <xdr:spPr>
        <a:xfrm>
          <a:off x="10254001" y="5470069"/>
          <a:ext cx="4264821" cy="4114800"/>
        </a:xfrm>
        <a:prstGeom prst="roundRect">
          <a:avLst>
            <a:gd name="adj" fmla="val 2989"/>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5</xdr:col>
      <xdr:colOff>95250</xdr:colOff>
      <xdr:row>1</xdr:row>
      <xdr:rowOff>11908</xdr:rowOff>
    </xdr:from>
    <xdr:to>
      <xdr:col>7</xdr:col>
      <xdr:colOff>273844</xdr:colOff>
      <xdr:row>8</xdr:row>
      <xdr:rowOff>40823</xdr:rowOff>
    </xdr:to>
    <xdr:pic>
      <xdr:nvPicPr>
        <xdr:cNvPr id="20" name="Picture 19">
          <a:extLst>
            <a:ext uri="{FF2B5EF4-FFF2-40B4-BE49-F238E27FC236}">
              <a16:creationId xmlns:a16="http://schemas.microsoft.com/office/drawing/2014/main" id="{77882389-D6BC-4064-B7D2-C5CD0645871E}"/>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2604" t="53646"/>
        <a:stretch>
          <a:fillRect/>
        </a:stretch>
      </xdr:blipFill>
      <xdr:spPr>
        <a:xfrm>
          <a:off x="3131344" y="202408"/>
          <a:ext cx="1393031" cy="1362415"/>
        </a:xfrm>
        <a:prstGeom prst="rect">
          <a:avLst/>
        </a:prstGeom>
      </xdr:spPr>
    </xdr:pic>
    <xdr:clientData/>
  </xdr:twoCellAnchor>
  <xdr:twoCellAnchor>
    <xdr:from>
      <xdr:col>23</xdr:col>
      <xdr:colOff>557893</xdr:colOff>
      <xdr:row>28</xdr:row>
      <xdr:rowOff>141684</xdr:rowOff>
    </xdr:from>
    <xdr:to>
      <xdr:col>36</xdr:col>
      <xdr:colOff>154780</xdr:colOff>
      <xdr:row>50</xdr:row>
      <xdr:rowOff>68035</xdr:rowOff>
    </xdr:to>
    <xdr:sp macro="" textlink="">
      <xdr:nvSpPr>
        <xdr:cNvPr id="23" name="Rectangle: Rounded Corners 22">
          <a:extLst>
            <a:ext uri="{FF2B5EF4-FFF2-40B4-BE49-F238E27FC236}">
              <a16:creationId xmlns:a16="http://schemas.microsoft.com/office/drawing/2014/main" id="{8C3988FC-9D1A-2C52-B150-818BE980DB06}"/>
            </a:ext>
          </a:extLst>
        </xdr:cNvPr>
        <xdr:cNvSpPr/>
      </xdr:nvSpPr>
      <xdr:spPr>
        <a:xfrm>
          <a:off x="14641286" y="5475684"/>
          <a:ext cx="7557065" cy="4117351"/>
        </a:xfrm>
        <a:prstGeom prst="roundRect">
          <a:avLst>
            <a:gd name="adj" fmla="val 4960"/>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7</xdr:col>
      <xdr:colOff>381000</xdr:colOff>
      <xdr:row>1</xdr:row>
      <xdr:rowOff>178594</xdr:rowOff>
    </xdr:from>
    <xdr:to>
      <xdr:col>29</xdr:col>
      <xdr:colOff>11905</xdr:colOff>
      <xdr:row>6</xdr:row>
      <xdr:rowOff>178594</xdr:rowOff>
    </xdr:to>
    <xdr:sp macro="" textlink="">
      <xdr:nvSpPr>
        <xdr:cNvPr id="24" name="TextBox 23">
          <a:extLst>
            <a:ext uri="{FF2B5EF4-FFF2-40B4-BE49-F238E27FC236}">
              <a16:creationId xmlns:a16="http://schemas.microsoft.com/office/drawing/2014/main" id="{0FF30169-3343-8E6B-D25E-5C0B7684890A}"/>
            </a:ext>
          </a:extLst>
        </xdr:cNvPr>
        <xdr:cNvSpPr txBox="1"/>
      </xdr:nvSpPr>
      <xdr:spPr>
        <a:xfrm>
          <a:off x="4631531" y="369094"/>
          <a:ext cx="12989718" cy="95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4800" b="1">
              <a:solidFill>
                <a:srgbClr val="F3EFE8"/>
              </a:solidFill>
              <a:latin typeface="Arial Black" panose="020B0A04020102020204" pitchFamily="34" charset="0"/>
              <a:cs typeface="Times New Roman" panose="02020603050405020304" pitchFamily="18" charset="0"/>
            </a:rPr>
            <a:t>Coffee Shop Sales Dashboard</a:t>
          </a:r>
        </a:p>
      </xdr:txBody>
    </xdr:sp>
    <xdr:clientData/>
  </xdr:twoCellAnchor>
  <xdr:twoCellAnchor>
    <xdr:from>
      <xdr:col>1</xdr:col>
      <xdr:colOff>119062</xdr:colOff>
      <xdr:row>1</xdr:row>
      <xdr:rowOff>59531</xdr:rowOff>
    </xdr:from>
    <xdr:to>
      <xdr:col>3</xdr:col>
      <xdr:colOff>261938</xdr:colOff>
      <xdr:row>8</xdr:row>
      <xdr:rowOff>107156</xdr:rowOff>
    </xdr:to>
    <xdr:sp macro="" textlink="">
      <xdr:nvSpPr>
        <xdr:cNvPr id="27" name="Oval 26">
          <a:extLst>
            <a:ext uri="{FF2B5EF4-FFF2-40B4-BE49-F238E27FC236}">
              <a16:creationId xmlns:a16="http://schemas.microsoft.com/office/drawing/2014/main" id="{28B0B6D8-CEFB-8F3C-7DA0-ADC7DA905F4E}"/>
            </a:ext>
          </a:extLst>
        </xdr:cNvPr>
        <xdr:cNvSpPr/>
      </xdr:nvSpPr>
      <xdr:spPr>
        <a:xfrm>
          <a:off x="726281" y="250031"/>
          <a:ext cx="1357313" cy="1381125"/>
        </a:xfrm>
        <a:prstGeom prst="ellipse">
          <a:avLst/>
        </a:prstGeom>
        <a:solidFill>
          <a:srgbClr val="F3E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0</xdr:col>
      <xdr:colOff>607217</xdr:colOff>
      <xdr:row>0</xdr:row>
      <xdr:rowOff>177404</xdr:rowOff>
    </xdr:from>
    <xdr:to>
      <xdr:col>3</xdr:col>
      <xdr:colOff>322658</xdr:colOff>
      <xdr:row>9</xdr:row>
      <xdr:rowOff>1</xdr:rowOff>
    </xdr:to>
    <xdr:pic>
      <xdr:nvPicPr>
        <xdr:cNvPr id="26" name="Picture 25">
          <a:extLst>
            <a:ext uri="{FF2B5EF4-FFF2-40B4-BE49-F238E27FC236}">
              <a16:creationId xmlns:a16="http://schemas.microsoft.com/office/drawing/2014/main" id="{222F2D15-A9CC-498F-A076-98776D3CA55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36459" b="36458"/>
        <a:stretch>
          <a:fillRect/>
        </a:stretch>
      </xdr:blipFill>
      <xdr:spPr>
        <a:xfrm>
          <a:off x="607217" y="177404"/>
          <a:ext cx="1537097" cy="1537097"/>
        </a:xfrm>
        <a:prstGeom prst="rect">
          <a:avLst/>
        </a:prstGeom>
      </xdr:spPr>
    </xdr:pic>
    <xdr:clientData/>
  </xdr:twoCellAnchor>
  <xdr:twoCellAnchor>
    <xdr:from>
      <xdr:col>0</xdr:col>
      <xdr:colOff>250031</xdr:colOff>
      <xdr:row>8</xdr:row>
      <xdr:rowOff>33338</xdr:rowOff>
    </xdr:from>
    <xdr:to>
      <xdr:col>4</xdr:col>
      <xdr:colOff>142875</xdr:colOff>
      <xdr:row>11</xdr:row>
      <xdr:rowOff>23812</xdr:rowOff>
    </xdr:to>
    <xdr:sp macro="" textlink="">
      <xdr:nvSpPr>
        <xdr:cNvPr id="28" name="TextBox 27">
          <a:extLst>
            <a:ext uri="{FF2B5EF4-FFF2-40B4-BE49-F238E27FC236}">
              <a16:creationId xmlns:a16="http://schemas.microsoft.com/office/drawing/2014/main" id="{30059A4C-9837-4EEB-87B9-8AB891A5FE4E}"/>
            </a:ext>
          </a:extLst>
        </xdr:cNvPr>
        <xdr:cNvSpPr txBox="1"/>
      </xdr:nvSpPr>
      <xdr:spPr>
        <a:xfrm>
          <a:off x="250031" y="1557338"/>
          <a:ext cx="2321719" cy="561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2400" b="1">
              <a:solidFill>
                <a:srgbClr val="F3EFE8"/>
              </a:solidFill>
              <a:latin typeface="Arial Black" panose="020B0A04020102020204" pitchFamily="34" charset="0"/>
              <a:cs typeface="Times New Roman" panose="02020603050405020304" pitchFamily="18" charset="0"/>
            </a:rPr>
            <a:t>Coffee</a:t>
          </a:r>
          <a:r>
            <a:rPr lang="en-PH" sz="2400" b="1" baseline="0">
              <a:solidFill>
                <a:srgbClr val="F3EFE8"/>
              </a:solidFill>
              <a:latin typeface="Arial Black" panose="020B0A04020102020204" pitchFamily="34" charset="0"/>
              <a:cs typeface="Times New Roman" panose="02020603050405020304" pitchFamily="18" charset="0"/>
            </a:rPr>
            <a:t> Shop</a:t>
          </a:r>
          <a:endParaRPr lang="en-PH" sz="2400" b="1">
            <a:solidFill>
              <a:srgbClr val="F3EFE8"/>
            </a:solidFill>
            <a:latin typeface="Arial Black" panose="020B0A04020102020204" pitchFamily="34" charset="0"/>
            <a:cs typeface="Times New Roman" panose="02020603050405020304" pitchFamily="18" charset="0"/>
          </a:endParaRPr>
        </a:p>
      </xdr:txBody>
    </xdr:sp>
    <xdr:clientData/>
  </xdr:twoCellAnchor>
  <xdr:twoCellAnchor editAs="oneCell">
    <xdr:from>
      <xdr:col>33</xdr:col>
      <xdr:colOff>428625</xdr:colOff>
      <xdr:row>0</xdr:row>
      <xdr:rowOff>119063</xdr:rowOff>
    </xdr:from>
    <xdr:to>
      <xdr:col>36</xdr:col>
      <xdr:colOff>112948</xdr:colOff>
      <xdr:row>8</xdr:row>
      <xdr:rowOff>23812</xdr:rowOff>
    </xdr:to>
    <xdr:pic macro="[0]!Full_Screen">
      <xdr:nvPicPr>
        <xdr:cNvPr id="31" name="Picture 30">
          <a:extLst>
            <a:ext uri="{FF2B5EF4-FFF2-40B4-BE49-F238E27FC236}">
              <a16:creationId xmlns:a16="http://schemas.microsoft.com/office/drawing/2014/main" id="{C54C66FA-926A-427E-9C74-B83B5B40195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2815" t="45748"/>
        <a:stretch>
          <a:fillRect/>
        </a:stretch>
      </xdr:blipFill>
      <xdr:spPr>
        <a:xfrm>
          <a:off x="20466844" y="119063"/>
          <a:ext cx="1505979" cy="1428749"/>
        </a:xfrm>
        <a:prstGeom prst="rect">
          <a:avLst/>
        </a:prstGeom>
      </xdr:spPr>
    </xdr:pic>
    <xdr:clientData/>
  </xdr:twoCellAnchor>
  <xdr:twoCellAnchor editAs="oneCell">
    <xdr:from>
      <xdr:col>30</xdr:col>
      <xdr:colOff>416720</xdr:colOff>
      <xdr:row>1</xdr:row>
      <xdr:rowOff>23814</xdr:rowOff>
    </xdr:from>
    <xdr:to>
      <xdr:col>32</xdr:col>
      <xdr:colOff>431713</xdr:colOff>
      <xdr:row>7</xdr:row>
      <xdr:rowOff>95251</xdr:rowOff>
    </xdr:to>
    <xdr:pic macro="[0]!REFRESH">
      <xdr:nvPicPr>
        <xdr:cNvPr id="32" name="Picture 31" descr="Click to refresh the dashboard">
          <a:extLst>
            <a:ext uri="{FF2B5EF4-FFF2-40B4-BE49-F238E27FC236}">
              <a16:creationId xmlns:a16="http://schemas.microsoft.com/office/drawing/2014/main" id="{92D0539E-B2F9-4477-ADDA-AB4107F12D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51906" b="52493"/>
        <a:stretch>
          <a:fillRect/>
        </a:stretch>
      </xdr:blipFill>
      <xdr:spPr>
        <a:xfrm>
          <a:off x="18633283" y="214314"/>
          <a:ext cx="1229430" cy="1214437"/>
        </a:xfrm>
        <a:prstGeom prst="rect">
          <a:avLst/>
        </a:prstGeom>
      </xdr:spPr>
    </xdr:pic>
    <xdr:clientData/>
  </xdr:twoCellAnchor>
  <xdr:twoCellAnchor editAs="oneCell">
    <xdr:from>
      <xdr:col>11</xdr:col>
      <xdr:colOff>476251</xdr:colOff>
      <xdr:row>9</xdr:row>
      <xdr:rowOff>35718</xdr:rowOff>
    </xdr:from>
    <xdr:to>
      <xdr:col>14</xdr:col>
      <xdr:colOff>7145</xdr:colOff>
      <xdr:row>18</xdr:row>
      <xdr:rowOff>83342</xdr:rowOff>
    </xdr:to>
    <xdr:pic>
      <xdr:nvPicPr>
        <xdr:cNvPr id="34" name="Picture 33">
          <a:extLst>
            <a:ext uri="{FF2B5EF4-FFF2-40B4-BE49-F238E27FC236}">
              <a16:creationId xmlns:a16="http://schemas.microsoft.com/office/drawing/2014/main" id="{B37CB27F-2585-4913-9163-497F17EE6039}"/>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5748" r="58358"/>
        <a:stretch>
          <a:fillRect/>
        </a:stretch>
      </xdr:blipFill>
      <xdr:spPr>
        <a:xfrm>
          <a:off x="7155657" y="1750218"/>
          <a:ext cx="1352551" cy="1762124"/>
        </a:xfrm>
        <a:prstGeom prst="rect">
          <a:avLst/>
        </a:prstGeom>
      </xdr:spPr>
    </xdr:pic>
    <xdr:clientData/>
  </xdr:twoCellAnchor>
  <xdr:twoCellAnchor editAs="oneCell">
    <xdr:from>
      <xdr:col>4</xdr:col>
      <xdr:colOff>285752</xdr:colOff>
      <xdr:row>8</xdr:row>
      <xdr:rowOff>190498</xdr:rowOff>
    </xdr:from>
    <xdr:to>
      <xdr:col>6</xdr:col>
      <xdr:colOff>490538</xdr:colOff>
      <xdr:row>17</xdr:row>
      <xdr:rowOff>95247</xdr:rowOff>
    </xdr:to>
    <xdr:pic>
      <xdr:nvPicPr>
        <xdr:cNvPr id="35" name="Picture 34">
          <a:extLst>
            <a:ext uri="{FF2B5EF4-FFF2-40B4-BE49-F238E27FC236}">
              <a16:creationId xmlns:a16="http://schemas.microsoft.com/office/drawing/2014/main" id="{5AA7F643-0198-41B4-BE80-DD87EE3483FD}"/>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2090" t="45338"/>
        <a:stretch>
          <a:fillRect/>
        </a:stretch>
      </xdr:blipFill>
      <xdr:spPr>
        <a:xfrm>
          <a:off x="2714627" y="1714498"/>
          <a:ext cx="1419224" cy="1619249"/>
        </a:xfrm>
        <a:prstGeom prst="rect">
          <a:avLst/>
        </a:prstGeom>
      </xdr:spPr>
    </xdr:pic>
    <xdr:clientData/>
  </xdr:twoCellAnchor>
  <xdr:twoCellAnchor editAs="oneCell">
    <xdr:from>
      <xdr:col>18</xdr:col>
      <xdr:colOff>511969</xdr:colOff>
      <xdr:row>9</xdr:row>
      <xdr:rowOff>142873</xdr:rowOff>
    </xdr:from>
    <xdr:to>
      <xdr:col>21</xdr:col>
      <xdr:colOff>100014</xdr:colOff>
      <xdr:row>16</xdr:row>
      <xdr:rowOff>190498</xdr:rowOff>
    </xdr:to>
    <xdr:pic>
      <xdr:nvPicPr>
        <xdr:cNvPr id="36" name="Picture 35">
          <a:extLst>
            <a:ext uri="{FF2B5EF4-FFF2-40B4-BE49-F238E27FC236}">
              <a16:creationId xmlns:a16="http://schemas.microsoft.com/office/drawing/2014/main" id="{7853176B-E757-41C6-9436-CD859730E23F}"/>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5628" t="322" r="-3217" b="53055"/>
        <a:stretch>
          <a:fillRect/>
        </a:stretch>
      </xdr:blipFill>
      <xdr:spPr>
        <a:xfrm>
          <a:off x="11441907" y="1857373"/>
          <a:ext cx="1409701" cy="1381125"/>
        </a:xfrm>
        <a:prstGeom prst="rect">
          <a:avLst/>
        </a:prstGeom>
      </xdr:spPr>
    </xdr:pic>
    <xdr:clientData/>
  </xdr:twoCellAnchor>
  <xdr:twoCellAnchor>
    <xdr:from>
      <xdr:col>6</xdr:col>
      <xdr:colOff>214312</xdr:colOff>
      <xdr:row>8</xdr:row>
      <xdr:rowOff>140494</xdr:rowOff>
    </xdr:from>
    <xdr:to>
      <xdr:col>11</xdr:col>
      <xdr:colOff>226220</xdr:colOff>
      <xdr:row>13</xdr:row>
      <xdr:rowOff>164306</xdr:rowOff>
    </xdr:to>
    <xdr:sp macro="" textlink="">
      <xdr:nvSpPr>
        <xdr:cNvPr id="37" name="TextBox 36">
          <a:extLst>
            <a:ext uri="{FF2B5EF4-FFF2-40B4-BE49-F238E27FC236}">
              <a16:creationId xmlns:a16="http://schemas.microsoft.com/office/drawing/2014/main" id="{FFDAADD3-83E3-0115-834B-CC2EA3C73891}"/>
            </a:ext>
          </a:extLst>
        </xdr:cNvPr>
        <xdr:cNvSpPr txBox="1"/>
      </xdr:nvSpPr>
      <xdr:spPr>
        <a:xfrm>
          <a:off x="3857625" y="1664494"/>
          <a:ext cx="3048001" cy="976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2400" b="1">
              <a:solidFill>
                <a:srgbClr val="C9B8A4"/>
              </a:solidFill>
              <a:latin typeface="Arial Black" panose="020B0A04020102020204" pitchFamily="34" charset="0"/>
              <a:cs typeface="Arial" panose="020B0604020202020204" pitchFamily="34" charset="0"/>
            </a:rPr>
            <a:t>TOTAL</a:t>
          </a:r>
          <a:r>
            <a:rPr lang="en-PH" sz="2400" b="1" baseline="0">
              <a:solidFill>
                <a:srgbClr val="C9B8A4"/>
              </a:solidFill>
              <a:latin typeface="Arial Black" panose="020B0A04020102020204" pitchFamily="34" charset="0"/>
              <a:cs typeface="Arial" panose="020B0604020202020204" pitchFamily="34" charset="0"/>
            </a:rPr>
            <a:t> QUANTITY SOLD</a:t>
          </a:r>
          <a:endParaRPr lang="en-PH" sz="2400" b="1">
            <a:solidFill>
              <a:srgbClr val="C9B8A4"/>
            </a:solidFill>
            <a:latin typeface="Arial Black" panose="020B0A04020102020204" pitchFamily="34" charset="0"/>
            <a:cs typeface="Arial" panose="020B0604020202020204" pitchFamily="34" charset="0"/>
          </a:endParaRPr>
        </a:p>
      </xdr:txBody>
    </xdr:sp>
    <xdr:clientData/>
  </xdr:twoCellAnchor>
  <xdr:twoCellAnchor>
    <xdr:from>
      <xdr:col>6</xdr:col>
      <xdr:colOff>223837</xdr:colOff>
      <xdr:row>13</xdr:row>
      <xdr:rowOff>138111</xdr:rowOff>
    </xdr:from>
    <xdr:to>
      <xdr:col>11</xdr:col>
      <xdr:colOff>9525</xdr:colOff>
      <xdr:row>16</xdr:row>
      <xdr:rowOff>161923</xdr:rowOff>
    </xdr:to>
    <xdr:sp macro="" textlink="PIVOTS!B21">
      <xdr:nvSpPr>
        <xdr:cNvPr id="38" name="TextBox 37">
          <a:extLst>
            <a:ext uri="{FF2B5EF4-FFF2-40B4-BE49-F238E27FC236}">
              <a16:creationId xmlns:a16="http://schemas.microsoft.com/office/drawing/2014/main" id="{2EE632C0-291E-4F58-90CF-BD45453E1770}"/>
            </a:ext>
          </a:extLst>
        </xdr:cNvPr>
        <xdr:cNvSpPr txBox="1"/>
      </xdr:nvSpPr>
      <xdr:spPr>
        <a:xfrm>
          <a:off x="3867150" y="2614611"/>
          <a:ext cx="2821781" cy="595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E71D76-798C-4901-9EC9-F192C04B313C}" type="TxLink">
            <a:rPr lang="en-US" sz="3200" b="1" i="0" u="none" strike="noStrike">
              <a:solidFill>
                <a:srgbClr val="F3EFE8"/>
              </a:solidFill>
              <a:latin typeface="Century Gothic" panose="020B0502020202020204" pitchFamily="34" charset="0"/>
              <a:cs typeface="Arial" panose="020B0604020202020204" pitchFamily="34" charset="0"/>
            </a:rPr>
            <a:pPr algn="ctr"/>
            <a:t> 3,547 </a:t>
          </a:fld>
          <a:endParaRPr lang="en-PH" sz="3200" b="1">
            <a:solidFill>
              <a:srgbClr val="F3EFE8"/>
            </a:solidFill>
            <a:latin typeface="Century Gothic" panose="020B0502020202020204" pitchFamily="34" charset="0"/>
            <a:cs typeface="Arial" panose="020B0604020202020204" pitchFamily="34" charset="0"/>
          </a:endParaRPr>
        </a:p>
      </xdr:txBody>
    </xdr:sp>
    <xdr:clientData/>
  </xdr:twoCellAnchor>
  <xdr:twoCellAnchor>
    <xdr:from>
      <xdr:col>13</xdr:col>
      <xdr:colOff>390525</xdr:colOff>
      <xdr:row>8</xdr:row>
      <xdr:rowOff>140494</xdr:rowOff>
    </xdr:from>
    <xdr:to>
      <xdr:col>18</xdr:col>
      <xdr:colOff>402432</xdr:colOff>
      <xdr:row>13</xdr:row>
      <xdr:rowOff>164306</xdr:rowOff>
    </xdr:to>
    <xdr:sp macro="" textlink="">
      <xdr:nvSpPr>
        <xdr:cNvPr id="39" name="TextBox 38">
          <a:extLst>
            <a:ext uri="{FF2B5EF4-FFF2-40B4-BE49-F238E27FC236}">
              <a16:creationId xmlns:a16="http://schemas.microsoft.com/office/drawing/2014/main" id="{3CC1D8F1-DE52-4FC1-B5DC-0EDFCE8DCE24}"/>
            </a:ext>
          </a:extLst>
        </xdr:cNvPr>
        <xdr:cNvSpPr txBox="1"/>
      </xdr:nvSpPr>
      <xdr:spPr>
        <a:xfrm>
          <a:off x="8284369" y="1664494"/>
          <a:ext cx="3048001" cy="976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2400" b="1">
              <a:solidFill>
                <a:srgbClr val="C9B8A4"/>
              </a:solidFill>
              <a:latin typeface="Arial Black" panose="020B0A04020102020204" pitchFamily="34" charset="0"/>
              <a:cs typeface="Arial" panose="020B0604020202020204" pitchFamily="34" charset="0"/>
            </a:rPr>
            <a:t>TOTAL</a:t>
          </a:r>
          <a:r>
            <a:rPr lang="en-PH" sz="2400" b="1" baseline="0">
              <a:solidFill>
                <a:srgbClr val="C9B8A4"/>
              </a:solidFill>
              <a:latin typeface="Arial Black" panose="020B0A04020102020204" pitchFamily="34" charset="0"/>
              <a:cs typeface="Arial" panose="020B0604020202020204" pitchFamily="34" charset="0"/>
            </a:rPr>
            <a:t> REVENUE</a:t>
          </a:r>
          <a:endParaRPr lang="en-PH" sz="2400" b="1">
            <a:solidFill>
              <a:srgbClr val="C9B8A4"/>
            </a:solidFill>
            <a:latin typeface="Arial Black" panose="020B0A04020102020204" pitchFamily="34" charset="0"/>
            <a:cs typeface="Arial" panose="020B0604020202020204" pitchFamily="34" charset="0"/>
          </a:endParaRPr>
        </a:p>
      </xdr:txBody>
    </xdr:sp>
    <xdr:clientData/>
  </xdr:twoCellAnchor>
  <xdr:twoCellAnchor>
    <xdr:from>
      <xdr:col>13</xdr:col>
      <xdr:colOff>388144</xdr:colOff>
      <xdr:row>12</xdr:row>
      <xdr:rowOff>138111</xdr:rowOff>
    </xdr:from>
    <xdr:to>
      <xdr:col>18</xdr:col>
      <xdr:colOff>400051</xdr:colOff>
      <xdr:row>17</xdr:row>
      <xdr:rowOff>161923</xdr:rowOff>
    </xdr:to>
    <xdr:sp macro="" textlink="PIVOTS!B22">
      <xdr:nvSpPr>
        <xdr:cNvPr id="40" name="TextBox 39">
          <a:extLst>
            <a:ext uri="{FF2B5EF4-FFF2-40B4-BE49-F238E27FC236}">
              <a16:creationId xmlns:a16="http://schemas.microsoft.com/office/drawing/2014/main" id="{10D123F6-5562-452F-B86D-101935252A57}"/>
            </a:ext>
          </a:extLst>
        </xdr:cNvPr>
        <xdr:cNvSpPr txBox="1"/>
      </xdr:nvSpPr>
      <xdr:spPr>
        <a:xfrm>
          <a:off x="8281988" y="2424111"/>
          <a:ext cx="3048001" cy="976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3A369E-91F2-4CCA-AC77-A28EA7063169}" type="TxLink">
            <a:rPr lang="en-US" sz="3200" b="1" i="0" u="none" strike="noStrike">
              <a:solidFill>
                <a:srgbClr val="F3EFE8"/>
              </a:solidFill>
              <a:latin typeface="Century Gothic" panose="020B0502020202020204" pitchFamily="34" charset="0"/>
              <a:cs typeface="Arial" panose="020B0604020202020204" pitchFamily="34" charset="0"/>
            </a:rPr>
            <a:pPr algn="ctr"/>
            <a:t>$112,245.58</a:t>
          </a:fld>
          <a:endParaRPr lang="en-PH" sz="3200" b="1">
            <a:solidFill>
              <a:srgbClr val="F3EFE8"/>
            </a:solidFill>
            <a:latin typeface="Century Gothic" panose="020B0502020202020204" pitchFamily="34" charset="0"/>
            <a:cs typeface="Arial" panose="020B0604020202020204" pitchFamily="34" charset="0"/>
          </a:endParaRPr>
        </a:p>
      </xdr:txBody>
    </xdr:sp>
    <xdr:clientData/>
  </xdr:twoCellAnchor>
  <xdr:twoCellAnchor>
    <xdr:from>
      <xdr:col>20</xdr:col>
      <xdr:colOff>423863</xdr:colOff>
      <xdr:row>8</xdr:row>
      <xdr:rowOff>140494</xdr:rowOff>
    </xdr:from>
    <xdr:to>
      <xdr:col>25</xdr:col>
      <xdr:colOff>435770</xdr:colOff>
      <xdr:row>13</xdr:row>
      <xdr:rowOff>164306</xdr:rowOff>
    </xdr:to>
    <xdr:sp macro="" textlink="">
      <xdr:nvSpPr>
        <xdr:cNvPr id="41" name="TextBox 40">
          <a:extLst>
            <a:ext uri="{FF2B5EF4-FFF2-40B4-BE49-F238E27FC236}">
              <a16:creationId xmlns:a16="http://schemas.microsoft.com/office/drawing/2014/main" id="{6DC36717-EB8E-463D-BD78-9B62CE9744EB}"/>
            </a:ext>
          </a:extLst>
        </xdr:cNvPr>
        <xdr:cNvSpPr txBox="1"/>
      </xdr:nvSpPr>
      <xdr:spPr>
        <a:xfrm>
          <a:off x="12568238" y="1664494"/>
          <a:ext cx="3048001" cy="976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2400" b="1">
              <a:solidFill>
                <a:srgbClr val="C9B8A4"/>
              </a:solidFill>
              <a:latin typeface="Arial Black" panose="020B0A04020102020204" pitchFamily="34" charset="0"/>
              <a:cs typeface="Arial" panose="020B0604020202020204" pitchFamily="34" charset="0"/>
            </a:rPr>
            <a:t>TRANSACTIONS</a:t>
          </a:r>
        </a:p>
      </xdr:txBody>
    </xdr:sp>
    <xdr:clientData/>
  </xdr:twoCellAnchor>
  <xdr:twoCellAnchor>
    <xdr:from>
      <xdr:col>20</xdr:col>
      <xdr:colOff>409575</xdr:colOff>
      <xdr:row>12</xdr:row>
      <xdr:rowOff>138111</xdr:rowOff>
    </xdr:from>
    <xdr:to>
      <xdr:col>25</xdr:col>
      <xdr:colOff>421482</xdr:colOff>
      <xdr:row>17</xdr:row>
      <xdr:rowOff>161923</xdr:rowOff>
    </xdr:to>
    <xdr:sp macro="" textlink="PIVOTS!B20">
      <xdr:nvSpPr>
        <xdr:cNvPr id="42" name="TextBox 41">
          <a:extLst>
            <a:ext uri="{FF2B5EF4-FFF2-40B4-BE49-F238E27FC236}">
              <a16:creationId xmlns:a16="http://schemas.microsoft.com/office/drawing/2014/main" id="{D85E5C40-E0F2-4605-8862-DA1F741C4642}"/>
            </a:ext>
          </a:extLst>
        </xdr:cNvPr>
        <xdr:cNvSpPr txBox="1"/>
      </xdr:nvSpPr>
      <xdr:spPr>
        <a:xfrm>
          <a:off x="12553950" y="2424111"/>
          <a:ext cx="3048001" cy="976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275DE4-4CA6-446F-8FD8-9D1590C3BBCE}" type="TxLink">
            <a:rPr lang="en-US" sz="3200" b="1" i="0" u="none" strike="noStrike">
              <a:solidFill>
                <a:srgbClr val="F3EFE8"/>
              </a:solidFill>
              <a:latin typeface="Century Gothic" panose="020B0502020202020204" pitchFamily="34" charset="0"/>
              <a:cs typeface="Arial" panose="020B0604020202020204" pitchFamily="34" charset="0"/>
            </a:rPr>
            <a:pPr algn="ctr"/>
            <a:t> 3,547 </a:t>
          </a:fld>
          <a:endParaRPr lang="en-PH" sz="3200" b="1">
            <a:solidFill>
              <a:srgbClr val="F3EFE8"/>
            </a:solidFill>
            <a:latin typeface="Century Gothic" panose="020B0502020202020204" pitchFamily="34" charset="0"/>
            <a:cs typeface="Arial" panose="020B0604020202020204" pitchFamily="34" charset="0"/>
          </a:endParaRPr>
        </a:p>
      </xdr:txBody>
    </xdr:sp>
    <xdr:clientData/>
  </xdr:twoCellAnchor>
  <xdr:twoCellAnchor>
    <xdr:from>
      <xdr:col>0</xdr:col>
      <xdr:colOff>177914</xdr:colOff>
      <xdr:row>29</xdr:row>
      <xdr:rowOff>10206</xdr:rowOff>
    </xdr:from>
    <xdr:to>
      <xdr:col>8</xdr:col>
      <xdr:colOff>108858</xdr:colOff>
      <xdr:row>50</xdr:row>
      <xdr:rowOff>136071</xdr:rowOff>
    </xdr:to>
    <xdr:graphicFrame macro="">
      <xdr:nvGraphicFramePr>
        <xdr:cNvPr id="43" name="Chart 42">
          <a:extLst>
            <a:ext uri="{FF2B5EF4-FFF2-40B4-BE49-F238E27FC236}">
              <a16:creationId xmlns:a16="http://schemas.microsoft.com/office/drawing/2014/main" id="{895B9FBE-6553-41D6-8775-937363EB92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571500</xdr:colOff>
      <xdr:row>8</xdr:row>
      <xdr:rowOff>81643</xdr:rowOff>
    </xdr:from>
    <xdr:to>
      <xdr:col>36</xdr:col>
      <xdr:colOff>136072</xdr:colOff>
      <xdr:row>28</xdr:row>
      <xdr:rowOff>27214</xdr:rowOff>
    </xdr:to>
    <xdr:graphicFrame macro="">
      <xdr:nvGraphicFramePr>
        <xdr:cNvPr id="44" name="Chart 43">
          <a:extLst>
            <a:ext uri="{FF2B5EF4-FFF2-40B4-BE49-F238E27FC236}">
              <a16:creationId xmlns:a16="http://schemas.microsoft.com/office/drawing/2014/main" id="{7F10B7B3-5F10-4C17-8FF0-46A0A59D4E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13608</xdr:colOff>
      <xdr:row>28</xdr:row>
      <xdr:rowOff>136071</xdr:rowOff>
    </xdr:from>
    <xdr:to>
      <xdr:col>36</xdr:col>
      <xdr:colOff>122465</xdr:colOff>
      <xdr:row>50</xdr:row>
      <xdr:rowOff>27214</xdr:rowOff>
    </xdr:to>
    <xdr:graphicFrame macro="">
      <xdr:nvGraphicFramePr>
        <xdr:cNvPr id="49" name="Chart 48">
          <a:extLst>
            <a:ext uri="{FF2B5EF4-FFF2-40B4-BE49-F238E27FC236}">
              <a16:creationId xmlns:a16="http://schemas.microsoft.com/office/drawing/2014/main" id="{843C7EE0-6995-4EE6-93B8-36D312F76B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258536</xdr:colOff>
      <xdr:row>29</xdr:row>
      <xdr:rowOff>40821</xdr:rowOff>
    </xdr:from>
    <xdr:to>
      <xdr:col>16</xdr:col>
      <xdr:colOff>272143</xdr:colOff>
      <xdr:row>50</xdr:row>
      <xdr:rowOff>0</xdr:rowOff>
    </xdr:to>
    <xdr:graphicFrame macro="">
      <xdr:nvGraphicFramePr>
        <xdr:cNvPr id="50" name="Chart 49">
          <a:extLst>
            <a:ext uri="{FF2B5EF4-FFF2-40B4-BE49-F238E27FC236}">
              <a16:creationId xmlns:a16="http://schemas.microsoft.com/office/drawing/2014/main" id="{A527CB7E-ADF9-48A6-9A34-868AFC0712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462642</xdr:colOff>
      <xdr:row>28</xdr:row>
      <xdr:rowOff>108857</xdr:rowOff>
    </xdr:from>
    <xdr:to>
      <xdr:col>23</xdr:col>
      <xdr:colOff>367392</xdr:colOff>
      <xdr:row>50</xdr:row>
      <xdr:rowOff>149677</xdr:rowOff>
    </xdr:to>
    <xdr:graphicFrame macro="">
      <xdr:nvGraphicFramePr>
        <xdr:cNvPr id="52" name="Chart 51">
          <a:extLst>
            <a:ext uri="{FF2B5EF4-FFF2-40B4-BE49-F238E27FC236}">
              <a16:creationId xmlns:a16="http://schemas.microsoft.com/office/drawing/2014/main" id="{A9745272-CFEC-4FDE-83C5-386B4E1CA8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21</xdr:col>
      <xdr:colOff>255136</xdr:colOff>
      <xdr:row>19</xdr:row>
      <xdr:rowOff>110559</xdr:rowOff>
    </xdr:from>
    <xdr:to>
      <xdr:col>25</xdr:col>
      <xdr:colOff>340180</xdr:colOff>
      <xdr:row>26</xdr:row>
      <xdr:rowOff>39119</xdr:rowOff>
    </xdr:to>
    <mc:AlternateContent xmlns:mc="http://schemas.openxmlformats.org/markup-compatibility/2006" xmlns:a14="http://schemas.microsoft.com/office/drawing/2010/main">
      <mc:Choice Requires="a14">
        <xdr:graphicFrame macro="">
          <xdr:nvGraphicFramePr>
            <xdr:cNvPr id="53" name="Time_of_Day">
              <a:extLst>
                <a:ext uri="{FF2B5EF4-FFF2-40B4-BE49-F238E27FC236}">
                  <a16:creationId xmlns:a16="http://schemas.microsoft.com/office/drawing/2014/main" id="{89BBA04C-368A-46C8-8D90-69CF85F9C906}"/>
                </a:ext>
              </a:extLst>
            </xdr:cNvPr>
            <xdr:cNvGraphicFramePr/>
          </xdr:nvGraphicFramePr>
          <xdr:xfrm>
            <a:off x="0" y="0"/>
            <a:ext cx="0" cy="0"/>
          </xdr:xfrm>
          <a:graphic>
            <a:graphicData uri="http://schemas.microsoft.com/office/drawing/2010/slicer">
              <sle:slicer xmlns:sle="http://schemas.microsoft.com/office/drawing/2010/slicer" name="Time_of_Day"/>
            </a:graphicData>
          </a:graphic>
        </xdr:graphicFrame>
      </mc:Choice>
      <mc:Fallback xmlns="">
        <xdr:sp macro="" textlink="">
          <xdr:nvSpPr>
            <xdr:cNvPr id="0" name=""/>
            <xdr:cNvSpPr>
              <a:spLocks noTextEdit="1"/>
            </xdr:cNvSpPr>
          </xdr:nvSpPr>
          <xdr:spPr>
            <a:xfrm>
              <a:off x="13006730" y="3730059"/>
              <a:ext cx="2513919" cy="12620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598713</xdr:colOff>
      <xdr:row>19</xdr:row>
      <xdr:rowOff>136071</xdr:rowOff>
    </xdr:from>
    <xdr:to>
      <xdr:col>21</xdr:col>
      <xdr:colOff>40822</xdr:colOff>
      <xdr:row>27</xdr:row>
      <xdr:rowOff>40821</xdr:rowOff>
    </xdr:to>
    <mc:AlternateContent xmlns:mc="http://schemas.openxmlformats.org/markup-compatibility/2006" xmlns:a14="http://schemas.microsoft.com/office/drawing/2010/main">
      <mc:Choice Requires="a14">
        <xdr:graphicFrame macro="">
          <xdr:nvGraphicFramePr>
            <xdr:cNvPr id="54" name="Month_name">
              <a:extLst>
                <a:ext uri="{FF2B5EF4-FFF2-40B4-BE49-F238E27FC236}">
                  <a16:creationId xmlns:a16="http://schemas.microsoft.com/office/drawing/2014/main" id="{66A587BA-4753-41BB-9F44-28AA7BAAC05A}"/>
                </a:ext>
              </a:extLst>
            </xdr:cNvPr>
            <xdr:cNvGraphicFramePr/>
          </xdr:nvGraphicFramePr>
          <xdr:xfrm>
            <a:off x="0" y="0"/>
            <a:ext cx="0" cy="0"/>
          </xdr:xfrm>
          <a:graphic>
            <a:graphicData uri="http://schemas.microsoft.com/office/drawing/2010/slicer">
              <sle:slicer xmlns:sle="http://schemas.microsoft.com/office/drawing/2010/slicer" name="Month_name"/>
            </a:graphicData>
          </a:graphic>
        </xdr:graphicFrame>
      </mc:Choice>
      <mc:Fallback xmlns="">
        <xdr:sp macro="" textlink="">
          <xdr:nvSpPr>
            <xdr:cNvPr id="0" name=""/>
            <xdr:cNvSpPr>
              <a:spLocks noTextEdit="1"/>
            </xdr:cNvSpPr>
          </xdr:nvSpPr>
          <xdr:spPr>
            <a:xfrm>
              <a:off x="6063682" y="3755571"/>
              <a:ext cx="6728734" cy="142875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581704</xdr:colOff>
      <xdr:row>19</xdr:row>
      <xdr:rowOff>164988</xdr:rowOff>
    </xdr:from>
    <xdr:to>
      <xdr:col>9</xdr:col>
      <xdr:colOff>285750</xdr:colOff>
      <xdr:row>26</xdr:row>
      <xdr:rowOff>66334</xdr:rowOff>
    </xdr:to>
    <mc:AlternateContent xmlns:mc="http://schemas.openxmlformats.org/markup-compatibility/2006" xmlns:a14="http://schemas.microsoft.com/office/drawing/2010/main">
      <mc:Choice Requires="a14">
        <xdr:graphicFrame macro="">
          <xdr:nvGraphicFramePr>
            <xdr:cNvPr id="55" name="Year">
              <a:extLst>
                <a:ext uri="{FF2B5EF4-FFF2-40B4-BE49-F238E27FC236}">
                  <a16:creationId xmlns:a16="http://schemas.microsoft.com/office/drawing/2014/main" id="{8AD23576-6CBB-4245-A2BF-B0EBA2DA9EB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010579" y="3784488"/>
              <a:ext cx="2740140" cy="1234846"/>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209662</xdr:colOff>
      <xdr:row>11</xdr:row>
      <xdr:rowOff>136468</xdr:rowOff>
    </xdr:from>
    <xdr:to>
      <xdr:col>4</xdr:col>
      <xdr:colOff>221569</xdr:colOff>
      <xdr:row>27</xdr:row>
      <xdr:rowOff>72571</xdr:rowOff>
    </xdr:to>
    <xdr:sp macro="" textlink="">
      <xdr:nvSpPr>
        <xdr:cNvPr id="3" name="Rectangle: Rounded Corners 3">
          <a:extLst>
            <a:ext uri="{FF2B5EF4-FFF2-40B4-BE49-F238E27FC236}">
              <a16:creationId xmlns:a16="http://schemas.microsoft.com/office/drawing/2014/main" id="{839F5336-2585-9541-929D-2632123C10D4}"/>
            </a:ext>
          </a:extLst>
        </xdr:cNvPr>
        <xdr:cNvSpPr/>
      </xdr:nvSpPr>
      <xdr:spPr>
        <a:xfrm>
          <a:off x="209662" y="2331754"/>
          <a:ext cx="2697050" cy="3129246"/>
        </a:xfrm>
        <a:prstGeom prst="roundRect">
          <a:avLst>
            <a:gd name="adj" fmla="val 12203"/>
          </a:avLst>
        </a:prstGeom>
        <a:solidFill>
          <a:srgbClr val="6D564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400">
            <a:solidFill>
              <a:schemeClr val="lt1"/>
            </a:solidFill>
            <a:latin typeface="+mn-lt"/>
            <a:ea typeface="+mn-ea"/>
            <a:cs typeface="+mn-cs"/>
          </a:endParaRPr>
        </a:p>
        <a:p>
          <a:pPr marL="0" indent="0" algn="l"/>
          <a:endParaRPr lang="en-PH" sz="1400">
            <a:solidFill>
              <a:schemeClr val="lt1"/>
            </a:solidFill>
            <a:latin typeface="+mn-lt"/>
            <a:ea typeface="+mn-ea"/>
            <a:cs typeface="+mn-cs"/>
          </a:endParaRPr>
        </a:p>
        <a:p>
          <a:pPr marL="0" indent="0" algn="l"/>
          <a:r>
            <a:rPr lang="en-PH" sz="1400" b="1" u="sng">
              <a:solidFill>
                <a:schemeClr val="lt1"/>
              </a:solidFill>
              <a:latin typeface="+mn-lt"/>
              <a:ea typeface="+mn-ea"/>
              <a:cs typeface="+mn-cs"/>
            </a:rPr>
            <a:t>Latte</a:t>
          </a:r>
          <a:r>
            <a:rPr lang="en-PH" sz="1400" baseline="0">
              <a:solidFill>
                <a:schemeClr val="lt1"/>
              </a:solidFill>
              <a:latin typeface="+mn-lt"/>
              <a:ea typeface="+mn-ea"/>
              <a:cs typeface="+mn-cs"/>
            </a:rPr>
            <a:t> generated the highest revenue among other product category.</a:t>
          </a:r>
        </a:p>
        <a:p>
          <a:pPr marL="0" indent="0" algn="l"/>
          <a:r>
            <a:rPr lang="en-PH" sz="1400" baseline="0">
              <a:solidFill>
                <a:schemeClr val="lt1"/>
              </a:solidFill>
              <a:latin typeface="+mn-lt"/>
              <a:ea typeface="+mn-ea"/>
              <a:cs typeface="+mn-cs"/>
            </a:rPr>
            <a:t>Revenue peaked  in </a:t>
          </a:r>
          <a:r>
            <a:rPr lang="en-PH" sz="1400" b="1" u="sng" baseline="0">
              <a:solidFill>
                <a:schemeClr val="lt1"/>
              </a:solidFill>
              <a:latin typeface="+mn-lt"/>
              <a:ea typeface="+mn-ea"/>
              <a:cs typeface="+mn-cs"/>
            </a:rPr>
            <a:t>MARCH</a:t>
          </a:r>
          <a:r>
            <a:rPr lang="en-PH" sz="1400" baseline="0">
              <a:solidFill>
                <a:schemeClr val="lt1"/>
              </a:solidFill>
              <a:latin typeface="+mn-lt"/>
              <a:ea typeface="+mn-ea"/>
              <a:cs typeface="+mn-cs"/>
            </a:rPr>
            <a:t> and </a:t>
          </a:r>
          <a:r>
            <a:rPr lang="en-PH" sz="1400" b="1" u="sng" baseline="0">
              <a:solidFill>
                <a:schemeClr val="lt1"/>
              </a:solidFill>
              <a:latin typeface="+mn-lt"/>
              <a:ea typeface="+mn-ea"/>
              <a:cs typeface="+mn-cs"/>
            </a:rPr>
            <a:t>OCTOBER</a:t>
          </a:r>
          <a:r>
            <a:rPr lang="en-PH" sz="1400" baseline="0">
              <a:solidFill>
                <a:schemeClr val="lt1"/>
              </a:solidFill>
              <a:latin typeface="+mn-lt"/>
              <a:ea typeface="+mn-ea"/>
              <a:cs typeface="+mn-cs"/>
            </a:rPr>
            <a:t>.</a:t>
          </a:r>
        </a:p>
        <a:p>
          <a:pPr marL="0" indent="0" algn="l"/>
          <a:r>
            <a:rPr lang="en-PH" sz="1400" b="1" u="sng" baseline="0">
              <a:solidFill>
                <a:schemeClr val="lt1"/>
              </a:solidFill>
              <a:latin typeface="+mn-lt"/>
              <a:ea typeface="+mn-ea"/>
              <a:cs typeface="+mn-cs"/>
            </a:rPr>
            <a:t>Tuesday</a:t>
          </a:r>
          <a:r>
            <a:rPr lang="en-PH" sz="1400" b="0" baseline="0">
              <a:solidFill>
                <a:schemeClr val="lt1"/>
              </a:solidFill>
              <a:latin typeface="+mn-lt"/>
              <a:ea typeface="+mn-ea"/>
              <a:cs typeface="+mn-cs"/>
            </a:rPr>
            <a:t> recorded the highest number of transactions.</a:t>
          </a:r>
        </a:p>
        <a:p>
          <a:pPr marL="0" indent="0" algn="l"/>
          <a:r>
            <a:rPr lang="en-PH" sz="1400" b="0" baseline="0">
              <a:solidFill>
                <a:schemeClr val="lt1"/>
              </a:solidFill>
              <a:latin typeface="+mn-lt"/>
              <a:ea typeface="+mn-ea"/>
              <a:cs typeface="+mn-cs"/>
            </a:rPr>
            <a:t>Sales were relatively </a:t>
          </a:r>
          <a:r>
            <a:rPr lang="en-PH" sz="1400" b="1" baseline="0">
              <a:solidFill>
                <a:schemeClr val="lt1"/>
              </a:solidFill>
              <a:latin typeface="+mn-lt"/>
              <a:ea typeface="+mn-ea"/>
              <a:cs typeface="+mn-cs"/>
            </a:rPr>
            <a:t>balance</a:t>
          </a:r>
          <a:r>
            <a:rPr lang="en-PH" sz="1400" b="0" baseline="0">
              <a:solidFill>
                <a:schemeClr val="lt1"/>
              </a:solidFill>
              <a:latin typeface="+mn-lt"/>
              <a:ea typeface="+mn-ea"/>
              <a:cs typeface="+mn-cs"/>
            </a:rPr>
            <a:t> across morning, afternoon, and night.</a:t>
          </a:r>
          <a:endParaRPr lang="en-PH" sz="1400" b="1">
            <a:solidFill>
              <a:schemeClr val="lt1"/>
            </a:solidFill>
            <a:latin typeface="+mn-lt"/>
            <a:ea typeface="+mn-ea"/>
            <a:cs typeface="+mn-cs"/>
          </a:endParaRPr>
        </a:p>
      </xdr:txBody>
    </xdr:sp>
    <xdr:clientData/>
  </xdr:twoCellAnchor>
  <xdr:twoCellAnchor>
    <xdr:from>
      <xdr:col>0</xdr:col>
      <xdr:colOff>250031</xdr:colOff>
      <xdr:row>11</xdr:row>
      <xdr:rowOff>160338</xdr:rowOff>
    </xdr:from>
    <xdr:to>
      <xdr:col>4</xdr:col>
      <xdr:colOff>142875</xdr:colOff>
      <xdr:row>14</xdr:row>
      <xdr:rowOff>150813</xdr:rowOff>
    </xdr:to>
    <xdr:sp macro="" textlink="">
      <xdr:nvSpPr>
        <xdr:cNvPr id="9" name="TextBox 8">
          <a:extLst>
            <a:ext uri="{FF2B5EF4-FFF2-40B4-BE49-F238E27FC236}">
              <a16:creationId xmlns:a16="http://schemas.microsoft.com/office/drawing/2014/main" id="{15010B8A-71FD-DD48-9965-204AC3D28D3B}"/>
            </a:ext>
          </a:extLst>
        </xdr:cNvPr>
        <xdr:cNvSpPr txBox="1"/>
      </xdr:nvSpPr>
      <xdr:spPr>
        <a:xfrm>
          <a:off x="250031" y="2355624"/>
          <a:ext cx="2577987" cy="589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2400" b="1">
              <a:solidFill>
                <a:srgbClr val="F3EFE8"/>
              </a:solidFill>
              <a:latin typeface="Arial Black" panose="020B0A04020102020204" pitchFamily="34" charset="0"/>
              <a:cs typeface="Times New Roman" panose="02020603050405020304" pitchFamily="18" charset="0"/>
            </a:rPr>
            <a:t>Key Insights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ya" refreshedDate="46153.61035451389" createdVersion="8" refreshedVersion="8" minRefreshableVersion="3" recordCount="3547" xr:uid="{92839C65-D8DE-4925-9B64-A1E26717418B}">
  <cacheSource type="worksheet">
    <worksheetSource name="Coffe_sales"/>
  </cacheSource>
  <cacheFields count="12">
    <cacheField name="hour_of_day" numFmtId="0">
      <sharedItems/>
    </cacheField>
    <cacheField name="cash_type" numFmtId="0">
      <sharedItems/>
    </cacheField>
    <cacheField name="money" numFmtId="0">
      <sharedItems containsSemiMixedTypes="0" containsString="0" containsNumber="1" minValue="18.12" maxValue="38.700000000000003"/>
    </cacheField>
    <cacheField name="coffee_name" numFmtId="0">
      <sharedItems count="8">
        <s v="Latte"/>
        <s v="Hot Chocolate"/>
        <s v="Americano"/>
        <s v="Americano with Milk"/>
        <s v="Cocoa"/>
        <s v="Cortado"/>
        <s v="Espresso"/>
        <s v="Cappuccino"/>
      </sharedItems>
    </cacheField>
    <cacheField name="Time_of_Day" numFmtId="0">
      <sharedItems count="3">
        <s v="Morning"/>
        <s v="Afternoon"/>
        <s v="Night"/>
      </sharedItems>
    </cacheField>
    <cacheField name="Weekday" numFmtId="0">
      <sharedItems count="7">
        <s v="Fri"/>
        <s v="Sat"/>
        <s v="Sun"/>
        <s v="Mon"/>
        <s v="Tue"/>
        <s v="Wed"/>
        <s v="Thu"/>
      </sharedItems>
    </cacheField>
    <cacheField name="Month_name" numFmtId="0">
      <sharedItems count="12">
        <s v="Mar"/>
        <s v="Apr"/>
        <s v="May"/>
        <s v="Jun"/>
        <s v="Jul"/>
        <s v="Aug"/>
        <s v="Sep"/>
        <s v="Oct"/>
        <s v="Nov"/>
        <s v="Dec"/>
        <s v="Jan"/>
        <s v="Feb"/>
      </sharedItems>
    </cacheField>
    <cacheField name="Weekdaysort" numFmtId="0">
      <sharedItems/>
    </cacheField>
    <cacheField name="Monthsort" numFmtId="0">
      <sharedItems/>
    </cacheField>
    <cacheField name="Date" numFmtId="0">
      <sharedItems/>
    </cacheField>
    <cacheField name="Time" numFmtId="165">
      <sharedItems containsSemiMixedTypes="0" containsNonDate="0" containsDate="1" containsString="0" minDate="1899-12-30T06:50:04" maxDate="1899-12-30T22:59:19"/>
    </cacheField>
    <cacheField name="Year" numFmtId="0">
      <sharedItems containsSemiMixedTypes="0" containsString="0" containsNumber="1" containsInteger="1" minValue="2024" maxValue="2025" count="2">
        <n v="2024"/>
        <n v="2025"/>
      </sharedItems>
    </cacheField>
  </cacheFields>
  <extLst>
    <ext xmlns:x14="http://schemas.microsoft.com/office/spreadsheetml/2009/9/main" uri="{725AE2AE-9491-48be-B2B4-4EB974FC3084}">
      <x14:pivotCacheDefinition pivotCacheId="15967853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47">
  <r>
    <s v="10"/>
    <s v="card"/>
    <n v="38.700000000000003"/>
    <x v="0"/>
    <x v="0"/>
    <x v="0"/>
    <x v="0"/>
    <s v="5"/>
    <s v="3"/>
    <s v="2024-03-01"/>
    <d v="1899-12-30T10:15:51"/>
    <x v="0"/>
  </r>
  <r>
    <s v="12"/>
    <s v="card"/>
    <n v="38.700000000000003"/>
    <x v="1"/>
    <x v="1"/>
    <x v="0"/>
    <x v="0"/>
    <s v="5"/>
    <s v="3"/>
    <s v="2024-03-01"/>
    <d v="1899-12-30T12:19:23"/>
    <x v="0"/>
  </r>
  <r>
    <s v="12"/>
    <s v="card"/>
    <n v="38.700000000000003"/>
    <x v="1"/>
    <x v="1"/>
    <x v="0"/>
    <x v="0"/>
    <s v="5"/>
    <s v="3"/>
    <s v="2024-03-01"/>
    <d v="1899-12-30T12:20:18"/>
    <x v="0"/>
  </r>
  <r>
    <s v="13"/>
    <s v="card"/>
    <n v="28.9"/>
    <x v="2"/>
    <x v="1"/>
    <x v="0"/>
    <x v="0"/>
    <s v="5"/>
    <s v="3"/>
    <s v="2024-03-01"/>
    <d v="1899-12-30T13:46:33"/>
    <x v="0"/>
  </r>
  <r>
    <s v="13"/>
    <s v="card"/>
    <n v="38.700000000000003"/>
    <x v="0"/>
    <x v="1"/>
    <x v="0"/>
    <x v="0"/>
    <s v="5"/>
    <s v="3"/>
    <s v="2024-03-01"/>
    <d v="1899-12-30T13:48:15"/>
    <x v="0"/>
  </r>
  <r>
    <s v="15"/>
    <s v="card"/>
    <n v="33.799999999999997"/>
    <x v="3"/>
    <x v="1"/>
    <x v="0"/>
    <x v="0"/>
    <s v="5"/>
    <s v="3"/>
    <s v="2024-03-01"/>
    <d v="1899-12-30T15:39:48"/>
    <x v="0"/>
  </r>
  <r>
    <s v="16"/>
    <s v="card"/>
    <n v="38.700000000000003"/>
    <x v="1"/>
    <x v="1"/>
    <x v="0"/>
    <x v="0"/>
    <s v="5"/>
    <s v="3"/>
    <s v="2024-03-01"/>
    <d v="1899-12-30T16:19:03"/>
    <x v="0"/>
  </r>
  <r>
    <s v="18"/>
    <s v="card"/>
    <n v="33.799999999999997"/>
    <x v="3"/>
    <x v="2"/>
    <x v="0"/>
    <x v="0"/>
    <s v="5"/>
    <s v="3"/>
    <s v="2024-03-01"/>
    <d v="1899-12-30T18:39:04"/>
    <x v="0"/>
  </r>
  <r>
    <s v="19"/>
    <s v="card"/>
    <n v="38.700000000000003"/>
    <x v="4"/>
    <x v="2"/>
    <x v="0"/>
    <x v="0"/>
    <s v="5"/>
    <s v="3"/>
    <s v="2024-03-01"/>
    <d v="1899-12-30T19:22:02"/>
    <x v="0"/>
  </r>
  <r>
    <s v="19"/>
    <s v="card"/>
    <n v="33.799999999999997"/>
    <x v="3"/>
    <x v="2"/>
    <x v="0"/>
    <x v="0"/>
    <s v="5"/>
    <s v="3"/>
    <s v="2024-03-01"/>
    <d v="1899-12-30T19:23:16"/>
    <x v="0"/>
  </r>
  <r>
    <s v="19"/>
    <s v="card"/>
    <n v="33.799999999999997"/>
    <x v="3"/>
    <x v="2"/>
    <x v="0"/>
    <x v="0"/>
    <s v="5"/>
    <s v="3"/>
    <s v="2024-03-01"/>
    <d v="1899-12-30T19:29:17"/>
    <x v="0"/>
  </r>
  <r>
    <s v="10"/>
    <s v="card"/>
    <n v="28.9"/>
    <x v="2"/>
    <x v="0"/>
    <x v="1"/>
    <x v="0"/>
    <s v="6"/>
    <s v="3"/>
    <s v="2024-03-02"/>
    <d v="1899-12-30T10:22:07"/>
    <x v="0"/>
  </r>
  <r>
    <s v="10"/>
    <s v="card"/>
    <n v="33.799999999999997"/>
    <x v="3"/>
    <x v="0"/>
    <x v="1"/>
    <x v="0"/>
    <s v="6"/>
    <s v="3"/>
    <s v="2024-03-02"/>
    <d v="1899-12-30T10:41:41"/>
    <x v="0"/>
  </r>
  <r>
    <s v="11"/>
    <s v="card"/>
    <n v="33.799999999999997"/>
    <x v="3"/>
    <x v="0"/>
    <x v="1"/>
    <x v="0"/>
    <s v="6"/>
    <s v="3"/>
    <s v="2024-03-02"/>
    <d v="1899-12-30T11:59:45"/>
    <x v="0"/>
  </r>
  <r>
    <s v="14"/>
    <s v="card"/>
    <n v="28.9"/>
    <x v="2"/>
    <x v="1"/>
    <x v="1"/>
    <x v="0"/>
    <s v="6"/>
    <s v="3"/>
    <s v="2024-03-02"/>
    <d v="1899-12-30T14:38:36"/>
    <x v="0"/>
  </r>
  <r>
    <s v="16"/>
    <s v="card"/>
    <n v="33.799999999999997"/>
    <x v="3"/>
    <x v="1"/>
    <x v="1"/>
    <x v="0"/>
    <s v="6"/>
    <s v="3"/>
    <s v="2024-03-02"/>
    <d v="1899-12-30T16:37:24"/>
    <x v="0"/>
  </r>
  <r>
    <s v="17"/>
    <s v="card"/>
    <n v="28.9"/>
    <x v="2"/>
    <x v="2"/>
    <x v="1"/>
    <x v="0"/>
    <s v="6"/>
    <s v="3"/>
    <s v="2024-03-02"/>
    <d v="1899-12-30T17:34:55"/>
    <x v="0"/>
  </r>
  <r>
    <s v="10"/>
    <s v="card"/>
    <n v="38.700000000000003"/>
    <x v="0"/>
    <x v="0"/>
    <x v="2"/>
    <x v="0"/>
    <s v="7"/>
    <s v="3"/>
    <s v="2024-03-03"/>
    <d v="1899-12-30T10:27:19"/>
    <x v="0"/>
  </r>
  <r>
    <s v="11"/>
    <s v="card"/>
    <n v="28.9"/>
    <x v="5"/>
    <x v="0"/>
    <x v="2"/>
    <x v="0"/>
    <s v="7"/>
    <s v="3"/>
    <s v="2024-03-03"/>
    <d v="1899-12-30T11:33:56"/>
    <x v="0"/>
  </r>
  <r>
    <s v="12"/>
    <s v="card"/>
    <n v="28.9"/>
    <x v="2"/>
    <x v="1"/>
    <x v="2"/>
    <x v="0"/>
    <s v="7"/>
    <s v="3"/>
    <s v="2024-03-03"/>
    <d v="1899-12-30T12:26:56"/>
    <x v="0"/>
  </r>
  <r>
    <s v="13"/>
    <s v="card"/>
    <n v="38.700000000000003"/>
    <x v="1"/>
    <x v="1"/>
    <x v="2"/>
    <x v="0"/>
    <s v="7"/>
    <s v="3"/>
    <s v="2024-03-03"/>
    <d v="1899-12-30T13:09:36"/>
    <x v="0"/>
  </r>
  <r>
    <s v="17"/>
    <s v="card"/>
    <n v="38.700000000000003"/>
    <x v="4"/>
    <x v="2"/>
    <x v="2"/>
    <x v="0"/>
    <s v="7"/>
    <s v="3"/>
    <s v="2024-03-03"/>
    <d v="1899-12-30T17:06:40"/>
    <x v="0"/>
  </r>
  <r>
    <s v="17"/>
    <s v="card"/>
    <n v="28.9"/>
    <x v="5"/>
    <x v="2"/>
    <x v="2"/>
    <x v="0"/>
    <s v="7"/>
    <s v="3"/>
    <s v="2024-03-03"/>
    <d v="1899-12-30T17:08:46"/>
    <x v="0"/>
  </r>
  <r>
    <s v="18"/>
    <s v="card"/>
    <n v="33.799999999999997"/>
    <x v="3"/>
    <x v="2"/>
    <x v="2"/>
    <x v="0"/>
    <s v="7"/>
    <s v="3"/>
    <s v="2024-03-03"/>
    <d v="1899-12-30T18:03:23"/>
    <x v="0"/>
  </r>
  <r>
    <s v="18"/>
    <s v="card"/>
    <n v="33.799999999999997"/>
    <x v="3"/>
    <x v="2"/>
    <x v="2"/>
    <x v="0"/>
    <s v="7"/>
    <s v="3"/>
    <s v="2024-03-03"/>
    <d v="1899-12-30T18:04:28"/>
    <x v="0"/>
  </r>
  <r>
    <s v="18"/>
    <s v="card"/>
    <n v="38.700000000000003"/>
    <x v="1"/>
    <x v="2"/>
    <x v="2"/>
    <x v="0"/>
    <s v="7"/>
    <s v="3"/>
    <s v="2024-03-03"/>
    <d v="1899-12-30T18:08:05"/>
    <x v="0"/>
  </r>
  <r>
    <s v="10"/>
    <s v="card"/>
    <n v="38.700000000000003"/>
    <x v="0"/>
    <x v="0"/>
    <x v="3"/>
    <x v="0"/>
    <s v="1"/>
    <s v="3"/>
    <s v="2024-03-04"/>
    <d v="1899-12-30T10:03:52"/>
    <x v="0"/>
  </r>
  <r>
    <s v="10"/>
    <s v="card"/>
    <n v="38.700000000000003"/>
    <x v="0"/>
    <x v="0"/>
    <x v="3"/>
    <x v="0"/>
    <s v="1"/>
    <s v="3"/>
    <s v="2024-03-04"/>
    <d v="1899-12-30T10:54:51"/>
    <x v="0"/>
  </r>
  <r>
    <s v="11"/>
    <s v="card"/>
    <n v="33.799999999999997"/>
    <x v="3"/>
    <x v="0"/>
    <x v="3"/>
    <x v="0"/>
    <s v="1"/>
    <s v="3"/>
    <s v="2024-03-04"/>
    <d v="1899-12-30T11:05:16"/>
    <x v="0"/>
  </r>
  <r>
    <s v="14"/>
    <s v="card"/>
    <n v="24"/>
    <x v="6"/>
    <x v="1"/>
    <x v="3"/>
    <x v="0"/>
    <s v="1"/>
    <s v="3"/>
    <s v="2024-03-04"/>
    <d v="1899-12-30T14:04:38"/>
    <x v="0"/>
  </r>
  <r>
    <s v="9"/>
    <s v="card"/>
    <n v="38.700000000000003"/>
    <x v="0"/>
    <x v="0"/>
    <x v="4"/>
    <x v="0"/>
    <s v="2"/>
    <s v="3"/>
    <s v="2024-03-05"/>
    <d v="1899-12-30T09:59:53"/>
    <x v="0"/>
  </r>
  <r>
    <s v="14"/>
    <s v="card"/>
    <n v="38.700000000000003"/>
    <x v="0"/>
    <x v="1"/>
    <x v="4"/>
    <x v="0"/>
    <s v="2"/>
    <s v="3"/>
    <s v="2024-03-05"/>
    <d v="1899-12-30T14:34:56"/>
    <x v="0"/>
  </r>
  <r>
    <s v="17"/>
    <s v="card"/>
    <n v="38.700000000000003"/>
    <x v="0"/>
    <x v="2"/>
    <x v="4"/>
    <x v="0"/>
    <s v="2"/>
    <s v="3"/>
    <s v="2024-03-05"/>
    <d v="1899-12-30T17:34:06"/>
    <x v="0"/>
  </r>
  <r>
    <s v="17"/>
    <s v="card"/>
    <n v="38.700000000000003"/>
    <x v="1"/>
    <x v="2"/>
    <x v="4"/>
    <x v="0"/>
    <s v="2"/>
    <s v="3"/>
    <s v="2024-03-05"/>
    <d v="1899-12-30T17:35:25"/>
    <x v="0"/>
  </r>
  <r>
    <s v="17"/>
    <s v="card"/>
    <n v="38.700000000000003"/>
    <x v="4"/>
    <x v="2"/>
    <x v="4"/>
    <x v="0"/>
    <s v="2"/>
    <s v="3"/>
    <s v="2024-03-05"/>
    <d v="1899-12-30T17:36:29"/>
    <x v="0"/>
  </r>
  <r>
    <s v="17"/>
    <s v="card"/>
    <n v="38.700000000000003"/>
    <x v="1"/>
    <x v="2"/>
    <x v="4"/>
    <x v="0"/>
    <s v="2"/>
    <s v="3"/>
    <s v="2024-03-05"/>
    <d v="1899-12-30T17:37:14"/>
    <x v="0"/>
  </r>
  <r>
    <s v="17"/>
    <s v="card"/>
    <n v="38.700000000000003"/>
    <x v="1"/>
    <x v="2"/>
    <x v="4"/>
    <x v="0"/>
    <s v="2"/>
    <s v="3"/>
    <s v="2024-03-05"/>
    <d v="1899-12-30T17:38:09"/>
    <x v="0"/>
  </r>
  <r>
    <s v="17"/>
    <s v="card"/>
    <n v="28.9"/>
    <x v="5"/>
    <x v="2"/>
    <x v="4"/>
    <x v="0"/>
    <s v="2"/>
    <s v="3"/>
    <s v="2024-03-05"/>
    <d v="1899-12-30T17:56:16"/>
    <x v="0"/>
  </r>
  <r>
    <s v="18"/>
    <s v="card"/>
    <n v="38.700000000000003"/>
    <x v="1"/>
    <x v="2"/>
    <x v="4"/>
    <x v="0"/>
    <s v="2"/>
    <s v="3"/>
    <s v="2024-03-05"/>
    <d v="1899-12-30T18:01:31"/>
    <x v="0"/>
  </r>
  <r>
    <s v="13"/>
    <s v="card"/>
    <n v="28.9"/>
    <x v="2"/>
    <x v="1"/>
    <x v="5"/>
    <x v="0"/>
    <s v="3"/>
    <s v="3"/>
    <s v="2024-03-06"/>
    <d v="1899-12-30T13:24:08"/>
    <x v="0"/>
  </r>
  <r>
    <s v="13"/>
    <s v="card"/>
    <n v="28.9"/>
    <x v="5"/>
    <x v="1"/>
    <x v="5"/>
    <x v="0"/>
    <s v="3"/>
    <s v="3"/>
    <s v="2024-03-06"/>
    <d v="1899-12-30T13:25:14"/>
    <x v="0"/>
  </r>
  <r>
    <s v="14"/>
    <s v="card"/>
    <n v="38.700000000000003"/>
    <x v="7"/>
    <x v="1"/>
    <x v="5"/>
    <x v="0"/>
    <s v="3"/>
    <s v="3"/>
    <s v="2024-03-06"/>
    <d v="1899-12-30T14:52:02"/>
    <x v="0"/>
  </r>
  <r>
    <s v="14"/>
    <s v="card"/>
    <n v="38.700000000000003"/>
    <x v="7"/>
    <x v="1"/>
    <x v="5"/>
    <x v="0"/>
    <s v="3"/>
    <s v="3"/>
    <s v="2024-03-06"/>
    <d v="1899-12-30T14:53:18"/>
    <x v="0"/>
  </r>
  <r>
    <s v="10"/>
    <s v="card"/>
    <n v="38.700000000000003"/>
    <x v="1"/>
    <x v="0"/>
    <x v="6"/>
    <x v="0"/>
    <s v="4"/>
    <s v="3"/>
    <s v="2024-03-07"/>
    <d v="1899-12-30T10:18:41"/>
    <x v="0"/>
  </r>
  <r>
    <s v="11"/>
    <s v="card"/>
    <n v="38.700000000000003"/>
    <x v="0"/>
    <x v="0"/>
    <x v="6"/>
    <x v="0"/>
    <s v="4"/>
    <s v="3"/>
    <s v="2024-03-07"/>
    <d v="1899-12-30T11:03:59"/>
    <x v="0"/>
  </r>
  <r>
    <s v="15"/>
    <s v="card"/>
    <n v="28.9"/>
    <x v="2"/>
    <x v="1"/>
    <x v="6"/>
    <x v="0"/>
    <s v="4"/>
    <s v="3"/>
    <s v="2024-03-07"/>
    <d v="1899-12-30T15:40:23"/>
    <x v="0"/>
  </r>
  <r>
    <s v="15"/>
    <s v="card"/>
    <n v="33.799999999999997"/>
    <x v="3"/>
    <x v="1"/>
    <x v="6"/>
    <x v="0"/>
    <s v="4"/>
    <s v="3"/>
    <s v="2024-03-07"/>
    <d v="1899-12-30T15:41:29"/>
    <x v="0"/>
  </r>
  <r>
    <s v="10"/>
    <s v="card"/>
    <n v="28.9"/>
    <x v="5"/>
    <x v="0"/>
    <x v="0"/>
    <x v="0"/>
    <s v="5"/>
    <s v="3"/>
    <s v="2024-03-08"/>
    <d v="1899-12-30T10:34:41"/>
    <x v="0"/>
  </r>
  <r>
    <s v="12"/>
    <s v="card"/>
    <n v="38.700000000000003"/>
    <x v="7"/>
    <x v="1"/>
    <x v="0"/>
    <x v="0"/>
    <s v="5"/>
    <s v="3"/>
    <s v="2024-03-08"/>
    <d v="1899-12-30T12:22:29"/>
    <x v="0"/>
  </r>
  <r>
    <s v="13"/>
    <s v="card"/>
    <n v="28.9"/>
    <x v="2"/>
    <x v="1"/>
    <x v="0"/>
    <x v="0"/>
    <s v="5"/>
    <s v="3"/>
    <s v="2024-03-08"/>
    <d v="1899-12-30T13:53:02"/>
    <x v="0"/>
  </r>
  <r>
    <s v="14"/>
    <s v="card"/>
    <n v="28.9"/>
    <x v="2"/>
    <x v="1"/>
    <x v="0"/>
    <x v="0"/>
    <s v="5"/>
    <s v="3"/>
    <s v="2024-03-08"/>
    <d v="1899-12-30T14:44:13"/>
    <x v="0"/>
  </r>
  <r>
    <s v="14"/>
    <s v="card"/>
    <n v="28.9"/>
    <x v="2"/>
    <x v="1"/>
    <x v="0"/>
    <x v="0"/>
    <s v="5"/>
    <s v="3"/>
    <s v="2024-03-08"/>
    <d v="1899-12-30T14:45:11"/>
    <x v="0"/>
  </r>
  <r>
    <s v="14"/>
    <s v="card"/>
    <n v="33.799999999999997"/>
    <x v="3"/>
    <x v="1"/>
    <x v="0"/>
    <x v="0"/>
    <s v="5"/>
    <s v="3"/>
    <s v="2024-03-08"/>
    <d v="1899-12-30T14:46:11"/>
    <x v="0"/>
  </r>
  <r>
    <s v="18"/>
    <s v="card"/>
    <n v="38.700000000000003"/>
    <x v="0"/>
    <x v="2"/>
    <x v="0"/>
    <x v="0"/>
    <s v="5"/>
    <s v="3"/>
    <s v="2024-03-08"/>
    <d v="1899-12-30T18:57:51"/>
    <x v="0"/>
  </r>
  <r>
    <s v="18"/>
    <s v="card"/>
    <n v="38.700000000000003"/>
    <x v="0"/>
    <x v="2"/>
    <x v="0"/>
    <x v="0"/>
    <s v="5"/>
    <s v="3"/>
    <s v="2024-03-08"/>
    <d v="1899-12-30T18:59:25"/>
    <x v="0"/>
  </r>
  <r>
    <s v="12"/>
    <s v="card"/>
    <n v="24"/>
    <x v="6"/>
    <x v="1"/>
    <x v="1"/>
    <x v="0"/>
    <s v="6"/>
    <s v="3"/>
    <s v="2024-03-09"/>
    <d v="1899-12-30T12:05:16"/>
    <x v="0"/>
  </r>
  <r>
    <s v="12"/>
    <s v="card"/>
    <n v="28.9"/>
    <x v="2"/>
    <x v="1"/>
    <x v="1"/>
    <x v="0"/>
    <s v="6"/>
    <s v="3"/>
    <s v="2024-03-09"/>
    <d v="1899-12-30T12:07:38"/>
    <x v="0"/>
  </r>
  <r>
    <s v="12"/>
    <s v="card"/>
    <n v="38.700000000000003"/>
    <x v="7"/>
    <x v="1"/>
    <x v="1"/>
    <x v="0"/>
    <s v="6"/>
    <s v="3"/>
    <s v="2024-03-09"/>
    <d v="1899-12-30T12:09:48"/>
    <x v="0"/>
  </r>
  <r>
    <s v="12"/>
    <s v="card"/>
    <n v="28.9"/>
    <x v="2"/>
    <x v="1"/>
    <x v="1"/>
    <x v="0"/>
    <s v="6"/>
    <s v="3"/>
    <s v="2024-03-09"/>
    <d v="1899-12-30T12:13:04"/>
    <x v="0"/>
  </r>
  <r>
    <s v="12"/>
    <s v="card"/>
    <n v="28.9"/>
    <x v="2"/>
    <x v="1"/>
    <x v="1"/>
    <x v="0"/>
    <s v="6"/>
    <s v="3"/>
    <s v="2024-03-09"/>
    <d v="1899-12-30T12:14:26"/>
    <x v="0"/>
  </r>
  <r>
    <s v="13"/>
    <s v="card"/>
    <n v="38.700000000000003"/>
    <x v="0"/>
    <x v="1"/>
    <x v="1"/>
    <x v="0"/>
    <s v="6"/>
    <s v="3"/>
    <s v="2024-03-09"/>
    <d v="1899-12-30T13:09:22"/>
    <x v="0"/>
  </r>
  <r>
    <s v="13"/>
    <s v="card"/>
    <n v="33.799999999999997"/>
    <x v="3"/>
    <x v="1"/>
    <x v="1"/>
    <x v="0"/>
    <s v="6"/>
    <s v="3"/>
    <s v="2024-03-09"/>
    <d v="1899-12-30T13:41:06"/>
    <x v="0"/>
  </r>
  <r>
    <s v="13"/>
    <s v="card"/>
    <n v="28.9"/>
    <x v="5"/>
    <x v="1"/>
    <x v="1"/>
    <x v="0"/>
    <s v="6"/>
    <s v="3"/>
    <s v="2024-03-09"/>
    <d v="1899-12-30T13:53:10"/>
    <x v="0"/>
  </r>
  <r>
    <s v="13"/>
    <s v="card"/>
    <n v="38.700000000000003"/>
    <x v="7"/>
    <x v="1"/>
    <x v="1"/>
    <x v="0"/>
    <s v="6"/>
    <s v="3"/>
    <s v="2024-03-09"/>
    <d v="1899-12-30T13:54:37"/>
    <x v="0"/>
  </r>
  <r>
    <s v="14"/>
    <s v="card"/>
    <n v="33.799999999999997"/>
    <x v="3"/>
    <x v="1"/>
    <x v="1"/>
    <x v="0"/>
    <s v="6"/>
    <s v="3"/>
    <s v="2024-03-09"/>
    <d v="1899-12-30T14:08:02"/>
    <x v="0"/>
  </r>
  <r>
    <s v="14"/>
    <s v="card"/>
    <n v="38.700000000000003"/>
    <x v="1"/>
    <x v="1"/>
    <x v="1"/>
    <x v="0"/>
    <s v="6"/>
    <s v="3"/>
    <s v="2024-03-09"/>
    <d v="1899-12-30T14:26:53"/>
    <x v="0"/>
  </r>
  <r>
    <s v="19"/>
    <s v="card"/>
    <n v="38.700000000000003"/>
    <x v="7"/>
    <x v="2"/>
    <x v="1"/>
    <x v="0"/>
    <s v="6"/>
    <s v="3"/>
    <s v="2024-03-09"/>
    <d v="1899-12-30T19:17:58"/>
    <x v="0"/>
  </r>
  <r>
    <s v="19"/>
    <s v="card"/>
    <n v="38.700000000000003"/>
    <x v="1"/>
    <x v="2"/>
    <x v="1"/>
    <x v="0"/>
    <s v="6"/>
    <s v="3"/>
    <s v="2024-03-09"/>
    <d v="1899-12-30T19:19:10"/>
    <x v="0"/>
  </r>
  <r>
    <s v="11"/>
    <s v="card"/>
    <n v="24"/>
    <x v="6"/>
    <x v="0"/>
    <x v="2"/>
    <x v="0"/>
    <s v="7"/>
    <s v="3"/>
    <s v="2024-03-10"/>
    <d v="1899-12-30T11:19:21"/>
    <x v="0"/>
  </r>
  <r>
    <s v="19"/>
    <s v="card"/>
    <n v="38.700000000000003"/>
    <x v="0"/>
    <x v="2"/>
    <x v="2"/>
    <x v="0"/>
    <s v="7"/>
    <s v="3"/>
    <s v="2024-03-10"/>
    <d v="1899-12-30T19:34:00"/>
    <x v="0"/>
  </r>
  <r>
    <s v="19"/>
    <s v="card"/>
    <n v="28.9"/>
    <x v="5"/>
    <x v="2"/>
    <x v="2"/>
    <x v="0"/>
    <s v="7"/>
    <s v="3"/>
    <s v="2024-03-10"/>
    <d v="1899-12-30T19:35:55"/>
    <x v="0"/>
  </r>
  <r>
    <s v="11"/>
    <s v="card"/>
    <n v="38.700000000000003"/>
    <x v="7"/>
    <x v="0"/>
    <x v="3"/>
    <x v="0"/>
    <s v="1"/>
    <s v="3"/>
    <s v="2024-03-11"/>
    <d v="1899-12-30T11:32:59"/>
    <x v="0"/>
  </r>
  <r>
    <s v="16"/>
    <s v="card"/>
    <n v="28.9"/>
    <x v="2"/>
    <x v="1"/>
    <x v="3"/>
    <x v="0"/>
    <s v="1"/>
    <s v="3"/>
    <s v="2024-03-11"/>
    <d v="1899-12-30T16:24:26"/>
    <x v="0"/>
  </r>
  <r>
    <s v="16"/>
    <s v="card"/>
    <n v="38.700000000000003"/>
    <x v="0"/>
    <x v="1"/>
    <x v="3"/>
    <x v="0"/>
    <s v="1"/>
    <s v="3"/>
    <s v="2024-03-11"/>
    <d v="1899-12-30T16:25:46"/>
    <x v="0"/>
  </r>
  <r>
    <s v="16"/>
    <s v="card"/>
    <n v="28.9"/>
    <x v="5"/>
    <x v="1"/>
    <x v="3"/>
    <x v="0"/>
    <s v="1"/>
    <s v="3"/>
    <s v="2024-03-11"/>
    <d v="1899-12-30T16:50:50"/>
    <x v="0"/>
  </r>
  <r>
    <s v="10"/>
    <s v="card"/>
    <n v="28.9"/>
    <x v="2"/>
    <x v="0"/>
    <x v="4"/>
    <x v="0"/>
    <s v="2"/>
    <s v="3"/>
    <s v="2024-03-12"/>
    <d v="1899-12-30T10:15:35"/>
    <x v="0"/>
  </r>
  <r>
    <s v="10"/>
    <s v="card"/>
    <n v="28.9"/>
    <x v="5"/>
    <x v="0"/>
    <x v="4"/>
    <x v="0"/>
    <s v="2"/>
    <s v="3"/>
    <s v="2024-03-12"/>
    <d v="1899-12-30T10:16:25"/>
    <x v="0"/>
  </r>
  <r>
    <s v="11"/>
    <s v="card"/>
    <n v="38.700000000000003"/>
    <x v="1"/>
    <x v="0"/>
    <x v="4"/>
    <x v="0"/>
    <s v="2"/>
    <s v="3"/>
    <s v="2024-03-12"/>
    <d v="1899-12-30T11:20:46"/>
    <x v="0"/>
  </r>
  <r>
    <s v="12"/>
    <s v="card"/>
    <n v="33.799999999999997"/>
    <x v="3"/>
    <x v="1"/>
    <x v="4"/>
    <x v="0"/>
    <s v="2"/>
    <s v="3"/>
    <s v="2024-03-12"/>
    <d v="1899-12-30T12:46:23"/>
    <x v="0"/>
  </r>
  <r>
    <s v="12"/>
    <s v="card"/>
    <n v="28.9"/>
    <x v="2"/>
    <x v="1"/>
    <x v="4"/>
    <x v="0"/>
    <s v="2"/>
    <s v="3"/>
    <s v="2024-03-12"/>
    <d v="1899-12-30T12:47:26"/>
    <x v="0"/>
  </r>
  <r>
    <s v="16"/>
    <s v="card"/>
    <n v="28.9"/>
    <x v="2"/>
    <x v="1"/>
    <x v="4"/>
    <x v="0"/>
    <s v="2"/>
    <s v="3"/>
    <s v="2024-03-12"/>
    <d v="1899-12-30T16:15:43"/>
    <x v="0"/>
  </r>
  <r>
    <s v="11"/>
    <s v="card"/>
    <n v="38.700000000000003"/>
    <x v="1"/>
    <x v="0"/>
    <x v="5"/>
    <x v="0"/>
    <s v="3"/>
    <s v="3"/>
    <s v="2024-03-13"/>
    <d v="1899-12-30T11:06:43"/>
    <x v="0"/>
  </r>
  <r>
    <s v="11"/>
    <s v="card"/>
    <n v="28.9"/>
    <x v="2"/>
    <x v="0"/>
    <x v="5"/>
    <x v="0"/>
    <s v="3"/>
    <s v="3"/>
    <s v="2024-03-13"/>
    <d v="1899-12-30T11:48:17"/>
    <x v="0"/>
  </r>
  <r>
    <s v="12"/>
    <s v="card"/>
    <n v="28.9"/>
    <x v="2"/>
    <x v="1"/>
    <x v="5"/>
    <x v="0"/>
    <s v="3"/>
    <s v="3"/>
    <s v="2024-03-13"/>
    <d v="1899-12-30T12:18:06"/>
    <x v="0"/>
  </r>
  <r>
    <s v="12"/>
    <s v="card"/>
    <n v="28.9"/>
    <x v="2"/>
    <x v="1"/>
    <x v="5"/>
    <x v="0"/>
    <s v="3"/>
    <s v="3"/>
    <s v="2024-03-13"/>
    <d v="1899-12-30T12:19:05"/>
    <x v="0"/>
  </r>
  <r>
    <s v="14"/>
    <s v="card"/>
    <n v="33.799999999999997"/>
    <x v="3"/>
    <x v="1"/>
    <x v="5"/>
    <x v="0"/>
    <s v="3"/>
    <s v="3"/>
    <s v="2024-03-13"/>
    <d v="1899-12-30T14:26:41"/>
    <x v="0"/>
  </r>
  <r>
    <s v="15"/>
    <s v="card"/>
    <n v="24"/>
    <x v="6"/>
    <x v="1"/>
    <x v="5"/>
    <x v="0"/>
    <s v="3"/>
    <s v="3"/>
    <s v="2024-03-13"/>
    <d v="1899-12-30T15:40:22"/>
    <x v="0"/>
  </r>
  <r>
    <s v="15"/>
    <s v="card"/>
    <n v="24"/>
    <x v="6"/>
    <x v="1"/>
    <x v="5"/>
    <x v="0"/>
    <s v="3"/>
    <s v="3"/>
    <s v="2024-03-13"/>
    <d v="1899-12-30T15:41:20"/>
    <x v="0"/>
  </r>
  <r>
    <s v="16"/>
    <s v="card"/>
    <n v="24"/>
    <x v="6"/>
    <x v="1"/>
    <x v="5"/>
    <x v="0"/>
    <s v="3"/>
    <s v="3"/>
    <s v="2024-03-13"/>
    <d v="1899-12-30T16:47:09"/>
    <x v="0"/>
  </r>
  <r>
    <s v="10"/>
    <s v="card"/>
    <n v="38.700000000000003"/>
    <x v="0"/>
    <x v="0"/>
    <x v="6"/>
    <x v="0"/>
    <s v="4"/>
    <s v="3"/>
    <s v="2024-03-14"/>
    <d v="1899-12-30T10:28:33"/>
    <x v="0"/>
  </r>
  <r>
    <s v="10"/>
    <s v="card"/>
    <n v="38.700000000000003"/>
    <x v="1"/>
    <x v="0"/>
    <x v="6"/>
    <x v="0"/>
    <s v="4"/>
    <s v="3"/>
    <s v="2024-03-14"/>
    <d v="1899-12-30T10:29:34"/>
    <x v="0"/>
  </r>
  <r>
    <s v="13"/>
    <s v="card"/>
    <n v="28.9"/>
    <x v="5"/>
    <x v="1"/>
    <x v="6"/>
    <x v="0"/>
    <s v="4"/>
    <s v="3"/>
    <s v="2024-03-14"/>
    <d v="1899-12-30T13:27:30"/>
    <x v="0"/>
  </r>
  <r>
    <s v="13"/>
    <s v="card"/>
    <n v="28.9"/>
    <x v="2"/>
    <x v="1"/>
    <x v="6"/>
    <x v="0"/>
    <s v="4"/>
    <s v="3"/>
    <s v="2024-03-14"/>
    <d v="1899-12-30T13:28:25"/>
    <x v="0"/>
  </r>
  <r>
    <s v="13"/>
    <s v="card"/>
    <n v="33.799999999999997"/>
    <x v="3"/>
    <x v="1"/>
    <x v="6"/>
    <x v="0"/>
    <s v="4"/>
    <s v="3"/>
    <s v="2024-03-14"/>
    <d v="1899-12-30T13:52:00"/>
    <x v="0"/>
  </r>
  <r>
    <s v="13"/>
    <s v="card"/>
    <n v="24"/>
    <x v="6"/>
    <x v="1"/>
    <x v="6"/>
    <x v="0"/>
    <s v="4"/>
    <s v="3"/>
    <s v="2024-03-14"/>
    <d v="1899-12-30T13:52:56"/>
    <x v="0"/>
  </r>
  <r>
    <s v="15"/>
    <s v="card"/>
    <n v="38.700000000000003"/>
    <x v="0"/>
    <x v="1"/>
    <x v="6"/>
    <x v="0"/>
    <s v="4"/>
    <s v="3"/>
    <s v="2024-03-14"/>
    <d v="1899-12-30T15:20:38"/>
    <x v="0"/>
  </r>
  <r>
    <s v="16"/>
    <s v="card"/>
    <n v="33.799999999999997"/>
    <x v="3"/>
    <x v="1"/>
    <x v="6"/>
    <x v="0"/>
    <s v="4"/>
    <s v="3"/>
    <s v="2024-03-14"/>
    <d v="1899-12-30T16:04:10"/>
    <x v="0"/>
  </r>
  <r>
    <s v="16"/>
    <s v="card"/>
    <n v="24"/>
    <x v="6"/>
    <x v="1"/>
    <x v="6"/>
    <x v="0"/>
    <s v="4"/>
    <s v="3"/>
    <s v="2024-03-14"/>
    <d v="1899-12-30T16:54:38"/>
    <x v="0"/>
  </r>
  <r>
    <s v="18"/>
    <s v="card"/>
    <n v="38.700000000000003"/>
    <x v="1"/>
    <x v="2"/>
    <x v="6"/>
    <x v="0"/>
    <s v="4"/>
    <s v="3"/>
    <s v="2024-03-14"/>
    <d v="1899-12-30T18:58:56"/>
    <x v="0"/>
  </r>
  <r>
    <s v="19"/>
    <s v="card"/>
    <n v="28.9"/>
    <x v="5"/>
    <x v="2"/>
    <x v="6"/>
    <x v="0"/>
    <s v="4"/>
    <s v="3"/>
    <s v="2024-03-14"/>
    <d v="1899-12-30T19:00:09"/>
    <x v="0"/>
  </r>
  <r>
    <s v="10"/>
    <s v="card"/>
    <n v="38.700000000000003"/>
    <x v="1"/>
    <x v="0"/>
    <x v="0"/>
    <x v="0"/>
    <s v="5"/>
    <s v="3"/>
    <s v="2024-03-15"/>
    <d v="1899-12-30T10:53:02"/>
    <x v="0"/>
  </r>
  <r>
    <s v="18"/>
    <s v="card"/>
    <n v="28.9"/>
    <x v="2"/>
    <x v="2"/>
    <x v="0"/>
    <x v="0"/>
    <s v="5"/>
    <s v="3"/>
    <s v="2024-03-15"/>
    <d v="1899-12-30T18:19:28"/>
    <x v="0"/>
  </r>
  <r>
    <s v="12"/>
    <s v="card"/>
    <n v="33.799999999999997"/>
    <x v="3"/>
    <x v="1"/>
    <x v="1"/>
    <x v="0"/>
    <s v="6"/>
    <s v="3"/>
    <s v="2024-03-16"/>
    <d v="1899-12-30T12:06:55"/>
    <x v="0"/>
  </r>
  <r>
    <s v="12"/>
    <s v="card"/>
    <n v="28.9"/>
    <x v="2"/>
    <x v="1"/>
    <x v="1"/>
    <x v="0"/>
    <s v="6"/>
    <s v="3"/>
    <s v="2024-03-16"/>
    <d v="1899-12-30T12:07:54"/>
    <x v="0"/>
  </r>
  <r>
    <s v="15"/>
    <s v="card"/>
    <n v="28.9"/>
    <x v="5"/>
    <x v="1"/>
    <x v="1"/>
    <x v="0"/>
    <s v="6"/>
    <s v="3"/>
    <s v="2024-03-16"/>
    <d v="1899-12-30T15:58:18"/>
    <x v="0"/>
  </r>
  <r>
    <s v="16"/>
    <s v="card"/>
    <n v="28.9"/>
    <x v="5"/>
    <x v="1"/>
    <x v="1"/>
    <x v="0"/>
    <s v="6"/>
    <s v="3"/>
    <s v="2024-03-16"/>
    <d v="1899-12-30T16:03:22"/>
    <x v="0"/>
  </r>
  <r>
    <s v="16"/>
    <s v="card"/>
    <n v="28.9"/>
    <x v="5"/>
    <x v="1"/>
    <x v="1"/>
    <x v="0"/>
    <s v="6"/>
    <s v="3"/>
    <s v="2024-03-16"/>
    <d v="1899-12-30T16:04:11"/>
    <x v="0"/>
  </r>
  <r>
    <s v="17"/>
    <s v="card"/>
    <n v="33.799999999999997"/>
    <x v="3"/>
    <x v="2"/>
    <x v="1"/>
    <x v="0"/>
    <s v="6"/>
    <s v="3"/>
    <s v="2024-03-16"/>
    <d v="1899-12-30T17:58:07"/>
    <x v="0"/>
  </r>
  <r>
    <s v="12"/>
    <s v="card"/>
    <n v="28.9"/>
    <x v="5"/>
    <x v="1"/>
    <x v="2"/>
    <x v="0"/>
    <s v="7"/>
    <s v="3"/>
    <s v="2024-03-17"/>
    <d v="1899-12-30T12:55:26"/>
    <x v="0"/>
  </r>
  <r>
    <s v="11"/>
    <s v="card"/>
    <n v="28.9"/>
    <x v="5"/>
    <x v="0"/>
    <x v="3"/>
    <x v="0"/>
    <s v="1"/>
    <s v="3"/>
    <s v="2024-03-18"/>
    <d v="1899-12-30T11:18:00"/>
    <x v="0"/>
  </r>
  <r>
    <s v="15"/>
    <s v="card"/>
    <n v="28.9"/>
    <x v="2"/>
    <x v="1"/>
    <x v="3"/>
    <x v="0"/>
    <s v="1"/>
    <s v="3"/>
    <s v="2024-03-18"/>
    <d v="1899-12-30T15:31:40"/>
    <x v="0"/>
  </r>
  <r>
    <s v="15"/>
    <s v="card"/>
    <n v="28.9"/>
    <x v="2"/>
    <x v="1"/>
    <x v="3"/>
    <x v="0"/>
    <s v="1"/>
    <s v="3"/>
    <s v="2024-03-18"/>
    <d v="1899-12-30T15:32:38"/>
    <x v="0"/>
  </r>
  <r>
    <s v="15"/>
    <s v="card"/>
    <n v="28.9"/>
    <x v="2"/>
    <x v="1"/>
    <x v="3"/>
    <x v="0"/>
    <s v="1"/>
    <s v="3"/>
    <s v="2024-03-18"/>
    <d v="1899-12-30T15:33:37"/>
    <x v="0"/>
  </r>
  <r>
    <s v="14"/>
    <s v="card"/>
    <n v="38.700000000000003"/>
    <x v="0"/>
    <x v="1"/>
    <x v="4"/>
    <x v="0"/>
    <s v="2"/>
    <s v="3"/>
    <s v="2024-03-19"/>
    <d v="1899-12-30T14:02:22"/>
    <x v="0"/>
  </r>
  <r>
    <s v="14"/>
    <s v="card"/>
    <n v="38.700000000000003"/>
    <x v="0"/>
    <x v="1"/>
    <x v="4"/>
    <x v="0"/>
    <s v="2"/>
    <s v="3"/>
    <s v="2024-03-19"/>
    <d v="1899-12-30T14:03:20"/>
    <x v="0"/>
  </r>
  <r>
    <s v="15"/>
    <s v="card"/>
    <n v="38.700000000000003"/>
    <x v="1"/>
    <x v="1"/>
    <x v="4"/>
    <x v="0"/>
    <s v="2"/>
    <s v="3"/>
    <s v="2024-03-19"/>
    <d v="1899-12-30T15:04:36"/>
    <x v="0"/>
  </r>
  <r>
    <s v="16"/>
    <s v="card"/>
    <n v="33.799999999999997"/>
    <x v="3"/>
    <x v="1"/>
    <x v="4"/>
    <x v="0"/>
    <s v="2"/>
    <s v="3"/>
    <s v="2024-03-19"/>
    <d v="1899-12-30T16:53:49"/>
    <x v="0"/>
  </r>
  <r>
    <s v="11"/>
    <s v="card"/>
    <n v="28.9"/>
    <x v="5"/>
    <x v="0"/>
    <x v="5"/>
    <x v="0"/>
    <s v="3"/>
    <s v="3"/>
    <s v="2024-03-20"/>
    <d v="1899-12-30T11:41:16"/>
    <x v="0"/>
  </r>
  <r>
    <s v="12"/>
    <s v="card"/>
    <n v="28.9"/>
    <x v="5"/>
    <x v="1"/>
    <x v="5"/>
    <x v="0"/>
    <s v="3"/>
    <s v="3"/>
    <s v="2024-03-20"/>
    <d v="1899-12-30T12:30:49"/>
    <x v="0"/>
  </r>
  <r>
    <s v="13"/>
    <s v="card"/>
    <n v="38.700000000000003"/>
    <x v="7"/>
    <x v="1"/>
    <x v="5"/>
    <x v="0"/>
    <s v="3"/>
    <s v="3"/>
    <s v="2024-03-20"/>
    <d v="1899-12-30T13:16:47"/>
    <x v="0"/>
  </r>
  <r>
    <s v="16"/>
    <s v="card"/>
    <n v="38.700000000000003"/>
    <x v="4"/>
    <x v="1"/>
    <x v="5"/>
    <x v="0"/>
    <s v="3"/>
    <s v="3"/>
    <s v="2024-03-20"/>
    <d v="1899-12-30T16:42:38"/>
    <x v="0"/>
  </r>
  <r>
    <s v="17"/>
    <s v="card"/>
    <n v="38.700000000000003"/>
    <x v="0"/>
    <x v="2"/>
    <x v="5"/>
    <x v="0"/>
    <s v="3"/>
    <s v="3"/>
    <s v="2024-03-20"/>
    <d v="1899-12-30T17:50:29"/>
    <x v="0"/>
  </r>
  <r>
    <s v="12"/>
    <s v="card"/>
    <n v="28.9"/>
    <x v="5"/>
    <x v="1"/>
    <x v="6"/>
    <x v="0"/>
    <s v="4"/>
    <s v="3"/>
    <s v="2024-03-21"/>
    <d v="1899-12-30T12:25:09"/>
    <x v="0"/>
  </r>
  <r>
    <s v="12"/>
    <s v="card"/>
    <n v="38.700000000000003"/>
    <x v="7"/>
    <x v="1"/>
    <x v="6"/>
    <x v="0"/>
    <s v="4"/>
    <s v="3"/>
    <s v="2024-03-21"/>
    <d v="1899-12-30T12:26:17"/>
    <x v="0"/>
  </r>
  <r>
    <s v="17"/>
    <s v="card"/>
    <n v="28.9"/>
    <x v="5"/>
    <x v="2"/>
    <x v="6"/>
    <x v="0"/>
    <s v="4"/>
    <s v="3"/>
    <s v="2024-03-21"/>
    <d v="1899-12-30T17:22:01"/>
    <x v="0"/>
  </r>
  <r>
    <s v="19"/>
    <s v="card"/>
    <n v="38.700000000000003"/>
    <x v="0"/>
    <x v="2"/>
    <x v="6"/>
    <x v="0"/>
    <s v="4"/>
    <s v="3"/>
    <s v="2024-03-21"/>
    <d v="1899-12-30T19:20:37"/>
    <x v="0"/>
  </r>
  <r>
    <s v="10"/>
    <s v="card"/>
    <n v="33.799999999999997"/>
    <x v="3"/>
    <x v="0"/>
    <x v="0"/>
    <x v="0"/>
    <s v="5"/>
    <s v="3"/>
    <s v="2024-03-22"/>
    <d v="1899-12-30T10:35:54"/>
    <x v="0"/>
  </r>
  <r>
    <s v="13"/>
    <s v="card"/>
    <n v="33.799999999999997"/>
    <x v="3"/>
    <x v="1"/>
    <x v="0"/>
    <x v="0"/>
    <s v="5"/>
    <s v="3"/>
    <s v="2024-03-22"/>
    <d v="1899-12-30T13:29:20"/>
    <x v="0"/>
  </r>
  <r>
    <s v="17"/>
    <s v="card"/>
    <n v="28.9"/>
    <x v="2"/>
    <x v="2"/>
    <x v="0"/>
    <x v="0"/>
    <s v="5"/>
    <s v="3"/>
    <s v="2024-03-22"/>
    <d v="1899-12-30T17:17:04"/>
    <x v="0"/>
  </r>
  <r>
    <s v="17"/>
    <s v="card"/>
    <n v="24"/>
    <x v="6"/>
    <x v="2"/>
    <x v="0"/>
    <x v="0"/>
    <s v="5"/>
    <s v="3"/>
    <s v="2024-03-22"/>
    <d v="1899-12-30T17:17:59"/>
    <x v="0"/>
  </r>
  <r>
    <s v="17"/>
    <s v="card"/>
    <n v="28.9"/>
    <x v="2"/>
    <x v="2"/>
    <x v="0"/>
    <x v="0"/>
    <s v="5"/>
    <s v="3"/>
    <s v="2024-03-22"/>
    <d v="1899-12-30T17:20:49"/>
    <x v="0"/>
  </r>
  <r>
    <s v="10"/>
    <s v="card"/>
    <n v="38.700000000000003"/>
    <x v="0"/>
    <x v="0"/>
    <x v="1"/>
    <x v="0"/>
    <s v="6"/>
    <s v="3"/>
    <s v="2024-03-23"/>
    <d v="1899-12-30T10:44:00"/>
    <x v="0"/>
  </r>
  <r>
    <s v="10"/>
    <s v="card"/>
    <n v="33.799999999999997"/>
    <x v="3"/>
    <x v="0"/>
    <x v="1"/>
    <x v="0"/>
    <s v="6"/>
    <s v="3"/>
    <s v="2024-03-23"/>
    <d v="1899-12-30T10:45:07"/>
    <x v="0"/>
  </r>
  <r>
    <s v="13"/>
    <s v="card"/>
    <n v="38.700000000000003"/>
    <x v="7"/>
    <x v="1"/>
    <x v="1"/>
    <x v="0"/>
    <s v="6"/>
    <s v="3"/>
    <s v="2024-03-23"/>
    <d v="1899-12-30T13:10:08"/>
    <x v="0"/>
  </r>
  <r>
    <s v="13"/>
    <s v="card"/>
    <n v="38.700000000000003"/>
    <x v="4"/>
    <x v="1"/>
    <x v="1"/>
    <x v="0"/>
    <s v="6"/>
    <s v="3"/>
    <s v="2024-03-23"/>
    <d v="1899-12-30T13:11:12"/>
    <x v="0"/>
  </r>
  <r>
    <s v="14"/>
    <s v="card"/>
    <n v="33.799999999999997"/>
    <x v="3"/>
    <x v="1"/>
    <x v="1"/>
    <x v="0"/>
    <s v="6"/>
    <s v="3"/>
    <s v="2024-03-23"/>
    <d v="1899-12-30T14:44:41"/>
    <x v="0"/>
  </r>
  <r>
    <s v="15"/>
    <s v="card"/>
    <n v="38.700000000000003"/>
    <x v="0"/>
    <x v="1"/>
    <x v="1"/>
    <x v="0"/>
    <s v="6"/>
    <s v="3"/>
    <s v="2024-03-23"/>
    <d v="1899-12-30T15:47:19"/>
    <x v="0"/>
  </r>
  <r>
    <s v="15"/>
    <s v="card"/>
    <n v="33.799999999999997"/>
    <x v="3"/>
    <x v="1"/>
    <x v="1"/>
    <x v="0"/>
    <s v="6"/>
    <s v="3"/>
    <s v="2024-03-23"/>
    <d v="1899-12-30T15:49:34"/>
    <x v="0"/>
  </r>
  <r>
    <s v="16"/>
    <s v="card"/>
    <n v="28.9"/>
    <x v="5"/>
    <x v="1"/>
    <x v="1"/>
    <x v="0"/>
    <s v="6"/>
    <s v="3"/>
    <s v="2024-03-23"/>
    <d v="1899-12-30T16:00:58"/>
    <x v="0"/>
  </r>
  <r>
    <s v="18"/>
    <s v="card"/>
    <n v="38.700000000000003"/>
    <x v="0"/>
    <x v="2"/>
    <x v="2"/>
    <x v="0"/>
    <s v="7"/>
    <s v="3"/>
    <s v="2024-03-24"/>
    <d v="1899-12-30T18:45:08"/>
    <x v="0"/>
  </r>
  <r>
    <s v="10"/>
    <s v="card"/>
    <n v="38.700000000000003"/>
    <x v="0"/>
    <x v="0"/>
    <x v="3"/>
    <x v="0"/>
    <s v="1"/>
    <s v="3"/>
    <s v="2024-03-25"/>
    <d v="1899-12-30T10:31:47"/>
    <x v="0"/>
  </r>
  <r>
    <s v="14"/>
    <s v="card"/>
    <n v="38.700000000000003"/>
    <x v="0"/>
    <x v="1"/>
    <x v="3"/>
    <x v="0"/>
    <s v="1"/>
    <s v="3"/>
    <s v="2024-03-25"/>
    <d v="1899-12-30T14:27:09"/>
    <x v="0"/>
  </r>
  <r>
    <s v="14"/>
    <s v="card"/>
    <n v="38.700000000000003"/>
    <x v="0"/>
    <x v="1"/>
    <x v="3"/>
    <x v="0"/>
    <s v="1"/>
    <s v="3"/>
    <s v="2024-03-25"/>
    <d v="1899-12-30T14:29:25"/>
    <x v="0"/>
  </r>
  <r>
    <s v="18"/>
    <s v="card"/>
    <n v="33.799999999999997"/>
    <x v="3"/>
    <x v="2"/>
    <x v="3"/>
    <x v="0"/>
    <s v="1"/>
    <s v="3"/>
    <s v="2024-03-25"/>
    <d v="1899-12-30T18:37:31"/>
    <x v="0"/>
  </r>
  <r>
    <s v="19"/>
    <s v="card"/>
    <n v="38.700000000000003"/>
    <x v="7"/>
    <x v="2"/>
    <x v="3"/>
    <x v="0"/>
    <s v="1"/>
    <s v="3"/>
    <s v="2024-03-25"/>
    <d v="1899-12-30T19:34:25"/>
    <x v="0"/>
  </r>
  <r>
    <s v="10"/>
    <s v="card"/>
    <n v="38.700000000000003"/>
    <x v="4"/>
    <x v="0"/>
    <x v="4"/>
    <x v="0"/>
    <s v="2"/>
    <s v="3"/>
    <s v="2024-03-26"/>
    <d v="1899-12-30T10:35:50"/>
    <x v="0"/>
  </r>
  <r>
    <s v="10"/>
    <s v="card"/>
    <n v="38.700000000000003"/>
    <x v="0"/>
    <x v="0"/>
    <x v="4"/>
    <x v="0"/>
    <s v="2"/>
    <s v="3"/>
    <s v="2024-03-26"/>
    <d v="1899-12-30T10:36:36"/>
    <x v="0"/>
  </r>
  <r>
    <s v="10"/>
    <s v="card"/>
    <n v="38.700000000000003"/>
    <x v="0"/>
    <x v="0"/>
    <x v="4"/>
    <x v="0"/>
    <s v="2"/>
    <s v="3"/>
    <s v="2024-03-26"/>
    <d v="1899-12-30T10:42:30"/>
    <x v="0"/>
  </r>
  <r>
    <s v="11"/>
    <s v="card"/>
    <n v="28.9"/>
    <x v="5"/>
    <x v="0"/>
    <x v="4"/>
    <x v="0"/>
    <s v="2"/>
    <s v="3"/>
    <s v="2024-03-26"/>
    <d v="1899-12-30T11:11:47"/>
    <x v="0"/>
  </r>
  <r>
    <s v="13"/>
    <s v="card"/>
    <n v="28.9"/>
    <x v="2"/>
    <x v="1"/>
    <x v="4"/>
    <x v="0"/>
    <s v="2"/>
    <s v="3"/>
    <s v="2024-03-26"/>
    <d v="1899-12-30T13:35:53"/>
    <x v="0"/>
  </r>
  <r>
    <s v="13"/>
    <s v="card"/>
    <n v="28.9"/>
    <x v="5"/>
    <x v="1"/>
    <x v="4"/>
    <x v="0"/>
    <s v="2"/>
    <s v="3"/>
    <s v="2024-03-26"/>
    <d v="1899-12-30T13:36:50"/>
    <x v="0"/>
  </r>
  <r>
    <s v="13"/>
    <s v="card"/>
    <n v="28.9"/>
    <x v="5"/>
    <x v="1"/>
    <x v="4"/>
    <x v="0"/>
    <s v="2"/>
    <s v="3"/>
    <s v="2024-03-26"/>
    <d v="1899-12-30T13:38:00"/>
    <x v="0"/>
  </r>
  <r>
    <s v="13"/>
    <s v="card"/>
    <n v="28.9"/>
    <x v="2"/>
    <x v="1"/>
    <x v="4"/>
    <x v="0"/>
    <s v="2"/>
    <s v="3"/>
    <s v="2024-03-26"/>
    <d v="1899-12-30T13:57:54"/>
    <x v="0"/>
  </r>
  <r>
    <s v="15"/>
    <s v="card"/>
    <n v="38.700000000000003"/>
    <x v="0"/>
    <x v="1"/>
    <x v="4"/>
    <x v="0"/>
    <s v="2"/>
    <s v="3"/>
    <s v="2024-03-26"/>
    <d v="1899-12-30T15:48:02"/>
    <x v="0"/>
  </r>
  <r>
    <s v="18"/>
    <s v="card"/>
    <n v="38.700000000000003"/>
    <x v="0"/>
    <x v="2"/>
    <x v="4"/>
    <x v="0"/>
    <s v="2"/>
    <s v="3"/>
    <s v="2024-03-26"/>
    <d v="1899-12-30T18:33:39"/>
    <x v="0"/>
  </r>
  <r>
    <s v="18"/>
    <s v="card"/>
    <n v="38.700000000000003"/>
    <x v="1"/>
    <x v="2"/>
    <x v="4"/>
    <x v="0"/>
    <s v="2"/>
    <s v="3"/>
    <s v="2024-03-26"/>
    <d v="1899-12-30T18:34:55"/>
    <x v="0"/>
  </r>
  <r>
    <s v="11"/>
    <s v="card"/>
    <n v="28.9"/>
    <x v="5"/>
    <x v="0"/>
    <x v="5"/>
    <x v="0"/>
    <s v="3"/>
    <s v="3"/>
    <s v="2024-03-27"/>
    <d v="1899-12-30T11:04:51"/>
    <x v="0"/>
  </r>
  <r>
    <s v="11"/>
    <s v="card"/>
    <n v="33.799999999999997"/>
    <x v="3"/>
    <x v="0"/>
    <x v="5"/>
    <x v="0"/>
    <s v="3"/>
    <s v="3"/>
    <s v="2024-03-27"/>
    <d v="1899-12-30T11:05:58"/>
    <x v="0"/>
  </r>
  <r>
    <s v="12"/>
    <s v="card"/>
    <n v="33.799999999999997"/>
    <x v="3"/>
    <x v="1"/>
    <x v="5"/>
    <x v="0"/>
    <s v="3"/>
    <s v="3"/>
    <s v="2024-03-27"/>
    <d v="1899-12-30T12:57:00"/>
    <x v="0"/>
  </r>
  <r>
    <s v="13"/>
    <s v="card"/>
    <n v="38.700000000000003"/>
    <x v="1"/>
    <x v="1"/>
    <x v="5"/>
    <x v="0"/>
    <s v="3"/>
    <s v="3"/>
    <s v="2024-03-27"/>
    <d v="1899-12-30T13:35:20"/>
    <x v="0"/>
  </r>
  <r>
    <s v="14"/>
    <s v="card"/>
    <n v="38.700000000000003"/>
    <x v="7"/>
    <x v="1"/>
    <x v="5"/>
    <x v="0"/>
    <s v="3"/>
    <s v="3"/>
    <s v="2024-03-27"/>
    <d v="1899-12-30T14:22:32"/>
    <x v="0"/>
  </r>
  <r>
    <s v="14"/>
    <s v="card"/>
    <n v="28.9"/>
    <x v="2"/>
    <x v="1"/>
    <x v="5"/>
    <x v="0"/>
    <s v="3"/>
    <s v="3"/>
    <s v="2024-03-27"/>
    <d v="1899-12-30T14:23:35"/>
    <x v="0"/>
  </r>
  <r>
    <s v="18"/>
    <s v="card"/>
    <n v="28.9"/>
    <x v="5"/>
    <x v="2"/>
    <x v="5"/>
    <x v="0"/>
    <s v="3"/>
    <s v="3"/>
    <s v="2024-03-27"/>
    <d v="1899-12-30T18:30:12"/>
    <x v="0"/>
  </r>
  <r>
    <s v="14"/>
    <s v="card"/>
    <n v="28.9"/>
    <x v="5"/>
    <x v="1"/>
    <x v="6"/>
    <x v="0"/>
    <s v="4"/>
    <s v="3"/>
    <s v="2024-03-28"/>
    <d v="1899-12-30T14:24:47"/>
    <x v="0"/>
  </r>
  <r>
    <s v="17"/>
    <s v="card"/>
    <n v="28.9"/>
    <x v="5"/>
    <x v="2"/>
    <x v="6"/>
    <x v="0"/>
    <s v="4"/>
    <s v="3"/>
    <s v="2024-03-28"/>
    <d v="1899-12-30T17:24:46"/>
    <x v="0"/>
  </r>
  <r>
    <s v="17"/>
    <s v="card"/>
    <n v="28.9"/>
    <x v="2"/>
    <x v="2"/>
    <x v="6"/>
    <x v="0"/>
    <s v="4"/>
    <s v="3"/>
    <s v="2024-03-28"/>
    <d v="1899-12-30T17:27:05"/>
    <x v="0"/>
  </r>
  <r>
    <s v="17"/>
    <s v="card"/>
    <n v="38.700000000000003"/>
    <x v="0"/>
    <x v="2"/>
    <x v="6"/>
    <x v="0"/>
    <s v="4"/>
    <s v="3"/>
    <s v="2024-03-28"/>
    <d v="1899-12-30T17:32:45"/>
    <x v="0"/>
  </r>
  <r>
    <s v="10"/>
    <s v="card"/>
    <n v="38.700000000000003"/>
    <x v="0"/>
    <x v="0"/>
    <x v="0"/>
    <x v="0"/>
    <s v="5"/>
    <s v="3"/>
    <s v="2024-03-29"/>
    <d v="1899-12-30T10:56:19"/>
    <x v="0"/>
  </r>
  <r>
    <s v="12"/>
    <s v="card"/>
    <n v="38.700000000000003"/>
    <x v="7"/>
    <x v="1"/>
    <x v="0"/>
    <x v="0"/>
    <s v="5"/>
    <s v="3"/>
    <s v="2024-03-29"/>
    <d v="1899-12-30T12:34:17"/>
    <x v="0"/>
  </r>
  <r>
    <s v="12"/>
    <s v="card"/>
    <n v="38.700000000000003"/>
    <x v="7"/>
    <x v="1"/>
    <x v="0"/>
    <x v="0"/>
    <s v="5"/>
    <s v="3"/>
    <s v="2024-03-29"/>
    <d v="1899-12-30T12:41:32"/>
    <x v="0"/>
  </r>
  <r>
    <s v="11"/>
    <s v="card"/>
    <n v="38.700000000000003"/>
    <x v="0"/>
    <x v="0"/>
    <x v="1"/>
    <x v="0"/>
    <s v="6"/>
    <s v="3"/>
    <s v="2024-03-30"/>
    <d v="1899-12-30T11:59:20"/>
    <x v="0"/>
  </r>
  <r>
    <s v="16"/>
    <s v="card"/>
    <n v="38.700000000000003"/>
    <x v="0"/>
    <x v="1"/>
    <x v="1"/>
    <x v="0"/>
    <s v="6"/>
    <s v="3"/>
    <s v="2024-03-30"/>
    <d v="1899-12-30T16:12:32"/>
    <x v="0"/>
  </r>
  <r>
    <s v="16"/>
    <s v="card"/>
    <n v="38.700000000000003"/>
    <x v="0"/>
    <x v="1"/>
    <x v="1"/>
    <x v="0"/>
    <s v="6"/>
    <s v="3"/>
    <s v="2024-03-30"/>
    <d v="1899-12-30T16:36:41"/>
    <x v="0"/>
  </r>
  <r>
    <s v="16"/>
    <s v="card"/>
    <n v="33.799999999999997"/>
    <x v="3"/>
    <x v="1"/>
    <x v="1"/>
    <x v="0"/>
    <s v="6"/>
    <s v="3"/>
    <s v="2024-03-30"/>
    <d v="1899-12-30T16:37:58"/>
    <x v="0"/>
  </r>
  <r>
    <s v="10"/>
    <s v="card"/>
    <n v="38.700000000000003"/>
    <x v="7"/>
    <x v="0"/>
    <x v="2"/>
    <x v="0"/>
    <s v="7"/>
    <s v="3"/>
    <s v="2024-03-31"/>
    <d v="1899-12-30T10:40:05"/>
    <x v="0"/>
  </r>
  <r>
    <s v="10"/>
    <s v="card"/>
    <n v="28.9"/>
    <x v="2"/>
    <x v="0"/>
    <x v="3"/>
    <x v="1"/>
    <s v="1"/>
    <s v="4"/>
    <s v="2024-04-01"/>
    <d v="1899-12-30T10:28:48"/>
    <x v="0"/>
  </r>
  <r>
    <s v="10"/>
    <s v="card"/>
    <n v="33.799999999999997"/>
    <x v="3"/>
    <x v="0"/>
    <x v="3"/>
    <x v="1"/>
    <s v="1"/>
    <s v="4"/>
    <s v="2024-04-01"/>
    <d v="1899-12-30T10:29:42"/>
    <x v="0"/>
  </r>
  <r>
    <s v="10"/>
    <s v="card"/>
    <n v="33.799999999999997"/>
    <x v="3"/>
    <x v="0"/>
    <x v="3"/>
    <x v="1"/>
    <s v="1"/>
    <s v="4"/>
    <s v="2024-04-01"/>
    <d v="1899-12-30T10:30:44"/>
    <x v="0"/>
  </r>
  <r>
    <s v="11"/>
    <s v="card"/>
    <n v="33.799999999999997"/>
    <x v="3"/>
    <x v="0"/>
    <x v="3"/>
    <x v="1"/>
    <s v="1"/>
    <s v="4"/>
    <s v="2024-04-01"/>
    <d v="1899-12-30T11:15:44"/>
    <x v="0"/>
  </r>
  <r>
    <s v="18"/>
    <s v="card"/>
    <n v="33.799999999999997"/>
    <x v="3"/>
    <x v="2"/>
    <x v="3"/>
    <x v="1"/>
    <s v="1"/>
    <s v="4"/>
    <s v="2024-04-01"/>
    <d v="1899-12-30T18:18:42"/>
    <x v="0"/>
  </r>
  <r>
    <s v="18"/>
    <s v="card"/>
    <n v="38.700000000000003"/>
    <x v="1"/>
    <x v="2"/>
    <x v="3"/>
    <x v="1"/>
    <s v="1"/>
    <s v="4"/>
    <s v="2024-04-01"/>
    <d v="1899-12-30T18:45:27"/>
    <x v="0"/>
  </r>
  <r>
    <s v="10"/>
    <s v="card"/>
    <n v="38.700000000000003"/>
    <x v="0"/>
    <x v="0"/>
    <x v="4"/>
    <x v="1"/>
    <s v="2"/>
    <s v="4"/>
    <s v="2024-04-02"/>
    <d v="1899-12-30T10:01:14"/>
    <x v="0"/>
  </r>
  <r>
    <s v="16"/>
    <s v="card"/>
    <n v="28.9"/>
    <x v="2"/>
    <x v="1"/>
    <x v="4"/>
    <x v="1"/>
    <s v="2"/>
    <s v="4"/>
    <s v="2024-04-02"/>
    <d v="1899-12-30T16:18:34"/>
    <x v="0"/>
  </r>
  <r>
    <s v="16"/>
    <s v="card"/>
    <n v="28.9"/>
    <x v="5"/>
    <x v="1"/>
    <x v="4"/>
    <x v="1"/>
    <s v="2"/>
    <s v="4"/>
    <s v="2024-04-02"/>
    <d v="1899-12-30T16:19:28"/>
    <x v="0"/>
  </r>
  <r>
    <s v="10"/>
    <s v="card"/>
    <n v="28.9"/>
    <x v="5"/>
    <x v="0"/>
    <x v="5"/>
    <x v="1"/>
    <s v="3"/>
    <s v="4"/>
    <s v="2024-04-03"/>
    <d v="1899-12-30T10:19:14"/>
    <x v="0"/>
  </r>
  <r>
    <s v="10"/>
    <s v="card"/>
    <n v="28.9"/>
    <x v="2"/>
    <x v="0"/>
    <x v="5"/>
    <x v="1"/>
    <s v="3"/>
    <s v="4"/>
    <s v="2024-04-03"/>
    <d v="1899-12-30T10:20:08"/>
    <x v="0"/>
  </r>
  <r>
    <s v="13"/>
    <s v="card"/>
    <n v="38.700000000000003"/>
    <x v="7"/>
    <x v="1"/>
    <x v="5"/>
    <x v="1"/>
    <s v="3"/>
    <s v="4"/>
    <s v="2024-04-03"/>
    <d v="1899-12-30T13:12:05"/>
    <x v="0"/>
  </r>
  <r>
    <s v="10"/>
    <s v="card"/>
    <n v="38.700000000000003"/>
    <x v="0"/>
    <x v="0"/>
    <x v="6"/>
    <x v="1"/>
    <s v="4"/>
    <s v="4"/>
    <s v="2024-04-04"/>
    <d v="1899-12-30T10:44:56"/>
    <x v="0"/>
  </r>
  <r>
    <s v="11"/>
    <s v="card"/>
    <n v="38.700000000000003"/>
    <x v="0"/>
    <x v="0"/>
    <x v="6"/>
    <x v="1"/>
    <s v="4"/>
    <s v="4"/>
    <s v="2024-04-04"/>
    <d v="1899-12-30T11:26:38"/>
    <x v="0"/>
  </r>
  <r>
    <s v="11"/>
    <s v="card"/>
    <n v="38.700000000000003"/>
    <x v="7"/>
    <x v="0"/>
    <x v="6"/>
    <x v="1"/>
    <s v="4"/>
    <s v="4"/>
    <s v="2024-04-04"/>
    <d v="1899-12-30T11:27:48"/>
    <x v="0"/>
  </r>
  <r>
    <s v="12"/>
    <s v="card"/>
    <n v="28.9"/>
    <x v="5"/>
    <x v="1"/>
    <x v="6"/>
    <x v="1"/>
    <s v="4"/>
    <s v="4"/>
    <s v="2024-04-04"/>
    <d v="1899-12-30T12:23:02"/>
    <x v="0"/>
  </r>
  <r>
    <s v="10"/>
    <s v="card"/>
    <n v="28.9"/>
    <x v="2"/>
    <x v="0"/>
    <x v="0"/>
    <x v="1"/>
    <s v="5"/>
    <s v="4"/>
    <s v="2024-04-05"/>
    <d v="1899-12-30T10:40:43"/>
    <x v="0"/>
  </r>
  <r>
    <s v="10"/>
    <s v="card"/>
    <n v="28.9"/>
    <x v="2"/>
    <x v="0"/>
    <x v="0"/>
    <x v="1"/>
    <s v="5"/>
    <s v="4"/>
    <s v="2024-04-05"/>
    <d v="1899-12-30T10:42:06"/>
    <x v="0"/>
  </r>
  <r>
    <s v="11"/>
    <s v="card"/>
    <n v="28.9"/>
    <x v="5"/>
    <x v="0"/>
    <x v="0"/>
    <x v="1"/>
    <s v="5"/>
    <s v="4"/>
    <s v="2024-04-05"/>
    <d v="1899-12-30T11:06:15"/>
    <x v="0"/>
  </r>
  <r>
    <s v="12"/>
    <s v="card"/>
    <n v="33.799999999999997"/>
    <x v="3"/>
    <x v="1"/>
    <x v="0"/>
    <x v="1"/>
    <s v="5"/>
    <s v="4"/>
    <s v="2024-04-05"/>
    <d v="1899-12-30T12:14:28"/>
    <x v="0"/>
  </r>
  <r>
    <s v="14"/>
    <s v="card"/>
    <n v="38.700000000000003"/>
    <x v="0"/>
    <x v="1"/>
    <x v="0"/>
    <x v="1"/>
    <s v="5"/>
    <s v="4"/>
    <s v="2024-04-05"/>
    <d v="1899-12-30T14:23:40"/>
    <x v="0"/>
  </r>
  <r>
    <s v="14"/>
    <s v="card"/>
    <n v="28.9"/>
    <x v="5"/>
    <x v="1"/>
    <x v="0"/>
    <x v="1"/>
    <s v="5"/>
    <s v="4"/>
    <s v="2024-04-05"/>
    <d v="1899-12-30T14:24:50"/>
    <x v="0"/>
  </r>
  <r>
    <s v="16"/>
    <s v="card"/>
    <n v="24"/>
    <x v="6"/>
    <x v="1"/>
    <x v="0"/>
    <x v="1"/>
    <s v="5"/>
    <s v="4"/>
    <s v="2024-04-05"/>
    <d v="1899-12-30T16:18:24"/>
    <x v="0"/>
  </r>
  <r>
    <s v="12"/>
    <s v="card"/>
    <n v="33.799999999999997"/>
    <x v="3"/>
    <x v="1"/>
    <x v="1"/>
    <x v="1"/>
    <s v="6"/>
    <s v="4"/>
    <s v="2024-04-06"/>
    <d v="1899-12-30T12:32:31"/>
    <x v="0"/>
  </r>
  <r>
    <s v="14"/>
    <s v="card"/>
    <n v="38.700000000000003"/>
    <x v="7"/>
    <x v="1"/>
    <x v="1"/>
    <x v="1"/>
    <s v="6"/>
    <s v="4"/>
    <s v="2024-04-06"/>
    <d v="1899-12-30T14:13:19"/>
    <x v="0"/>
  </r>
  <r>
    <s v="14"/>
    <s v="card"/>
    <n v="28.9"/>
    <x v="2"/>
    <x v="1"/>
    <x v="1"/>
    <x v="1"/>
    <s v="6"/>
    <s v="4"/>
    <s v="2024-04-06"/>
    <d v="1899-12-30T14:14:27"/>
    <x v="0"/>
  </r>
  <r>
    <s v="14"/>
    <s v="card"/>
    <n v="38.700000000000003"/>
    <x v="0"/>
    <x v="1"/>
    <x v="1"/>
    <x v="1"/>
    <s v="6"/>
    <s v="4"/>
    <s v="2024-04-06"/>
    <d v="1899-12-30T14:49:50"/>
    <x v="0"/>
  </r>
  <r>
    <s v="10"/>
    <s v="card"/>
    <n v="38.700000000000003"/>
    <x v="0"/>
    <x v="0"/>
    <x v="2"/>
    <x v="1"/>
    <s v="7"/>
    <s v="4"/>
    <s v="2024-04-07"/>
    <d v="1899-12-30T10:12:53"/>
    <x v="0"/>
  </r>
  <r>
    <s v="12"/>
    <s v="card"/>
    <n v="38.700000000000003"/>
    <x v="7"/>
    <x v="1"/>
    <x v="2"/>
    <x v="1"/>
    <s v="7"/>
    <s v="4"/>
    <s v="2024-04-07"/>
    <d v="1899-12-30T12:44:32"/>
    <x v="0"/>
  </r>
  <r>
    <s v="12"/>
    <s v="card"/>
    <n v="38.700000000000003"/>
    <x v="7"/>
    <x v="1"/>
    <x v="2"/>
    <x v="1"/>
    <s v="7"/>
    <s v="4"/>
    <s v="2024-04-07"/>
    <d v="1899-12-30T12:46:05"/>
    <x v="0"/>
  </r>
  <r>
    <s v="14"/>
    <s v="card"/>
    <n v="28.9"/>
    <x v="5"/>
    <x v="1"/>
    <x v="2"/>
    <x v="1"/>
    <s v="7"/>
    <s v="4"/>
    <s v="2024-04-07"/>
    <d v="1899-12-30T14:16:25"/>
    <x v="0"/>
  </r>
  <r>
    <s v="14"/>
    <s v="card"/>
    <n v="24"/>
    <x v="6"/>
    <x v="1"/>
    <x v="2"/>
    <x v="1"/>
    <s v="7"/>
    <s v="4"/>
    <s v="2024-04-07"/>
    <d v="1899-12-30T14:17:31"/>
    <x v="0"/>
  </r>
  <r>
    <s v="18"/>
    <s v="card"/>
    <n v="38.700000000000003"/>
    <x v="1"/>
    <x v="2"/>
    <x v="2"/>
    <x v="1"/>
    <s v="7"/>
    <s v="4"/>
    <s v="2024-04-07"/>
    <d v="1899-12-30T18:01:17"/>
    <x v="0"/>
  </r>
  <r>
    <s v="18"/>
    <s v="card"/>
    <n v="33.799999999999997"/>
    <x v="3"/>
    <x v="2"/>
    <x v="2"/>
    <x v="1"/>
    <s v="7"/>
    <s v="4"/>
    <s v="2024-04-07"/>
    <d v="1899-12-30T18:02:04"/>
    <x v="0"/>
  </r>
  <r>
    <s v="10"/>
    <s v="card"/>
    <n v="33.799999999999997"/>
    <x v="3"/>
    <x v="0"/>
    <x v="3"/>
    <x v="1"/>
    <s v="1"/>
    <s v="4"/>
    <s v="2024-04-08"/>
    <d v="1899-12-30T10:58:21"/>
    <x v="0"/>
  </r>
  <r>
    <s v="10"/>
    <s v="card"/>
    <n v="38.700000000000003"/>
    <x v="7"/>
    <x v="0"/>
    <x v="3"/>
    <x v="1"/>
    <s v="1"/>
    <s v="4"/>
    <s v="2024-04-08"/>
    <d v="1899-12-30T10:59:28"/>
    <x v="0"/>
  </r>
  <r>
    <s v="11"/>
    <s v="card"/>
    <n v="28.9"/>
    <x v="2"/>
    <x v="0"/>
    <x v="3"/>
    <x v="1"/>
    <s v="1"/>
    <s v="4"/>
    <s v="2024-04-08"/>
    <d v="1899-12-30T11:01:20"/>
    <x v="0"/>
  </r>
  <r>
    <s v="11"/>
    <s v="card"/>
    <n v="38.700000000000003"/>
    <x v="7"/>
    <x v="0"/>
    <x v="3"/>
    <x v="1"/>
    <s v="1"/>
    <s v="4"/>
    <s v="2024-04-08"/>
    <d v="1899-12-30T11:04:47"/>
    <x v="0"/>
  </r>
  <r>
    <s v="16"/>
    <s v="card"/>
    <n v="38.700000000000003"/>
    <x v="0"/>
    <x v="1"/>
    <x v="3"/>
    <x v="1"/>
    <s v="1"/>
    <s v="4"/>
    <s v="2024-04-08"/>
    <d v="1899-12-30T16:41:38"/>
    <x v="0"/>
  </r>
  <r>
    <s v="18"/>
    <s v="card"/>
    <n v="28.9"/>
    <x v="2"/>
    <x v="2"/>
    <x v="3"/>
    <x v="1"/>
    <s v="1"/>
    <s v="4"/>
    <s v="2024-04-08"/>
    <d v="1899-12-30T18:18:10"/>
    <x v="0"/>
  </r>
  <r>
    <s v="19"/>
    <s v="card"/>
    <n v="33.799999999999997"/>
    <x v="3"/>
    <x v="2"/>
    <x v="3"/>
    <x v="1"/>
    <s v="1"/>
    <s v="4"/>
    <s v="2024-04-08"/>
    <d v="1899-12-30T19:22:27"/>
    <x v="0"/>
  </r>
  <r>
    <s v="19"/>
    <s v="card"/>
    <n v="38.700000000000003"/>
    <x v="7"/>
    <x v="2"/>
    <x v="3"/>
    <x v="1"/>
    <s v="1"/>
    <s v="4"/>
    <s v="2024-04-08"/>
    <d v="1899-12-30T19:23:59"/>
    <x v="0"/>
  </r>
  <r>
    <s v="11"/>
    <s v="card"/>
    <n v="38.700000000000003"/>
    <x v="0"/>
    <x v="0"/>
    <x v="4"/>
    <x v="1"/>
    <s v="2"/>
    <s v="4"/>
    <s v="2024-04-09"/>
    <d v="1899-12-30T11:42:28"/>
    <x v="0"/>
  </r>
  <r>
    <s v="15"/>
    <s v="card"/>
    <n v="38.700000000000003"/>
    <x v="1"/>
    <x v="1"/>
    <x v="4"/>
    <x v="1"/>
    <s v="2"/>
    <s v="4"/>
    <s v="2024-04-09"/>
    <d v="1899-12-30T15:11:49"/>
    <x v="0"/>
  </r>
  <r>
    <s v="17"/>
    <s v="card"/>
    <n v="38.700000000000003"/>
    <x v="1"/>
    <x v="2"/>
    <x v="4"/>
    <x v="1"/>
    <s v="2"/>
    <s v="4"/>
    <s v="2024-04-09"/>
    <d v="1899-12-30T17:25:24"/>
    <x v="0"/>
  </r>
  <r>
    <s v="17"/>
    <s v="card"/>
    <n v="24"/>
    <x v="6"/>
    <x v="2"/>
    <x v="5"/>
    <x v="1"/>
    <s v="3"/>
    <s v="4"/>
    <s v="2024-04-10"/>
    <d v="1899-12-30T17:55:31"/>
    <x v="0"/>
  </r>
  <r>
    <s v="18"/>
    <s v="card"/>
    <n v="38.700000000000003"/>
    <x v="7"/>
    <x v="2"/>
    <x v="5"/>
    <x v="1"/>
    <s v="3"/>
    <s v="4"/>
    <s v="2024-04-10"/>
    <d v="1899-12-30T18:24:59"/>
    <x v="0"/>
  </r>
  <r>
    <s v="20"/>
    <s v="card"/>
    <n v="38.700000000000003"/>
    <x v="0"/>
    <x v="2"/>
    <x v="5"/>
    <x v="1"/>
    <s v="3"/>
    <s v="4"/>
    <s v="2024-04-10"/>
    <d v="1899-12-30T20:04:05"/>
    <x v="0"/>
  </r>
  <r>
    <s v="10"/>
    <s v="card"/>
    <n v="28.9"/>
    <x v="2"/>
    <x v="0"/>
    <x v="6"/>
    <x v="1"/>
    <s v="4"/>
    <s v="4"/>
    <s v="2024-04-11"/>
    <d v="1899-12-30T10:41:23"/>
    <x v="0"/>
  </r>
  <r>
    <s v="10"/>
    <s v="card"/>
    <n v="28.9"/>
    <x v="2"/>
    <x v="0"/>
    <x v="6"/>
    <x v="1"/>
    <s v="4"/>
    <s v="4"/>
    <s v="2024-04-11"/>
    <d v="1899-12-30T10:42:59"/>
    <x v="0"/>
  </r>
  <r>
    <s v="16"/>
    <s v="card"/>
    <n v="38.700000000000003"/>
    <x v="0"/>
    <x v="1"/>
    <x v="6"/>
    <x v="1"/>
    <s v="4"/>
    <s v="4"/>
    <s v="2024-04-11"/>
    <d v="1899-12-30T16:35:23"/>
    <x v="0"/>
  </r>
  <r>
    <s v="19"/>
    <s v="card"/>
    <n v="38.700000000000003"/>
    <x v="7"/>
    <x v="2"/>
    <x v="6"/>
    <x v="1"/>
    <s v="4"/>
    <s v="4"/>
    <s v="2024-04-11"/>
    <d v="1899-12-30T19:16:57"/>
    <x v="0"/>
  </r>
  <r>
    <s v="19"/>
    <s v="card"/>
    <n v="33.799999999999997"/>
    <x v="3"/>
    <x v="2"/>
    <x v="6"/>
    <x v="1"/>
    <s v="4"/>
    <s v="4"/>
    <s v="2024-04-11"/>
    <d v="1899-12-30T19:18:37"/>
    <x v="0"/>
  </r>
  <r>
    <s v="19"/>
    <s v="card"/>
    <n v="38.700000000000003"/>
    <x v="1"/>
    <x v="2"/>
    <x v="0"/>
    <x v="1"/>
    <s v="5"/>
    <s v="4"/>
    <s v="2024-04-12"/>
    <d v="1899-12-30T19:03:43"/>
    <x v="0"/>
  </r>
  <r>
    <s v="19"/>
    <s v="card"/>
    <n v="28.9"/>
    <x v="5"/>
    <x v="2"/>
    <x v="0"/>
    <x v="1"/>
    <s v="5"/>
    <s v="4"/>
    <s v="2024-04-12"/>
    <d v="1899-12-30T19:38:23"/>
    <x v="0"/>
  </r>
  <r>
    <s v="12"/>
    <s v="card"/>
    <n v="38.700000000000003"/>
    <x v="0"/>
    <x v="1"/>
    <x v="1"/>
    <x v="1"/>
    <s v="6"/>
    <s v="4"/>
    <s v="2024-04-13"/>
    <d v="1899-12-30T12:29:20"/>
    <x v="0"/>
  </r>
  <r>
    <s v="12"/>
    <s v="card"/>
    <n v="28.9"/>
    <x v="2"/>
    <x v="1"/>
    <x v="1"/>
    <x v="1"/>
    <s v="6"/>
    <s v="4"/>
    <s v="2024-04-13"/>
    <d v="1899-12-30T12:43:02"/>
    <x v="0"/>
  </r>
  <r>
    <s v="16"/>
    <s v="card"/>
    <n v="38.700000000000003"/>
    <x v="7"/>
    <x v="1"/>
    <x v="1"/>
    <x v="1"/>
    <s v="6"/>
    <s v="4"/>
    <s v="2024-04-13"/>
    <d v="1899-12-30T16:18:04"/>
    <x v="0"/>
  </r>
  <r>
    <s v="16"/>
    <s v="card"/>
    <n v="38.700000000000003"/>
    <x v="0"/>
    <x v="1"/>
    <x v="1"/>
    <x v="1"/>
    <s v="6"/>
    <s v="4"/>
    <s v="2024-04-13"/>
    <d v="1899-12-30T16:19:40"/>
    <x v="0"/>
  </r>
  <r>
    <s v="17"/>
    <s v="card"/>
    <n v="38.700000000000003"/>
    <x v="7"/>
    <x v="2"/>
    <x v="1"/>
    <x v="1"/>
    <s v="6"/>
    <s v="4"/>
    <s v="2024-04-13"/>
    <d v="1899-12-30T17:51:26"/>
    <x v="0"/>
  </r>
  <r>
    <s v="17"/>
    <s v="card"/>
    <n v="38.700000000000003"/>
    <x v="7"/>
    <x v="2"/>
    <x v="1"/>
    <x v="1"/>
    <s v="6"/>
    <s v="4"/>
    <s v="2024-04-13"/>
    <d v="1899-12-30T17:53:19"/>
    <x v="0"/>
  </r>
  <r>
    <s v="12"/>
    <s v="card"/>
    <n v="38.700000000000003"/>
    <x v="7"/>
    <x v="1"/>
    <x v="2"/>
    <x v="1"/>
    <s v="7"/>
    <s v="4"/>
    <s v="2024-04-14"/>
    <d v="1899-12-30T12:24:39"/>
    <x v="0"/>
  </r>
  <r>
    <s v="13"/>
    <s v="card"/>
    <n v="28.9"/>
    <x v="5"/>
    <x v="1"/>
    <x v="2"/>
    <x v="1"/>
    <s v="7"/>
    <s v="4"/>
    <s v="2024-04-14"/>
    <d v="1899-12-30T13:21:50"/>
    <x v="0"/>
  </r>
  <r>
    <s v="14"/>
    <s v="card"/>
    <n v="28.9"/>
    <x v="2"/>
    <x v="1"/>
    <x v="2"/>
    <x v="1"/>
    <s v="7"/>
    <s v="4"/>
    <s v="2024-04-14"/>
    <d v="1899-12-30T14:23:32"/>
    <x v="0"/>
  </r>
  <r>
    <s v="14"/>
    <s v="card"/>
    <n v="28.9"/>
    <x v="2"/>
    <x v="1"/>
    <x v="2"/>
    <x v="1"/>
    <s v="7"/>
    <s v="4"/>
    <s v="2024-04-14"/>
    <d v="1899-12-30T14:24:27"/>
    <x v="0"/>
  </r>
  <r>
    <s v="14"/>
    <s v="card"/>
    <n v="28.9"/>
    <x v="2"/>
    <x v="1"/>
    <x v="2"/>
    <x v="1"/>
    <s v="7"/>
    <s v="4"/>
    <s v="2024-04-14"/>
    <d v="1899-12-30T14:25:18"/>
    <x v="0"/>
  </r>
  <r>
    <s v="15"/>
    <s v="card"/>
    <n v="38.700000000000003"/>
    <x v="7"/>
    <x v="1"/>
    <x v="2"/>
    <x v="1"/>
    <s v="7"/>
    <s v="4"/>
    <s v="2024-04-14"/>
    <d v="1899-12-30T15:46:28"/>
    <x v="0"/>
  </r>
  <r>
    <s v="16"/>
    <s v="card"/>
    <n v="28.9"/>
    <x v="5"/>
    <x v="1"/>
    <x v="2"/>
    <x v="1"/>
    <s v="7"/>
    <s v="4"/>
    <s v="2024-04-14"/>
    <d v="1899-12-30T16:59:55"/>
    <x v="0"/>
  </r>
  <r>
    <s v="17"/>
    <s v="card"/>
    <n v="38.700000000000003"/>
    <x v="0"/>
    <x v="2"/>
    <x v="2"/>
    <x v="1"/>
    <s v="7"/>
    <s v="4"/>
    <s v="2024-04-14"/>
    <d v="1899-12-30T17:00:45"/>
    <x v="0"/>
  </r>
  <r>
    <s v="18"/>
    <s v="card"/>
    <n v="38.700000000000003"/>
    <x v="7"/>
    <x v="2"/>
    <x v="2"/>
    <x v="1"/>
    <s v="7"/>
    <s v="4"/>
    <s v="2024-04-14"/>
    <d v="1899-12-30T18:38:20"/>
    <x v="0"/>
  </r>
  <r>
    <s v="11"/>
    <s v="card"/>
    <n v="28.9"/>
    <x v="2"/>
    <x v="0"/>
    <x v="3"/>
    <x v="1"/>
    <s v="1"/>
    <s v="4"/>
    <s v="2024-04-15"/>
    <d v="1899-12-30T11:45:25"/>
    <x v="0"/>
  </r>
  <r>
    <s v="17"/>
    <s v="card"/>
    <n v="28.9"/>
    <x v="2"/>
    <x v="2"/>
    <x v="3"/>
    <x v="1"/>
    <s v="1"/>
    <s v="4"/>
    <s v="2024-04-15"/>
    <d v="1899-12-30T17:01:46"/>
    <x v="0"/>
  </r>
  <r>
    <s v="17"/>
    <s v="card"/>
    <n v="33.799999999999997"/>
    <x v="3"/>
    <x v="2"/>
    <x v="3"/>
    <x v="1"/>
    <s v="1"/>
    <s v="4"/>
    <s v="2024-04-15"/>
    <d v="1899-12-30T17:02:50"/>
    <x v="0"/>
  </r>
  <r>
    <s v="19"/>
    <s v="card"/>
    <n v="33.799999999999997"/>
    <x v="3"/>
    <x v="2"/>
    <x v="3"/>
    <x v="1"/>
    <s v="1"/>
    <s v="4"/>
    <s v="2024-04-15"/>
    <d v="1899-12-30T19:33:03"/>
    <x v="0"/>
  </r>
  <r>
    <s v="10"/>
    <s v="card"/>
    <n v="33.799999999999997"/>
    <x v="3"/>
    <x v="0"/>
    <x v="4"/>
    <x v="1"/>
    <s v="2"/>
    <s v="4"/>
    <s v="2024-04-16"/>
    <d v="1899-12-30T10:46:26"/>
    <x v="0"/>
  </r>
  <r>
    <s v="12"/>
    <s v="card"/>
    <n v="38.700000000000003"/>
    <x v="4"/>
    <x v="1"/>
    <x v="4"/>
    <x v="1"/>
    <s v="2"/>
    <s v="4"/>
    <s v="2024-04-16"/>
    <d v="1899-12-30T12:40:48"/>
    <x v="0"/>
  </r>
  <r>
    <s v="12"/>
    <s v="card"/>
    <n v="28.9"/>
    <x v="5"/>
    <x v="1"/>
    <x v="4"/>
    <x v="1"/>
    <s v="2"/>
    <s v="4"/>
    <s v="2024-04-16"/>
    <d v="1899-12-30T12:52:08"/>
    <x v="0"/>
  </r>
  <r>
    <s v="15"/>
    <s v="card"/>
    <n v="28.9"/>
    <x v="2"/>
    <x v="1"/>
    <x v="4"/>
    <x v="1"/>
    <s v="2"/>
    <s v="4"/>
    <s v="2024-04-16"/>
    <d v="1899-12-30T15:03:17"/>
    <x v="0"/>
  </r>
  <r>
    <s v="17"/>
    <s v="card"/>
    <n v="33.799999999999997"/>
    <x v="3"/>
    <x v="2"/>
    <x v="4"/>
    <x v="1"/>
    <s v="2"/>
    <s v="4"/>
    <s v="2024-04-16"/>
    <d v="1899-12-30T17:42:04"/>
    <x v="0"/>
  </r>
  <r>
    <s v="17"/>
    <s v="card"/>
    <n v="38.700000000000003"/>
    <x v="7"/>
    <x v="2"/>
    <x v="4"/>
    <x v="1"/>
    <s v="2"/>
    <s v="4"/>
    <s v="2024-04-16"/>
    <d v="1899-12-30T17:43:23"/>
    <x v="0"/>
  </r>
  <r>
    <s v="18"/>
    <s v="card"/>
    <n v="38.700000000000003"/>
    <x v="4"/>
    <x v="2"/>
    <x v="4"/>
    <x v="1"/>
    <s v="2"/>
    <s v="4"/>
    <s v="2024-04-16"/>
    <d v="1899-12-30T18:09:05"/>
    <x v="0"/>
  </r>
  <r>
    <s v="13"/>
    <s v="card"/>
    <n v="28.9"/>
    <x v="2"/>
    <x v="1"/>
    <x v="5"/>
    <x v="1"/>
    <s v="3"/>
    <s v="4"/>
    <s v="2024-04-17"/>
    <d v="1899-12-30T13:33:00"/>
    <x v="0"/>
  </r>
  <r>
    <s v="13"/>
    <s v="card"/>
    <n v="24"/>
    <x v="6"/>
    <x v="1"/>
    <x v="5"/>
    <x v="1"/>
    <s v="3"/>
    <s v="4"/>
    <s v="2024-04-17"/>
    <d v="1899-12-30T13:44:00"/>
    <x v="0"/>
  </r>
  <r>
    <s v="17"/>
    <s v="card"/>
    <n v="38.700000000000003"/>
    <x v="7"/>
    <x v="2"/>
    <x v="5"/>
    <x v="1"/>
    <s v="3"/>
    <s v="4"/>
    <s v="2024-04-17"/>
    <d v="1899-12-30T17:01:35"/>
    <x v="0"/>
  </r>
  <r>
    <s v="17"/>
    <s v="card"/>
    <n v="38.700000000000003"/>
    <x v="7"/>
    <x v="2"/>
    <x v="5"/>
    <x v="1"/>
    <s v="3"/>
    <s v="4"/>
    <s v="2024-04-17"/>
    <d v="1899-12-30T17:02:41"/>
    <x v="0"/>
  </r>
  <r>
    <s v="18"/>
    <s v="card"/>
    <n v="28.9"/>
    <x v="5"/>
    <x v="2"/>
    <x v="5"/>
    <x v="1"/>
    <s v="3"/>
    <s v="4"/>
    <s v="2024-04-17"/>
    <d v="1899-12-30T18:14:03"/>
    <x v="0"/>
  </r>
  <r>
    <s v="11"/>
    <s v="card"/>
    <n v="28.9"/>
    <x v="2"/>
    <x v="0"/>
    <x v="6"/>
    <x v="1"/>
    <s v="4"/>
    <s v="4"/>
    <s v="2024-04-18"/>
    <d v="1899-12-30T11:19:02"/>
    <x v="0"/>
  </r>
  <r>
    <s v="11"/>
    <s v="card"/>
    <n v="28.9"/>
    <x v="2"/>
    <x v="0"/>
    <x v="6"/>
    <x v="1"/>
    <s v="4"/>
    <s v="4"/>
    <s v="2024-04-18"/>
    <d v="1899-12-30T11:20:06"/>
    <x v="0"/>
  </r>
  <r>
    <s v="13"/>
    <s v="card"/>
    <n v="33.799999999999997"/>
    <x v="3"/>
    <x v="1"/>
    <x v="6"/>
    <x v="1"/>
    <s v="4"/>
    <s v="4"/>
    <s v="2024-04-18"/>
    <d v="1899-12-30T13:49:13"/>
    <x v="0"/>
  </r>
  <r>
    <s v="13"/>
    <s v="card"/>
    <n v="28.9"/>
    <x v="5"/>
    <x v="1"/>
    <x v="6"/>
    <x v="1"/>
    <s v="4"/>
    <s v="4"/>
    <s v="2024-04-18"/>
    <d v="1899-12-30T13:50:17"/>
    <x v="0"/>
  </r>
  <r>
    <s v="14"/>
    <s v="card"/>
    <n v="38.700000000000003"/>
    <x v="7"/>
    <x v="1"/>
    <x v="6"/>
    <x v="1"/>
    <s v="4"/>
    <s v="4"/>
    <s v="2024-04-18"/>
    <d v="1899-12-30T14:34:20"/>
    <x v="0"/>
  </r>
  <r>
    <s v="14"/>
    <s v="card"/>
    <n v="38.700000000000003"/>
    <x v="0"/>
    <x v="1"/>
    <x v="6"/>
    <x v="1"/>
    <s v="4"/>
    <s v="4"/>
    <s v="2024-04-18"/>
    <d v="1899-12-30T14:35:49"/>
    <x v="0"/>
  </r>
  <r>
    <s v="17"/>
    <s v="card"/>
    <n v="38.700000000000003"/>
    <x v="0"/>
    <x v="2"/>
    <x v="6"/>
    <x v="1"/>
    <s v="4"/>
    <s v="4"/>
    <s v="2024-04-18"/>
    <d v="1899-12-30T17:44:16"/>
    <x v="0"/>
  </r>
  <r>
    <s v="18"/>
    <s v="card"/>
    <n v="38.700000000000003"/>
    <x v="7"/>
    <x v="2"/>
    <x v="6"/>
    <x v="1"/>
    <s v="4"/>
    <s v="4"/>
    <s v="2024-04-18"/>
    <d v="1899-12-30T18:21:06"/>
    <x v="0"/>
  </r>
  <r>
    <s v="19"/>
    <s v="card"/>
    <n v="38.700000000000003"/>
    <x v="1"/>
    <x v="2"/>
    <x v="6"/>
    <x v="1"/>
    <s v="4"/>
    <s v="4"/>
    <s v="2024-04-18"/>
    <d v="1899-12-30T19:39:51"/>
    <x v="0"/>
  </r>
  <r>
    <s v="19"/>
    <s v="card"/>
    <n v="38.700000000000003"/>
    <x v="1"/>
    <x v="2"/>
    <x v="6"/>
    <x v="1"/>
    <s v="4"/>
    <s v="4"/>
    <s v="2024-04-18"/>
    <d v="1899-12-30T19:40:49"/>
    <x v="0"/>
  </r>
  <r>
    <s v="10"/>
    <s v="card"/>
    <n v="38.700000000000003"/>
    <x v="0"/>
    <x v="0"/>
    <x v="0"/>
    <x v="1"/>
    <s v="5"/>
    <s v="4"/>
    <s v="2024-04-19"/>
    <d v="1899-12-30T10:10:36"/>
    <x v="0"/>
  </r>
  <r>
    <s v="13"/>
    <s v="card"/>
    <n v="33.799999999999997"/>
    <x v="3"/>
    <x v="1"/>
    <x v="0"/>
    <x v="1"/>
    <s v="5"/>
    <s v="4"/>
    <s v="2024-04-19"/>
    <d v="1899-12-30T13:11:48"/>
    <x v="0"/>
  </r>
  <r>
    <s v="13"/>
    <s v="card"/>
    <n v="38.700000000000003"/>
    <x v="7"/>
    <x v="1"/>
    <x v="0"/>
    <x v="1"/>
    <s v="5"/>
    <s v="4"/>
    <s v="2024-04-19"/>
    <d v="1899-12-30T13:13:21"/>
    <x v="0"/>
  </r>
  <r>
    <s v="13"/>
    <s v="card"/>
    <n v="38.700000000000003"/>
    <x v="1"/>
    <x v="1"/>
    <x v="0"/>
    <x v="1"/>
    <s v="5"/>
    <s v="4"/>
    <s v="2024-04-19"/>
    <d v="1899-12-30T13:58:54"/>
    <x v="0"/>
  </r>
  <r>
    <s v="13"/>
    <s v="card"/>
    <n v="38.700000000000003"/>
    <x v="7"/>
    <x v="1"/>
    <x v="0"/>
    <x v="1"/>
    <s v="5"/>
    <s v="4"/>
    <s v="2024-04-19"/>
    <d v="1899-12-30T13:59:50"/>
    <x v="0"/>
  </r>
  <r>
    <s v="18"/>
    <s v="card"/>
    <n v="38.700000000000003"/>
    <x v="4"/>
    <x v="2"/>
    <x v="0"/>
    <x v="1"/>
    <s v="5"/>
    <s v="4"/>
    <s v="2024-04-19"/>
    <d v="1899-12-30T18:23:19"/>
    <x v="0"/>
  </r>
  <r>
    <s v="18"/>
    <s v="card"/>
    <n v="33.799999999999997"/>
    <x v="3"/>
    <x v="2"/>
    <x v="0"/>
    <x v="1"/>
    <s v="5"/>
    <s v="4"/>
    <s v="2024-04-19"/>
    <d v="1899-12-30T18:25:33"/>
    <x v="0"/>
  </r>
  <r>
    <s v="12"/>
    <s v="card"/>
    <n v="33.799999999999997"/>
    <x v="3"/>
    <x v="1"/>
    <x v="1"/>
    <x v="1"/>
    <s v="6"/>
    <s v="4"/>
    <s v="2024-04-20"/>
    <d v="1899-12-30T12:08:36"/>
    <x v="0"/>
  </r>
  <r>
    <s v="12"/>
    <s v="card"/>
    <n v="33.799999999999997"/>
    <x v="3"/>
    <x v="1"/>
    <x v="1"/>
    <x v="1"/>
    <s v="6"/>
    <s v="4"/>
    <s v="2024-04-20"/>
    <d v="1899-12-30T12:09:43"/>
    <x v="0"/>
  </r>
  <r>
    <s v="13"/>
    <s v="card"/>
    <n v="28.9"/>
    <x v="2"/>
    <x v="1"/>
    <x v="1"/>
    <x v="1"/>
    <s v="6"/>
    <s v="4"/>
    <s v="2024-04-20"/>
    <d v="1899-12-30T13:08:37"/>
    <x v="0"/>
  </r>
  <r>
    <s v="13"/>
    <s v="card"/>
    <n v="33.799999999999997"/>
    <x v="3"/>
    <x v="1"/>
    <x v="1"/>
    <x v="1"/>
    <s v="6"/>
    <s v="4"/>
    <s v="2024-04-20"/>
    <d v="1899-12-30T13:09:48"/>
    <x v="0"/>
  </r>
  <r>
    <s v="13"/>
    <s v="card"/>
    <n v="38.700000000000003"/>
    <x v="1"/>
    <x v="1"/>
    <x v="1"/>
    <x v="1"/>
    <s v="6"/>
    <s v="4"/>
    <s v="2024-04-20"/>
    <d v="1899-12-30T13:10:55"/>
    <x v="0"/>
  </r>
  <r>
    <s v="14"/>
    <s v="card"/>
    <n v="38.700000000000003"/>
    <x v="7"/>
    <x v="1"/>
    <x v="1"/>
    <x v="1"/>
    <s v="6"/>
    <s v="4"/>
    <s v="2024-04-20"/>
    <d v="1899-12-30T14:44:18"/>
    <x v="0"/>
  </r>
  <r>
    <s v="15"/>
    <s v="card"/>
    <n v="33.799999999999997"/>
    <x v="3"/>
    <x v="1"/>
    <x v="1"/>
    <x v="1"/>
    <s v="6"/>
    <s v="4"/>
    <s v="2024-04-20"/>
    <d v="1899-12-30T15:11:00"/>
    <x v="0"/>
  </r>
  <r>
    <s v="15"/>
    <s v="card"/>
    <n v="32.82"/>
    <x v="3"/>
    <x v="1"/>
    <x v="1"/>
    <x v="1"/>
    <s v="6"/>
    <s v="4"/>
    <s v="2024-04-20"/>
    <d v="1899-12-30T15:22:41"/>
    <x v="0"/>
  </r>
  <r>
    <s v="15"/>
    <s v="card"/>
    <n v="32.82"/>
    <x v="3"/>
    <x v="1"/>
    <x v="1"/>
    <x v="1"/>
    <s v="6"/>
    <s v="4"/>
    <s v="2024-04-20"/>
    <d v="1899-12-30T15:49:25"/>
    <x v="0"/>
  </r>
  <r>
    <s v="18"/>
    <s v="card"/>
    <n v="37.72"/>
    <x v="7"/>
    <x v="2"/>
    <x v="1"/>
    <x v="1"/>
    <s v="6"/>
    <s v="4"/>
    <s v="2024-04-20"/>
    <d v="1899-12-30T18:27:41"/>
    <x v="0"/>
  </r>
  <r>
    <s v="18"/>
    <s v="card"/>
    <n v="37.72"/>
    <x v="7"/>
    <x v="2"/>
    <x v="1"/>
    <x v="1"/>
    <s v="6"/>
    <s v="4"/>
    <s v="2024-04-20"/>
    <d v="1899-12-30T18:28:47"/>
    <x v="0"/>
  </r>
  <r>
    <s v="19"/>
    <s v="card"/>
    <n v="37.72"/>
    <x v="0"/>
    <x v="2"/>
    <x v="1"/>
    <x v="1"/>
    <s v="6"/>
    <s v="4"/>
    <s v="2024-04-20"/>
    <d v="1899-12-30T19:30:55"/>
    <x v="0"/>
  </r>
  <r>
    <s v="11"/>
    <s v="card"/>
    <n v="37.72"/>
    <x v="0"/>
    <x v="0"/>
    <x v="2"/>
    <x v="1"/>
    <s v="7"/>
    <s v="4"/>
    <s v="2024-04-21"/>
    <d v="1899-12-30T11:16:46"/>
    <x v="0"/>
  </r>
  <r>
    <s v="14"/>
    <s v="card"/>
    <n v="27.92"/>
    <x v="2"/>
    <x v="1"/>
    <x v="2"/>
    <x v="1"/>
    <s v="7"/>
    <s v="4"/>
    <s v="2024-04-21"/>
    <d v="1899-12-30T14:15:38"/>
    <x v="0"/>
  </r>
  <r>
    <s v="11"/>
    <s v="card"/>
    <n v="27.92"/>
    <x v="2"/>
    <x v="0"/>
    <x v="3"/>
    <x v="1"/>
    <s v="1"/>
    <s v="4"/>
    <s v="2024-04-22"/>
    <d v="1899-12-30T11:09:16"/>
    <x v="0"/>
  </r>
  <r>
    <s v="11"/>
    <s v="card"/>
    <n v="32.82"/>
    <x v="3"/>
    <x v="0"/>
    <x v="3"/>
    <x v="1"/>
    <s v="1"/>
    <s v="4"/>
    <s v="2024-04-22"/>
    <d v="1899-12-30T11:29:27"/>
    <x v="0"/>
  </r>
  <r>
    <s v="19"/>
    <s v="card"/>
    <n v="37.72"/>
    <x v="0"/>
    <x v="2"/>
    <x v="3"/>
    <x v="1"/>
    <s v="1"/>
    <s v="4"/>
    <s v="2024-04-22"/>
    <d v="1899-12-30T19:39:05"/>
    <x v="0"/>
  </r>
  <r>
    <s v="14"/>
    <s v="card"/>
    <n v="37.72"/>
    <x v="7"/>
    <x v="1"/>
    <x v="4"/>
    <x v="1"/>
    <s v="2"/>
    <s v="4"/>
    <s v="2024-04-23"/>
    <d v="1899-12-30T14:22:36"/>
    <x v="0"/>
  </r>
  <r>
    <s v="14"/>
    <s v="card"/>
    <n v="32.82"/>
    <x v="3"/>
    <x v="1"/>
    <x v="4"/>
    <x v="1"/>
    <s v="2"/>
    <s v="4"/>
    <s v="2024-04-23"/>
    <d v="1899-12-30T14:23:53"/>
    <x v="0"/>
  </r>
  <r>
    <s v="14"/>
    <s v="card"/>
    <n v="37.72"/>
    <x v="7"/>
    <x v="1"/>
    <x v="4"/>
    <x v="1"/>
    <s v="2"/>
    <s v="4"/>
    <s v="2024-04-23"/>
    <d v="1899-12-30T14:24:58"/>
    <x v="0"/>
  </r>
  <r>
    <s v="19"/>
    <s v="card"/>
    <n v="32.82"/>
    <x v="3"/>
    <x v="2"/>
    <x v="4"/>
    <x v="1"/>
    <s v="2"/>
    <s v="4"/>
    <s v="2024-04-23"/>
    <d v="1899-12-30T19:42:28"/>
    <x v="0"/>
  </r>
  <r>
    <s v="19"/>
    <s v="card"/>
    <n v="32.82"/>
    <x v="3"/>
    <x v="2"/>
    <x v="4"/>
    <x v="1"/>
    <s v="2"/>
    <s v="4"/>
    <s v="2024-04-23"/>
    <d v="1899-12-30T19:43:26"/>
    <x v="0"/>
  </r>
  <r>
    <s v="10"/>
    <s v="card"/>
    <n v="37.72"/>
    <x v="0"/>
    <x v="0"/>
    <x v="5"/>
    <x v="1"/>
    <s v="3"/>
    <s v="4"/>
    <s v="2024-04-24"/>
    <d v="1899-12-30T10:19:38"/>
    <x v="0"/>
  </r>
  <r>
    <s v="10"/>
    <s v="card"/>
    <n v="32.82"/>
    <x v="3"/>
    <x v="0"/>
    <x v="5"/>
    <x v="1"/>
    <s v="3"/>
    <s v="4"/>
    <s v="2024-04-24"/>
    <d v="1899-12-30T10:21:27"/>
    <x v="0"/>
  </r>
  <r>
    <s v="11"/>
    <s v="card"/>
    <n v="32.82"/>
    <x v="3"/>
    <x v="0"/>
    <x v="5"/>
    <x v="1"/>
    <s v="3"/>
    <s v="4"/>
    <s v="2024-04-24"/>
    <d v="1899-12-30T11:23:46"/>
    <x v="0"/>
  </r>
  <r>
    <s v="11"/>
    <s v="card"/>
    <n v="32.82"/>
    <x v="3"/>
    <x v="0"/>
    <x v="5"/>
    <x v="1"/>
    <s v="3"/>
    <s v="4"/>
    <s v="2024-04-24"/>
    <d v="1899-12-30T11:33:26"/>
    <x v="0"/>
  </r>
  <r>
    <s v="12"/>
    <s v="card"/>
    <n v="32.82"/>
    <x v="3"/>
    <x v="1"/>
    <x v="5"/>
    <x v="1"/>
    <s v="3"/>
    <s v="4"/>
    <s v="2024-04-24"/>
    <d v="1899-12-30T12:39:09"/>
    <x v="0"/>
  </r>
  <r>
    <s v="16"/>
    <s v="card"/>
    <n v="32.82"/>
    <x v="3"/>
    <x v="1"/>
    <x v="5"/>
    <x v="1"/>
    <s v="3"/>
    <s v="4"/>
    <s v="2024-04-24"/>
    <d v="1899-12-30T16:39:07"/>
    <x v="0"/>
  </r>
  <r>
    <s v="19"/>
    <s v="card"/>
    <n v="32.82"/>
    <x v="3"/>
    <x v="2"/>
    <x v="5"/>
    <x v="1"/>
    <s v="3"/>
    <s v="4"/>
    <s v="2024-04-24"/>
    <d v="1899-12-30T19:39:50"/>
    <x v="0"/>
  </r>
  <r>
    <s v="19"/>
    <s v="card"/>
    <n v="37.72"/>
    <x v="7"/>
    <x v="2"/>
    <x v="5"/>
    <x v="1"/>
    <s v="3"/>
    <s v="4"/>
    <s v="2024-04-24"/>
    <d v="1899-12-30T19:40:54"/>
    <x v="0"/>
  </r>
  <r>
    <s v="10"/>
    <s v="card"/>
    <n v="27.92"/>
    <x v="2"/>
    <x v="0"/>
    <x v="6"/>
    <x v="1"/>
    <s v="4"/>
    <s v="4"/>
    <s v="2024-04-25"/>
    <d v="1899-12-30T10:46:08"/>
    <x v="0"/>
  </r>
  <r>
    <s v="15"/>
    <s v="card"/>
    <n v="37.72"/>
    <x v="0"/>
    <x v="1"/>
    <x v="6"/>
    <x v="1"/>
    <s v="4"/>
    <s v="4"/>
    <s v="2024-04-25"/>
    <d v="1899-12-30T15:18:27"/>
    <x v="0"/>
  </r>
  <r>
    <s v="17"/>
    <s v="card"/>
    <n v="27.92"/>
    <x v="2"/>
    <x v="2"/>
    <x v="6"/>
    <x v="1"/>
    <s v="4"/>
    <s v="4"/>
    <s v="2024-04-25"/>
    <d v="1899-12-30T17:09:44"/>
    <x v="0"/>
  </r>
  <r>
    <s v="17"/>
    <s v="card"/>
    <n v="27.92"/>
    <x v="2"/>
    <x v="2"/>
    <x v="6"/>
    <x v="1"/>
    <s v="4"/>
    <s v="4"/>
    <s v="2024-04-25"/>
    <d v="1899-12-30T17:10:49"/>
    <x v="0"/>
  </r>
  <r>
    <s v="10"/>
    <s v="card"/>
    <n v="37.72"/>
    <x v="0"/>
    <x v="0"/>
    <x v="0"/>
    <x v="1"/>
    <s v="5"/>
    <s v="4"/>
    <s v="2024-04-26"/>
    <d v="1899-12-30T10:12:51"/>
    <x v="0"/>
  </r>
  <r>
    <s v="12"/>
    <s v="card"/>
    <n v="37.72"/>
    <x v="0"/>
    <x v="1"/>
    <x v="0"/>
    <x v="1"/>
    <s v="5"/>
    <s v="4"/>
    <s v="2024-04-26"/>
    <d v="1899-12-30T12:01:31"/>
    <x v="0"/>
  </r>
  <r>
    <s v="13"/>
    <s v="card"/>
    <n v="37.72"/>
    <x v="7"/>
    <x v="1"/>
    <x v="0"/>
    <x v="1"/>
    <s v="5"/>
    <s v="4"/>
    <s v="2024-04-26"/>
    <d v="1899-12-30T13:31:28"/>
    <x v="0"/>
  </r>
  <r>
    <s v="15"/>
    <s v="card"/>
    <n v="27.92"/>
    <x v="2"/>
    <x v="1"/>
    <x v="0"/>
    <x v="1"/>
    <s v="5"/>
    <s v="4"/>
    <s v="2024-04-26"/>
    <d v="1899-12-30T15:32:35"/>
    <x v="0"/>
  </r>
  <r>
    <s v="15"/>
    <s v="card"/>
    <n v="27.92"/>
    <x v="2"/>
    <x v="1"/>
    <x v="0"/>
    <x v="1"/>
    <s v="5"/>
    <s v="4"/>
    <s v="2024-04-26"/>
    <d v="1899-12-30T15:33:33"/>
    <x v="0"/>
  </r>
  <r>
    <s v="16"/>
    <s v="card"/>
    <n v="27.92"/>
    <x v="5"/>
    <x v="1"/>
    <x v="0"/>
    <x v="1"/>
    <s v="5"/>
    <s v="4"/>
    <s v="2024-04-26"/>
    <d v="1899-12-30T16:23:27"/>
    <x v="0"/>
  </r>
  <r>
    <s v="16"/>
    <s v="card"/>
    <n v="27.92"/>
    <x v="2"/>
    <x v="1"/>
    <x v="0"/>
    <x v="1"/>
    <s v="5"/>
    <s v="4"/>
    <s v="2024-04-26"/>
    <d v="1899-12-30T16:24:34"/>
    <x v="0"/>
  </r>
  <r>
    <s v="19"/>
    <s v="card"/>
    <n v="37.72"/>
    <x v="1"/>
    <x v="2"/>
    <x v="0"/>
    <x v="1"/>
    <s v="5"/>
    <s v="4"/>
    <s v="2024-04-26"/>
    <d v="1899-12-30T19:32:07"/>
    <x v="0"/>
  </r>
  <r>
    <s v="19"/>
    <s v="card"/>
    <n v="37.72"/>
    <x v="4"/>
    <x v="2"/>
    <x v="0"/>
    <x v="1"/>
    <s v="5"/>
    <s v="4"/>
    <s v="2024-04-26"/>
    <d v="1899-12-30T19:33:30"/>
    <x v="0"/>
  </r>
  <r>
    <s v="15"/>
    <s v="card"/>
    <n v="37.72"/>
    <x v="7"/>
    <x v="1"/>
    <x v="1"/>
    <x v="1"/>
    <s v="6"/>
    <s v="4"/>
    <s v="2024-04-27"/>
    <d v="1899-12-30T15:27:01"/>
    <x v="0"/>
  </r>
  <r>
    <s v="10"/>
    <s v="card"/>
    <n v="37.72"/>
    <x v="0"/>
    <x v="0"/>
    <x v="2"/>
    <x v="1"/>
    <s v="7"/>
    <s v="4"/>
    <s v="2024-04-28"/>
    <d v="1899-12-30T10:32:52"/>
    <x v="0"/>
  </r>
  <r>
    <s v="12"/>
    <s v="card"/>
    <n v="37.72"/>
    <x v="7"/>
    <x v="1"/>
    <x v="2"/>
    <x v="1"/>
    <s v="7"/>
    <s v="4"/>
    <s v="2024-04-28"/>
    <d v="1899-12-30T12:30:10"/>
    <x v="0"/>
  </r>
  <r>
    <s v="18"/>
    <s v="card"/>
    <n v="27.92"/>
    <x v="2"/>
    <x v="2"/>
    <x v="2"/>
    <x v="1"/>
    <s v="7"/>
    <s v="4"/>
    <s v="2024-04-28"/>
    <d v="1899-12-30T18:27:08"/>
    <x v="0"/>
  </r>
  <r>
    <s v="18"/>
    <s v="card"/>
    <n v="27.92"/>
    <x v="2"/>
    <x v="2"/>
    <x v="2"/>
    <x v="1"/>
    <s v="7"/>
    <s v="4"/>
    <s v="2024-04-28"/>
    <d v="1899-12-30T18:28:11"/>
    <x v="0"/>
  </r>
  <r>
    <s v="18"/>
    <s v="card"/>
    <n v="37.72"/>
    <x v="0"/>
    <x v="2"/>
    <x v="2"/>
    <x v="1"/>
    <s v="7"/>
    <s v="4"/>
    <s v="2024-04-28"/>
    <d v="1899-12-30T18:29:02"/>
    <x v="0"/>
  </r>
  <r>
    <s v="11"/>
    <s v="card"/>
    <n v="27.92"/>
    <x v="5"/>
    <x v="0"/>
    <x v="3"/>
    <x v="1"/>
    <s v="1"/>
    <s v="4"/>
    <s v="2024-04-29"/>
    <d v="1899-12-30T11:26:32"/>
    <x v="0"/>
  </r>
  <r>
    <s v="13"/>
    <s v="card"/>
    <n v="27.92"/>
    <x v="2"/>
    <x v="1"/>
    <x v="3"/>
    <x v="1"/>
    <s v="1"/>
    <s v="4"/>
    <s v="2024-04-29"/>
    <d v="1899-12-30T13:27:57"/>
    <x v="0"/>
  </r>
  <r>
    <s v="13"/>
    <s v="card"/>
    <n v="27.92"/>
    <x v="5"/>
    <x v="1"/>
    <x v="3"/>
    <x v="1"/>
    <s v="1"/>
    <s v="4"/>
    <s v="2024-04-29"/>
    <d v="1899-12-30T13:28:54"/>
    <x v="0"/>
  </r>
  <r>
    <s v="13"/>
    <s v="card"/>
    <n v="27.92"/>
    <x v="5"/>
    <x v="1"/>
    <x v="3"/>
    <x v="1"/>
    <s v="1"/>
    <s v="4"/>
    <s v="2024-04-29"/>
    <d v="1899-12-30T13:53:36"/>
    <x v="0"/>
  </r>
  <r>
    <s v="13"/>
    <s v="card"/>
    <n v="32.82"/>
    <x v="3"/>
    <x v="1"/>
    <x v="3"/>
    <x v="1"/>
    <s v="1"/>
    <s v="4"/>
    <s v="2024-04-29"/>
    <d v="1899-12-30T13:54:24"/>
    <x v="0"/>
  </r>
  <r>
    <s v="18"/>
    <s v="card"/>
    <n v="37.72"/>
    <x v="7"/>
    <x v="2"/>
    <x v="3"/>
    <x v="1"/>
    <s v="1"/>
    <s v="4"/>
    <s v="2024-04-29"/>
    <d v="1899-12-30T18:37:48"/>
    <x v="0"/>
  </r>
  <r>
    <s v="19"/>
    <s v="card"/>
    <n v="37.72"/>
    <x v="7"/>
    <x v="2"/>
    <x v="3"/>
    <x v="1"/>
    <s v="1"/>
    <s v="4"/>
    <s v="2024-04-29"/>
    <d v="1899-12-30T19:12:33"/>
    <x v="0"/>
  </r>
  <r>
    <s v="19"/>
    <s v="card"/>
    <n v="37.72"/>
    <x v="7"/>
    <x v="2"/>
    <x v="3"/>
    <x v="1"/>
    <s v="1"/>
    <s v="4"/>
    <s v="2024-04-29"/>
    <d v="1899-12-30T19:13:38"/>
    <x v="0"/>
  </r>
  <r>
    <s v="10"/>
    <s v="card"/>
    <n v="37.72"/>
    <x v="0"/>
    <x v="0"/>
    <x v="4"/>
    <x v="1"/>
    <s v="2"/>
    <s v="4"/>
    <s v="2024-04-30"/>
    <d v="1899-12-30T10:16:41"/>
    <x v="0"/>
  </r>
  <r>
    <s v="10"/>
    <s v="card"/>
    <n v="32.82"/>
    <x v="3"/>
    <x v="0"/>
    <x v="4"/>
    <x v="1"/>
    <s v="2"/>
    <s v="4"/>
    <s v="2024-04-30"/>
    <d v="1899-12-30T10:34:52"/>
    <x v="0"/>
  </r>
  <r>
    <s v="10"/>
    <s v="card"/>
    <n v="32.82"/>
    <x v="3"/>
    <x v="0"/>
    <x v="4"/>
    <x v="1"/>
    <s v="2"/>
    <s v="4"/>
    <s v="2024-04-30"/>
    <d v="1899-12-30T10:35:48"/>
    <x v="0"/>
  </r>
  <r>
    <s v="13"/>
    <s v="card"/>
    <n v="27.92"/>
    <x v="2"/>
    <x v="1"/>
    <x v="4"/>
    <x v="1"/>
    <s v="2"/>
    <s v="4"/>
    <s v="2024-04-30"/>
    <d v="1899-12-30T13:41:52"/>
    <x v="0"/>
  </r>
  <r>
    <s v="13"/>
    <s v="card"/>
    <n v="32.82"/>
    <x v="3"/>
    <x v="1"/>
    <x v="4"/>
    <x v="1"/>
    <s v="2"/>
    <s v="4"/>
    <s v="2024-04-30"/>
    <d v="1899-12-30T13:43:00"/>
    <x v="0"/>
  </r>
  <r>
    <s v="19"/>
    <s v="card"/>
    <n v="37.72"/>
    <x v="7"/>
    <x v="2"/>
    <x v="4"/>
    <x v="1"/>
    <s v="2"/>
    <s v="4"/>
    <s v="2024-04-30"/>
    <d v="1899-12-30T19:19:18"/>
    <x v="0"/>
  </r>
  <r>
    <s v="19"/>
    <s v="card"/>
    <n v="32.82"/>
    <x v="3"/>
    <x v="2"/>
    <x v="4"/>
    <x v="1"/>
    <s v="2"/>
    <s v="4"/>
    <s v="2024-04-30"/>
    <d v="1899-12-30T19:30:04"/>
    <x v="0"/>
  </r>
  <r>
    <s v="19"/>
    <s v="card"/>
    <n v="37.72"/>
    <x v="0"/>
    <x v="2"/>
    <x v="4"/>
    <x v="1"/>
    <s v="2"/>
    <s v="4"/>
    <s v="2024-04-30"/>
    <d v="1899-12-30T19:31:21"/>
    <x v="0"/>
  </r>
  <r>
    <s v="10"/>
    <s v="card"/>
    <n v="27.92"/>
    <x v="2"/>
    <x v="0"/>
    <x v="6"/>
    <x v="2"/>
    <s v="4"/>
    <s v="5"/>
    <s v="2024-05-02"/>
    <d v="1899-12-30T10:33:56"/>
    <x v="0"/>
  </r>
  <r>
    <s v="13"/>
    <s v="card"/>
    <n v="32.82"/>
    <x v="3"/>
    <x v="1"/>
    <x v="6"/>
    <x v="2"/>
    <s v="4"/>
    <s v="5"/>
    <s v="2024-05-02"/>
    <d v="1899-12-30T13:49:40"/>
    <x v="0"/>
  </r>
  <r>
    <s v="18"/>
    <s v="card"/>
    <n v="37.72"/>
    <x v="7"/>
    <x v="2"/>
    <x v="6"/>
    <x v="2"/>
    <s v="4"/>
    <s v="5"/>
    <s v="2024-05-02"/>
    <d v="1899-12-30T18:36:22"/>
    <x v="0"/>
  </r>
  <r>
    <s v="18"/>
    <s v="card"/>
    <n v="32.82"/>
    <x v="3"/>
    <x v="2"/>
    <x v="6"/>
    <x v="2"/>
    <s v="4"/>
    <s v="5"/>
    <s v="2024-05-02"/>
    <d v="1899-12-30T18:41:11"/>
    <x v="0"/>
  </r>
  <r>
    <s v="19"/>
    <s v="card"/>
    <n v="37.72"/>
    <x v="0"/>
    <x v="2"/>
    <x v="6"/>
    <x v="2"/>
    <s v="4"/>
    <s v="5"/>
    <s v="2024-05-02"/>
    <d v="1899-12-30T19:18:33"/>
    <x v="0"/>
  </r>
  <r>
    <s v="19"/>
    <s v="card"/>
    <n v="37.72"/>
    <x v="7"/>
    <x v="2"/>
    <x v="6"/>
    <x v="2"/>
    <s v="4"/>
    <s v="5"/>
    <s v="2024-05-02"/>
    <d v="1899-12-30T19:19:56"/>
    <x v="0"/>
  </r>
  <r>
    <s v="14"/>
    <s v="card"/>
    <n v="37.72"/>
    <x v="0"/>
    <x v="1"/>
    <x v="0"/>
    <x v="2"/>
    <s v="5"/>
    <s v="5"/>
    <s v="2024-05-03"/>
    <d v="1899-12-30T14:30:01"/>
    <x v="0"/>
  </r>
  <r>
    <s v="17"/>
    <s v="card"/>
    <n v="37.72"/>
    <x v="0"/>
    <x v="2"/>
    <x v="0"/>
    <x v="2"/>
    <s v="5"/>
    <s v="5"/>
    <s v="2024-05-03"/>
    <d v="1899-12-30T17:03:25"/>
    <x v="0"/>
  </r>
  <r>
    <s v="10"/>
    <s v="card"/>
    <n v="27.92"/>
    <x v="2"/>
    <x v="0"/>
    <x v="3"/>
    <x v="2"/>
    <s v="1"/>
    <s v="5"/>
    <s v="2024-05-06"/>
    <d v="1899-12-30T10:05:18"/>
    <x v="0"/>
  </r>
  <r>
    <s v="10"/>
    <s v="card"/>
    <n v="37.72"/>
    <x v="7"/>
    <x v="0"/>
    <x v="3"/>
    <x v="2"/>
    <s v="1"/>
    <s v="5"/>
    <s v="2024-05-06"/>
    <d v="1899-12-30T10:06:52"/>
    <x v="0"/>
  </r>
  <r>
    <s v="10"/>
    <s v="card"/>
    <n v="32.82"/>
    <x v="3"/>
    <x v="0"/>
    <x v="3"/>
    <x v="2"/>
    <s v="1"/>
    <s v="5"/>
    <s v="2024-05-06"/>
    <d v="1899-12-30T10:08:06"/>
    <x v="0"/>
  </r>
  <r>
    <s v="10"/>
    <s v="card"/>
    <n v="27.92"/>
    <x v="2"/>
    <x v="0"/>
    <x v="3"/>
    <x v="2"/>
    <s v="1"/>
    <s v="5"/>
    <s v="2024-05-06"/>
    <d v="1899-12-30T10:09:08"/>
    <x v="0"/>
  </r>
  <r>
    <s v="10"/>
    <s v="card"/>
    <n v="27.92"/>
    <x v="5"/>
    <x v="0"/>
    <x v="3"/>
    <x v="2"/>
    <s v="1"/>
    <s v="5"/>
    <s v="2024-05-06"/>
    <d v="1899-12-30T10:39:13"/>
    <x v="0"/>
  </r>
  <r>
    <s v="13"/>
    <s v="card"/>
    <n v="27.92"/>
    <x v="5"/>
    <x v="1"/>
    <x v="3"/>
    <x v="2"/>
    <s v="1"/>
    <s v="5"/>
    <s v="2024-05-06"/>
    <d v="1899-12-30T13:18:11"/>
    <x v="0"/>
  </r>
  <r>
    <s v="13"/>
    <s v="card"/>
    <n v="27.92"/>
    <x v="2"/>
    <x v="1"/>
    <x v="3"/>
    <x v="2"/>
    <s v="1"/>
    <s v="5"/>
    <s v="2024-05-06"/>
    <d v="1899-12-30T13:19:01"/>
    <x v="0"/>
  </r>
  <r>
    <s v="19"/>
    <s v="card"/>
    <n v="37.72"/>
    <x v="7"/>
    <x v="2"/>
    <x v="3"/>
    <x v="2"/>
    <s v="1"/>
    <s v="5"/>
    <s v="2024-05-06"/>
    <d v="1899-12-30T19:18:13"/>
    <x v="0"/>
  </r>
  <r>
    <s v="19"/>
    <s v="card"/>
    <n v="37.72"/>
    <x v="7"/>
    <x v="2"/>
    <x v="3"/>
    <x v="2"/>
    <s v="1"/>
    <s v="5"/>
    <s v="2024-05-06"/>
    <d v="1899-12-30T19:19:50"/>
    <x v="0"/>
  </r>
  <r>
    <s v="10"/>
    <s v="card"/>
    <n v="37.72"/>
    <x v="4"/>
    <x v="0"/>
    <x v="4"/>
    <x v="2"/>
    <s v="2"/>
    <s v="5"/>
    <s v="2024-05-07"/>
    <d v="1899-12-30T10:44:56"/>
    <x v="0"/>
  </r>
  <r>
    <s v="11"/>
    <s v="card"/>
    <n v="27.92"/>
    <x v="5"/>
    <x v="0"/>
    <x v="4"/>
    <x v="2"/>
    <s v="2"/>
    <s v="5"/>
    <s v="2024-05-07"/>
    <d v="1899-12-30T11:21:58"/>
    <x v="0"/>
  </r>
  <r>
    <s v="13"/>
    <s v="card"/>
    <n v="27.92"/>
    <x v="5"/>
    <x v="1"/>
    <x v="4"/>
    <x v="2"/>
    <s v="2"/>
    <s v="5"/>
    <s v="2024-05-07"/>
    <d v="1899-12-30T13:23:35"/>
    <x v="0"/>
  </r>
  <r>
    <s v="16"/>
    <s v="card"/>
    <n v="37.72"/>
    <x v="4"/>
    <x v="1"/>
    <x v="4"/>
    <x v="2"/>
    <s v="2"/>
    <s v="5"/>
    <s v="2024-05-07"/>
    <d v="1899-12-30T16:42:08"/>
    <x v="0"/>
  </r>
  <r>
    <s v="16"/>
    <s v="card"/>
    <n v="27.92"/>
    <x v="2"/>
    <x v="1"/>
    <x v="4"/>
    <x v="2"/>
    <s v="2"/>
    <s v="5"/>
    <s v="2024-05-07"/>
    <d v="1899-12-30T16:55:39"/>
    <x v="0"/>
  </r>
  <r>
    <s v="17"/>
    <s v="card"/>
    <n v="37.72"/>
    <x v="7"/>
    <x v="2"/>
    <x v="4"/>
    <x v="2"/>
    <s v="2"/>
    <s v="5"/>
    <s v="2024-05-07"/>
    <d v="1899-12-30T17:37:46"/>
    <x v="0"/>
  </r>
  <r>
    <s v="17"/>
    <s v="card"/>
    <n v="37.72"/>
    <x v="0"/>
    <x v="2"/>
    <x v="4"/>
    <x v="2"/>
    <s v="2"/>
    <s v="5"/>
    <s v="2024-05-07"/>
    <d v="1899-12-30T17:38:48"/>
    <x v="0"/>
  </r>
  <r>
    <s v="19"/>
    <s v="card"/>
    <n v="37.72"/>
    <x v="7"/>
    <x v="2"/>
    <x v="4"/>
    <x v="2"/>
    <s v="2"/>
    <s v="5"/>
    <s v="2024-05-07"/>
    <d v="1899-12-30T19:12:13"/>
    <x v="0"/>
  </r>
  <r>
    <s v="19"/>
    <s v="card"/>
    <n v="37.72"/>
    <x v="7"/>
    <x v="2"/>
    <x v="4"/>
    <x v="2"/>
    <s v="2"/>
    <s v="5"/>
    <s v="2024-05-07"/>
    <d v="1899-12-30T19:13:12"/>
    <x v="0"/>
  </r>
  <r>
    <s v="10"/>
    <s v="card"/>
    <n v="37.72"/>
    <x v="0"/>
    <x v="0"/>
    <x v="5"/>
    <x v="2"/>
    <s v="3"/>
    <s v="5"/>
    <s v="2024-05-08"/>
    <d v="1899-12-30T10:07:29"/>
    <x v="0"/>
  </r>
  <r>
    <s v="12"/>
    <s v="card"/>
    <n v="37.72"/>
    <x v="7"/>
    <x v="1"/>
    <x v="6"/>
    <x v="2"/>
    <s v="4"/>
    <s v="5"/>
    <s v="2024-05-09"/>
    <d v="1899-12-30T12:54:22"/>
    <x v="0"/>
  </r>
  <r>
    <s v="13"/>
    <s v="card"/>
    <n v="27.92"/>
    <x v="2"/>
    <x v="1"/>
    <x v="6"/>
    <x v="2"/>
    <s v="4"/>
    <s v="5"/>
    <s v="2024-05-09"/>
    <d v="1899-12-30T13:03:59"/>
    <x v="0"/>
  </r>
  <r>
    <s v="13"/>
    <s v="card"/>
    <n v="37.72"/>
    <x v="0"/>
    <x v="1"/>
    <x v="6"/>
    <x v="2"/>
    <s v="4"/>
    <s v="5"/>
    <s v="2024-05-09"/>
    <d v="1899-12-30T13:04:58"/>
    <x v="0"/>
  </r>
  <r>
    <s v="13"/>
    <s v="card"/>
    <n v="37.72"/>
    <x v="0"/>
    <x v="1"/>
    <x v="6"/>
    <x v="2"/>
    <s v="4"/>
    <s v="5"/>
    <s v="2024-05-09"/>
    <d v="1899-12-30T13:06:11"/>
    <x v="0"/>
  </r>
  <r>
    <s v="13"/>
    <s v="card"/>
    <n v="37.72"/>
    <x v="0"/>
    <x v="1"/>
    <x v="6"/>
    <x v="2"/>
    <s v="4"/>
    <s v="5"/>
    <s v="2024-05-09"/>
    <d v="1899-12-30T13:07:16"/>
    <x v="0"/>
  </r>
  <r>
    <s v="16"/>
    <s v="card"/>
    <n v="27.92"/>
    <x v="2"/>
    <x v="1"/>
    <x v="6"/>
    <x v="2"/>
    <s v="4"/>
    <s v="5"/>
    <s v="2024-05-09"/>
    <d v="1899-12-30T16:55:15"/>
    <x v="0"/>
  </r>
  <r>
    <s v="16"/>
    <s v="card"/>
    <n v="27.92"/>
    <x v="2"/>
    <x v="1"/>
    <x v="6"/>
    <x v="2"/>
    <s v="4"/>
    <s v="5"/>
    <s v="2024-05-09"/>
    <d v="1899-12-30T16:56:15"/>
    <x v="0"/>
  </r>
  <r>
    <s v="18"/>
    <s v="card"/>
    <n v="27.92"/>
    <x v="2"/>
    <x v="2"/>
    <x v="6"/>
    <x v="2"/>
    <s v="4"/>
    <s v="5"/>
    <s v="2024-05-09"/>
    <d v="1899-12-30T18:01:30"/>
    <x v="0"/>
  </r>
  <r>
    <s v="18"/>
    <s v="card"/>
    <n v="32.82"/>
    <x v="3"/>
    <x v="2"/>
    <x v="6"/>
    <x v="2"/>
    <s v="4"/>
    <s v="5"/>
    <s v="2024-05-09"/>
    <d v="1899-12-30T18:13:56"/>
    <x v="0"/>
  </r>
  <r>
    <s v="15"/>
    <s v="card"/>
    <n v="37.72"/>
    <x v="0"/>
    <x v="1"/>
    <x v="0"/>
    <x v="2"/>
    <s v="5"/>
    <s v="5"/>
    <s v="2024-05-10"/>
    <d v="1899-12-30T15:46:22"/>
    <x v="0"/>
  </r>
  <r>
    <s v="15"/>
    <s v="card"/>
    <n v="37.72"/>
    <x v="0"/>
    <x v="1"/>
    <x v="0"/>
    <x v="2"/>
    <s v="5"/>
    <s v="5"/>
    <s v="2024-05-10"/>
    <d v="1899-12-30T15:47:33"/>
    <x v="0"/>
  </r>
  <r>
    <s v="11"/>
    <s v="card"/>
    <n v="37.72"/>
    <x v="0"/>
    <x v="0"/>
    <x v="1"/>
    <x v="2"/>
    <s v="6"/>
    <s v="5"/>
    <s v="2024-05-11"/>
    <d v="1899-12-30T11:39:53"/>
    <x v="0"/>
  </r>
  <r>
    <s v="17"/>
    <s v="card"/>
    <n v="32.82"/>
    <x v="3"/>
    <x v="2"/>
    <x v="1"/>
    <x v="2"/>
    <s v="6"/>
    <s v="5"/>
    <s v="2024-05-11"/>
    <d v="1899-12-30T17:20:30"/>
    <x v="0"/>
  </r>
  <r>
    <s v="17"/>
    <s v="card"/>
    <n v="37.72"/>
    <x v="4"/>
    <x v="2"/>
    <x v="1"/>
    <x v="2"/>
    <s v="6"/>
    <s v="5"/>
    <s v="2024-05-11"/>
    <d v="1899-12-30T17:21:56"/>
    <x v="0"/>
  </r>
  <r>
    <s v="17"/>
    <s v="card"/>
    <n v="37.72"/>
    <x v="7"/>
    <x v="2"/>
    <x v="1"/>
    <x v="2"/>
    <s v="6"/>
    <s v="5"/>
    <s v="2024-05-11"/>
    <d v="1899-12-30T17:23:57"/>
    <x v="0"/>
  </r>
  <r>
    <s v="17"/>
    <s v="card"/>
    <n v="32.82"/>
    <x v="3"/>
    <x v="2"/>
    <x v="1"/>
    <x v="2"/>
    <s v="6"/>
    <s v="5"/>
    <s v="2024-05-11"/>
    <d v="1899-12-30T17:28:54"/>
    <x v="0"/>
  </r>
  <r>
    <s v="18"/>
    <s v="card"/>
    <n v="37.72"/>
    <x v="7"/>
    <x v="2"/>
    <x v="1"/>
    <x v="2"/>
    <s v="6"/>
    <s v="5"/>
    <s v="2024-05-11"/>
    <d v="1899-12-30T18:35:40"/>
    <x v="0"/>
  </r>
  <r>
    <s v="19"/>
    <s v="card"/>
    <n v="37.72"/>
    <x v="0"/>
    <x v="2"/>
    <x v="1"/>
    <x v="2"/>
    <s v="6"/>
    <s v="5"/>
    <s v="2024-05-11"/>
    <d v="1899-12-30T19:38:16"/>
    <x v="0"/>
  </r>
  <r>
    <s v="10"/>
    <s v="card"/>
    <n v="37.72"/>
    <x v="0"/>
    <x v="0"/>
    <x v="2"/>
    <x v="2"/>
    <s v="7"/>
    <s v="5"/>
    <s v="2024-05-12"/>
    <d v="1899-12-30T10:20:43"/>
    <x v="0"/>
  </r>
  <r>
    <s v="13"/>
    <s v="card"/>
    <n v="37.72"/>
    <x v="0"/>
    <x v="1"/>
    <x v="2"/>
    <x v="2"/>
    <s v="7"/>
    <s v="5"/>
    <s v="2024-05-12"/>
    <d v="1899-12-30T13:24:03"/>
    <x v="0"/>
  </r>
  <r>
    <s v="13"/>
    <s v="card"/>
    <n v="27.92"/>
    <x v="2"/>
    <x v="1"/>
    <x v="2"/>
    <x v="2"/>
    <s v="7"/>
    <s v="5"/>
    <s v="2024-05-12"/>
    <d v="1899-12-30T13:27:39"/>
    <x v="0"/>
  </r>
  <r>
    <s v="15"/>
    <s v="card"/>
    <n v="37.72"/>
    <x v="0"/>
    <x v="1"/>
    <x v="2"/>
    <x v="2"/>
    <s v="7"/>
    <s v="5"/>
    <s v="2024-05-12"/>
    <d v="1899-12-30T15:16:20"/>
    <x v="0"/>
  </r>
  <r>
    <s v="15"/>
    <s v="card"/>
    <n v="32.82"/>
    <x v="3"/>
    <x v="1"/>
    <x v="2"/>
    <x v="2"/>
    <s v="7"/>
    <s v="5"/>
    <s v="2024-05-12"/>
    <d v="1899-12-30T15:38:02"/>
    <x v="0"/>
  </r>
  <r>
    <s v="15"/>
    <s v="card"/>
    <n v="32.82"/>
    <x v="3"/>
    <x v="1"/>
    <x v="2"/>
    <x v="2"/>
    <s v="7"/>
    <s v="5"/>
    <s v="2024-05-12"/>
    <d v="1899-12-30T15:52:15"/>
    <x v="0"/>
  </r>
  <r>
    <s v="16"/>
    <s v="card"/>
    <n v="32.82"/>
    <x v="3"/>
    <x v="1"/>
    <x v="2"/>
    <x v="2"/>
    <s v="7"/>
    <s v="5"/>
    <s v="2024-05-12"/>
    <d v="1899-12-30T16:04:21"/>
    <x v="0"/>
  </r>
  <r>
    <s v="19"/>
    <s v="card"/>
    <n v="32.82"/>
    <x v="3"/>
    <x v="2"/>
    <x v="2"/>
    <x v="2"/>
    <s v="7"/>
    <s v="5"/>
    <s v="2024-05-12"/>
    <d v="1899-12-30T19:41:31"/>
    <x v="0"/>
  </r>
  <r>
    <s v="11"/>
    <s v="card"/>
    <n v="32.82"/>
    <x v="3"/>
    <x v="0"/>
    <x v="3"/>
    <x v="2"/>
    <s v="1"/>
    <s v="5"/>
    <s v="2024-05-13"/>
    <d v="1899-12-30T11:03:53"/>
    <x v="0"/>
  </r>
  <r>
    <s v="8"/>
    <s v="card"/>
    <n v="27.92"/>
    <x v="2"/>
    <x v="0"/>
    <x v="4"/>
    <x v="2"/>
    <s v="2"/>
    <s v="5"/>
    <s v="2024-05-14"/>
    <d v="1899-12-30T08:38:15"/>
    <x v="0"/>
  </r>
  <r>
    <s v="8"/>
    <s v="card"/>
    <n v="27.92"/>
    <x v="2"/>
    <x v="0"/>
    <x v="4"/>
    <x v="2"/>
    <s v="2"/>
    <s v="5"/>
    <s v="2024-05-14"/>
    <d v="1899-12-30T08:39:25"/>
    <x v="0"/>
  </r>
  <r>
    <s v="8"/>
    <s v="card"/>
    <n v="27.92"/>
    <x v="2"/>
    <x v="0"/>
    <x v="4"/>
    <x v="2"/>
    <s v="2"/>
    <s v="5"/>
    <s v="2024-05-14"/>
    <d v="1899-12-30T08:40:17"/>
    <x v="0"/>
  </r>
  <r>
    <s v="10"/>
    <s v="card"/>
    <n v="37.72"/>
    <x v="7"/>
    <x v="0"/>
    <x v="4"/>
    <x v="2"/>
    <s v="2"/>
    <s v="5"/>
    <s v="2024-05-14"/>
    <d v="1899-12-30T10:19:23"/>
    <x v="0"/>
  </r>
  <r>
    <s v="11"/>
    <s v="card"/>
    <n v="37.72"/>
    <x v="0"/>
    <x v="0"/>
    <x v="4"/>
    <x v="2"/>
    <s v="2"/>
    <s v="5"/>
    <s v="2024-05-14"/>
    <d v="1899-12-30T11:32:29"/>
    <x v="0"/>
  </r>
  <r>
    <s v="11"/>
    <s v="card"/>
    <n v="37.72"/>
    <x v="7"/>
    <x v="0"/>
    <x v="4"/>
    <x v="2"/>
    <s v="2"/>
    <s v="5"/>
    <s v="2024-05-14"/>
    <d v="1899-12-30T11:34:13"/>
    <x v="0"/>
  </r>
  <r>
    <s v="14"/>
    <s v="card"/>
    <n v="37.72"/>
    <x v="7"/>
    <x v="1"/>
    <x v="4"/>
    <x v="2"/>
    <s v="2"/>
    <s v="5"/>
    <s v="2024-05-14"/>
    <d v="1899-12-30T14:04:55"/>
    <x v="0"/>
  </r>
  <r>
    <s v="14"/>
    <s v="card"/>
    <n v="32.82"/>
    <x v="3"/>
    <x v="1"/>
    <x v="4"/>
    <x v="2"/>
    <s v="2"/>
    <s v="5"/>
    <s v="2024-05-14"/>
    <d v="1899-12-30T14:06:00"/>
    <x v="0"/>
  </r>
  <r>
    <s v="15"/>
    <s v="card"/>
    <n v="27.92"/>
    <x v="2"/>
    <x v="1"/>
    <x v="4"/>
    <x v="2"/>
    <s v="2"/>
    <s v="5"/>
    <s v="2024-05-14"/>
    <d v="1899-12-30T15:01:55"/>
    <x v="0"/>
  </r>
  <r>
    <s v="16"/>
    <s v="card"/>
    <n v="32.82"/>
    <x v="3"/>
    <x v="1"/>
    <x v="4"/>
    <x v="2"/>
    <s v="2"/>
    <s v="5"/>
    <s v="2024-05-14"/>
    <d v="1899-12-30T16:57:57"/>
    <x v="0"/>
  </r>
  <r>
    <s v="16"/>
    <s v="card"/>
    <n v="37.72"/>
    <x v="7"/>
    <x v="1"/>
    <x v="4"/>
    <x v="2"/>
    <s v="2"/>
    <s v="5"/>
    <s v="2024-05-14"/>
    <d v="1899-12-30T16:59:10"/>
    <x v="0"/>
  </r>
  <r>
    <s v="22"/>
    <s v="card"/>
    <n v="37.72"/>
    <x v="1"/>
    <x v="2"/>
    <x v="4"/>
    <x v="2"/>
    <s v="2"/>
    <s v="5"/>
    <s v="2024-05-14"/>
    <d v="1899-12-30T22:51:25"/>
    <x v="0"/>
  </r>
  <r>
    <s v="8"/>
    <s v="card"/>
    <n v="37.72"/>
    <x v="0"/>
    <x v="0"/>
    <x v="5"/>
    <x v="2"/>
    <s v="3"/>
    <s v="5"/>
    <s v="2024-05-15"/>
    <d v="1899-12-30T08:40:06"/>
    <x v="0"/>
  </r>
  <r>
    <s v="11"/>
    <s v="card"/>
    <n v="23.02"/>
    <x v="6"/>
    <x v="0"/>
    <x v="5"/>
    <x v="2"/>
    <s v="3"/>
    <s v="5"/>
    <s v="2024-05-15"/>
    <d v="1899-12-30T11:14:19"/>
    <x v="0"/>
  </r>
  <r>
    <s v="11"/>
    <s v="card"/>
    <n v="27.92"/>
    <x v="2"/>
    <x v="0"/>
    <x v="5"/>
    <x v="2"/>
    <s v="3"/>
    <s v="5"/>
    <s v="2024-05-15"/>
    <d v="1899-12-30T11:19:10"/>
    <x v="0"/>
  </r>
  <r>
    <s v="13"/>
    <s v="card"/>
    <n v="27.92"/>
    <x v="2"/>
    <x v="1"/>
    <x v="5"/>
    <x v="2"/>
    <s v="3"/>
    <s v="5"/>
    <s v="2024-05-15"/>
    <d v="1899-12-30T13:34:35"/>
    <x v="0"/>
  </r>
  <r>
    <s v="13"/>
    <s v="card"/>
    <n v="27.92"/>
    <x v="2"/>
    <x v="1"/>
    <x v="5"/>
    <x v="2"/>
    <s v="3"/>
    <s v="5"/>
    <s v="2024-05-15"/>
    <d v="1899-12-30T13:35:29"/>
    <x v="0"/>
  </r>
  <r>
    <s v="13"/>
    <s v="card"/>
    <n v="27.92"/>
    <x v="2"/>
    <x v="1"/>
    <x v="5"/>
    <x v="2"/>
    <s v="3"/>
    <s v="5"/>
    <s v="2024-05-15"/>
    <d v="1899-12-30T13:36:27"/>
    <x v="0"/>
  </r>
  <r>
    <s v="13"/>
    <s v="card"/>
    <n v="32.82"/>
    <x v="3"/>
    <x v="1"/>
    <x v="5"/>
    <x v="2"/>
    <s v="3"/>
    <s v="5"/>
    <s v="2024-05-15"/>
    <d v="1899-12-30T13:55:29"/>
    <x v="0"/>
  </r>
  <r>
    <s v="14"/>
    <s v="card"/>
    <n v="27.92"/>
    <x v="5"/>
    <x v="1"/>
    <x v="5"/>
    <x v="2"/>
    <s v="3"/>
    <s v="5"/>
    <s v="2024-05-15"/>
    <d v="1899-12-30T14:38:52"/>
    <x v="0"/>
  </r>
  <r>
    <s v="14"/>
    <s v="card"/>
    <n v="27.92"/>
    <x v="5"/>
    <x v="1"/>
    <x v="5"/>
    <x v="2"/>
    <s v="3"/>
    <s v="5"/>
    <s v="2024-05-15"/>
    <d v="1899-12-30T14:39:44"/>
    <x v="0"/>
  </r>
  <r>
    <s v="17"/>
    <s v="card"/>
    <n v="23.02"/>
    <x v="6"/>
    <x v="2"/>
    <x v="5"/>
    <x v="2"/>
    <s v="3"/>
    <s v="5"/>
    <s v="2024-05-15"/>
    <d v="1899-12-30T17:28:59"/>
    <x v="0"/>
  </r>
  <r>
    <s v="20"/>
    <s v="card"/>
    <n v="37.72"/>
    <x v="7"/>
    <x v="2"/>
    <x v="5"/>
    <x v="2"/>
    <s v="3"/>
    <s v="5"/>
    <s v="2024-05-15"/>
    <d v="1899-12-30T20:20:35"/>
    <x v="0"/>
  </r>
  <r>
    <s v="10"/>
    <s v="card"/>
    <n v="32.82"/>
    <x v="3"/>
    <x v="0"/>
    <x v="6"/>
    <x v="2"/>
    <s v="4"/>
    <s v="5"/>
    <s v="2024-05-16"/>
    <d v="1899-12-30T10:38:42"/>
    <x v="0"/>
  </r>
  <r>
    <s v="10"/>
    <s v="card"/>
    <n v="32.82"/>
    <x v="3"/>
    <x v="0"/>
    <x v="6"/>
    <x v="2"/>
    <s v="4"/>
    <s v="5"/>
    <s v="2024-05-16"/>
    <d v="1899-12-30T10:39:49"/>
    <x v="0"/>
  </r>
  <r>
    <s v="12"/>
    <s v="card"/>
    <n v="32.82"/>
    <x v="3"/>
    <x v="1"/>
    <x v="6"/>
    <x v="2"/>
    <s v="4"/>
    <s v="5"/>
    <s v="2024-05-16"/>
    <d v="1899-12-30T12:14:00"/>
    <x v="0"/>
  </r>
  <r>
    <s v="15"/>
    <s v="card"/>
    <n v="37.72"/>
    <x v="1"/>
    <x v="1"/>
    <x v="6"/>
    <x v="2"/>
    <s v="4"/>
    <s v="5"/>
    <s v="2024-05-16"/>
    <d v="1899-12-30T15:15:16"/>
    <x v="0"/>
  </r>
  <r>
    <s v="17"/>
    <s v="card"/>
    <n v="37.72"/>
    <x v="0"/>
    <x v="2"/>
    <x v="6"/>
    <x v="2"/>
    <s v="4"/>
    <s v="5"/>
    <s v="2024-05-16"/>
    <d v="1899-12-30T17:44:32"/>
    <x v="0"/>
  </r>
  <r>
    <s v="18"/>
    <s v="card"/>
    <n v="37.72"/>
    <x v="1"/>
    <x v="2"/>
    <x v="6"/>
    <x v="2"/>
    <s v="4"/>
    <s v="5"/>
    <s v="2024-05-16"/>
    <d v="1899-12-30T18:12:57"/>
    <x v="0"/>
  </r>
  <r>
    <s v="18"/>
    <s v="card"/>
    <n v="37.72"/>
    <x v="0"/>
    <x v="2"/>
    <x v="6"/>
    <x v="2"/>
    <s v="4"/>
    <s v="5"/>
    <s v="2024-05-16"/>
    <d v="1899-12-30T18:13:58"/>
    <x v="0"/>
  </r>
  <r>
    <s v="9"/>
    <s v="card"/>
    <n v="27.92"/>
    <x v="2"/>
    <x v="0"/>
    <x v="0"/>
    <x v="2"/>
    <s v="5"/>
    <s v="5"/>
    <s v="2024-05-17"/>
    <d v="1899-12-30T09:00:48"/>
    <x v="0"/>
  </r>
  <r>
    <s v="11"/>
    <s v="card"/>
    <n v="32.82"/>
    <x v="3"/>
    <x v="0"/>
    <x v="0"/>
    <x v="2"/>
    <s v="5"/>
    <s v="5"/>
    <s v="2024-05-17"/>
    <d v="1899-12-30T11:30:28"/>
    <x v="0"/>
  </r>
  <r>
    <s v="19"/>
    <s v="card"/>
    <n v="32.82"/>
    <x v="3"/>
    <x v="2"/>
    <x v="0"/>
    <x v="2"/>
    <s v="5"/>
    <s v="5"/>
    <s v="2024-05-17"/>
    <d v="1899-12-30T19:55:19"/>
    <x v="0"/>
  </r>
  <r>
    <s v="19"/>
    <s v="card"/>
    <n v="37.72"/>
    <x v="7"/>
    <x v="2"/>
    <x v="0"/>
    <x v="2"/>
    <s v="5"/>
    <s v="5"/>
    <s v="2024-05-17"/>
    <d v="1899-12-30T19:56:47"/>
    <x v="0"/>
  </r>
  <r>
    <s v="20"/>
    <s v="card"/>
    <n v="37.72"/>
    <x v="7"/>
    <x v="2"/>
    <x v="0"/>
    <x v="2"/>
    <s v="5"/>
    <s v="5"/>
    <s v="2024-05-17"/>
    <d v="1899-12-30T20:37:53"/>
    <x v="0"/>
  </r>
  <r>
    <s v="22"/>
    <s v="card"/>
    <n v="27.92"/>
    <x v="2"/>
    <x v="2"/>
    <x v="0"/>
    <x v="2"/>
    <s v="5"/>
    <s v="5"/>
    <s v="2024-05-17"/>
    <d v="1899-12-30T22:34:51"/>
    <x v="0"/>
  </r>
  <r>
    <s v="22"/>
    <s v="card"/>
    <n v="37.72"/>
    <x v="0"/>
    <x v="2"/>
    <x v="0"/>
    <x v="2"/>
    <s v="5"/>
    <s v="5"/>
    <s v="2024-05-17"/>
    <d v="1899-12-30T22:36:33"/>
    <x v="0"/>
  </r>
  <r>
    <s v="22"/>
    <s v="card"/>
    <n v="37.72"/>
    <x v="0"/>
    <x v="2"/>
    <x v="0"/>
    <x v="2"/>
    <s v="5"/>
    <s v="5"/>
    <s v="2024-05-17"/>
    <d v="1899-12-30T22:37:43"/>
    <x v="0"/>
  </r>
  <r>
    <s v="8"/>
    <s v="card"/>
    <n v="37.72"/>
    <x v="7"/>
    <x v="0"/>
    <x v="1"/>
    <x v="2"/>
    <s v="6"/>
    <s v="5"/>
    <s v="2024-05-18"/>
    <d v="1899-12-30T08:01:38"/>
    <x v="0"/>
  </r>
  <r>
    <s v="8"/>
    <s v="card"/>
    <n v="37.72"/>
    <x v="7"/>
    <x v="0"/>
    <x v="1"/>
    <x v="2"/>
    <s v="6"/>
    <s v="5"/>
    <s v="2024-05-18"/>
    <d v="1899-12-30T08:02:40"/>
    <x v="0"/>
  </r>
  <r>
    <s v="11"/>
    <s v="card"/>
    <n v="32.82"/>
    <x v="3"/>
    <x v="0"/>
    <x v="1"/>
    <x v="2"/>
    <s v="6"/>
    <s v="5"/>
    <s v="2024-05-18"/>
    <d v="1899-12-30T11:15:56"/>
    <x v="0"/>
  </r>
  <r>
    <s v="16"/>
    <s v="card"/>
    <n v="32.82"/>
    <x v="3"/>
    <x v="1"/>
    <x v="1"/>
    <x v="2"/>
    <s v="6"/>
    <s v="5"/>
    <s v="2024-05-18"/>
    <d v="1899-12-30T16:48:29"/>
    <x v="0"/>
  </r>
  <r>
    <s v="16"/>
    <s v="card"/>
    <n v="32.82"/>
    <x v="3"/>
    <x v="1"/>
    <x v="1"/>
    <x v="2"/>
    <s v="6"/>
    <s v="5"/>
    <s v="2024-05-18"/>
    <d v="1899-12-30T16:49:27"/>
    <x v="0"/>
  </r>
  <r>
    <s v="19"/>
    <s v="card"/>
    <n v="32.82"/>
    <x v="3"/>
    <x v="2"/>
    <x v="1"/>
    <x v="2"/>
    <s v="6"/>
    <s v="5"/>
    <s v="2024-05-18"/>
    <d v="1899-12-30T19:58:44"/>
    <x v="0"/>
  </r>
  <r>
    <s v="20"/>
    <s v="card"/>
    <n v="37.72"/>
    <x v="0"/>
    <x v="2"/>
    <x v="1"/>
    <x v="2"/>
    <s v="6"/>
    <s v="5"/>
    <s v="2024-05-18"/>
    <d v="1899-12-30T20:22:53"/>
    <x v="0"/>
  </r>
  <r>
    <s v="7"/>
    <s v="card"/>
    <n v="27.92"/>
    <x v="2"/>
    <x v="0"/>
    <x v="2"/>
    <x v="2"/>
    <s v="7"/>
    <s v="5"/>
    <s v="2024-05-19"/>
    <d v="1899-12-30T07:58:38"/>
    <x v="0"/>
  </r>
  <r>
    <s v="7"/>
    <s v="card"/>
    <n v="27.92"/>
    <x v="2"/>
    <x v="0"/>
    <x v="2"/>
    <x v="2"/>
    <s v="7"/>
    <s v="5"/>
    <s v="2024-05-19"/>
    <d v="1899-12-30T07:59:34"/>
    <x v="0"/>
  </r>
  <r>
    <s v="8"/>
    <s v="card"/>
    <n v="37.72"/>
    <x v="7"/>
    <x v="0"/>
    <x v="2"/>
    <x v="2"/>
    <s v="7"/>
    <s v="5"/>
    <s v="2024-05-19"/>
    <d v="1899-12-30T08:00:35"/>
    <x v="0"/>
  </r>
  <r>
    <s v="12"/>
    <s v="card"/>
    <n v="32.82"/>
    <x v="3"/>
    <x v="1"/>
    <x v="2"/>
    <x v="2"/>
    <s v="7"/>
    <s v="5"/>
    <s v="2024-05-19"/>
    <d v="1899-12-30T12:14:27"/>
    <x v="0"/>
  </r>
  <r>
    <s v="14"/>
    <s v="card"/>
    <n v="27.92"/>
    <x v="2"/>
    <x v="1"/>
    <x v="2"/>
    <x v="2"/>
    <s v="7"/>
    <s v="5"/>
    <s v="2024-05-19"/>
    <d v="1899-12-30T14:43:40"/>
    <x v="0"/>
  </r>
  <r>
    <s v="15"/>
    <s v="card"/>
    <n v="32.82"/>
    <x v="3"/>
    <x v="1"/>
    <x v="2"/>
    <x v="2"/>
    <s v="7"/>
    <s v="5"/>
    <s v="2024-05-19"/>
    <d v="1899-12-30T15:58:58"/>
    <x v="0"/>
  </r>
  <r>
    <s v="18"/>
    <s v="card"/>
    <n v="32.82"/>
    <x v="3"/>
    <x v="2"/>
    <x v="2"/>
    <x v="2"/>
    <s v="7"/>
    <s v="5"/>
    <s v="2024-05-19"/>
    <d v="1899-12-30T18:12:36"/>
    <x v="0"/>
  </r>
  <r>
    <s v="18"/>
    <s v="card"/>
    <n v="23.02"/>
    <x v="6"/>
    <x v="2"/>
    <x v="2"/>
    <x v="2"/>
    <s v="7"/>
    <s v="5"/>
    <s v="2024-05-19"/>
    <d v="1899-12-30T18:13:48"/>
    <x v="0"/>
  </r>
  <r>
    <s v="18"/>
    <s v="card"/>
    <n v="37.72"/>
    <x v="1"/>
    <x v="2"/>
    <x v="2"/>
    <x v="2"/>
    <s v="7"/>
    <s v="5"/>
    <s v="2024-05-19"/>
    <d v="1899-12-30T18:16:30"/>
    <x v="0"/>
  </r>
  <r>
    <s v="19"/>
    <s v="card"/>
    <n v="37.72"/>
    <x v="7"/>
    <x v="2"/>
    <x v="2"/>
    <x v="2"/>
    <s v="7"/>
    <s v="5"/>
    <s v="2024-05-19"/>
    <d v="1899-12-30T19:51:07"/>
    <x v="0"/>
  </r>
  <r>
    <s v="21"/>
    <s v="card"/>
    <n v="37.72"/>
    <x v="7"/>
    <x v="2"/>
    <x v="2"/>
    <x v="2"/>
    <s v="7"/>
    <s v="5"/>
    <s v="2024-05-19"/>
    <d v="1899-12-30T21:15:42"/>
    <x v="0"/>
  </r>
  <r>
    <s v="21"/>
    <s v="card"/>
    <n v="37.72"/>
    <x v="7"/>
    <x v="2"/>
    <x v="2"/>
    <x v="2"/>
    <s v="7"/>
    <s v="5"/>
    <s v="2024-05-19"/>
    <d v="1899-12-30T21:18:36"/>
    <x v="0"/>
  </r>
  <r>
    <s v="10"/>
    <s v="card"/>
    <n v="32.82"/>
    <x v="3"/>
    <x v="0"/>
    <x v="3"/>
    <x v="2"/>
    <s v="1"/>
    <s v="5"/>
    <s v="2024-05-20"/>
    <d v="1899-12-30T10:05:59"/>
    <x v="0"/>
  </r>
  <r>
    <s v="10"/>
    <s v="card"/>
    <n v="37.72"/>
    <x v="0"/>
    <x v="0"/>
    <x v="3"/>
    <x v="2"/>
    <s v="1"/>
    <s v="5"/>
    <s v="2024-05-20"/>
    <d v="1899-12-30T10:17:52"/>
    <x v="0"/>
  </r>
  <r>
    <s v="10"/>
    <s v="card"/>
    <n v="37.72"/>
    <x v="0"/>
    <x v="0"/>
    <x v="3"/>
    <x v="2"/>
    <s v="1"/>
    <s v="5"/>
    <s v="2024-05-20"/>
    <d v="1899-12-30T10:58:48"/>
    <x v="0"/>
  </r>
  <r>
    <s v="11"/>
    <s v="card"/>
    <n v="27.92"/>
    <x v="2"/>
    <x v="0"/>
    <x v="3"/>
    <x v="2"/>
    <s v="1"/>
    <s v="5"/>
    <s v="2024-05-20"/>
    <d v="1899-12-30T11:15:16"/>
    <x v="0"/>
  </r>
  <r>
    <s v="11"/>
    <s v="card"/>
    <n v="27.92"/>
    <x v="2"/>
    <x v="0"/>
    <x v="3"/>
    <x v="2"/>
    <s v="1"/>
    <s v="5"/>
    <s v="2024-05-20"/>
    <d v="1899-12-30T11:16:20"/>
    <x v="0"/>
  </r>
  <r>
    <s v="13"/>
    <s v="card"/>
    <n v="27.92"/>
    <x v="2"/>
    <x v="1"/>
    <x v="3"/>
    <x v="2"/>
    <s v="1"/>
    <s v="5"/>
    <s v="2024-05-20"/>
    <d v="1899-12-30T13:27:13"/>
    <x v="0"/>
  </r>
  <r>
    <s v="13"/>
    <s v="card"/>
    <n v="27.92"/>
    <x v="2"/>
    <x v="1"/>
    <x v="3"/>
    <x v="2"/>
    <s v="1"/>
    <s v="5"/>
    <s v="2024-05-20"/>
    <d v="1899-12-30T13:28:10"/>
    <x v="0"/>
  </r>
  <r>
    <s v="14"/>
    <s v="card"/>
    <n v="32.82"/>
    <x v="3"/>
    <x v="1"/>
    <x v="3"/>
    <x v="2"/>
    <s v="1"/>
    <s v="5"/>
    <s v="2024-05-20"/>
    <d v="1899-12-30T14:13:19"/>
    <x v="0"/>
  </r>
  <r>
    <s v="14"/>
    <s v="card"/>
    <n v="37.72"/>
    <x v="7"/>
    <x v="1"/>
    <x v="3"/>
    <x v="2"/>
    <s v="1"/>
    <s v="5"/>
    <s v="2024-05-20"/>
    <d v="1899-12-30T14:14:31"/>
    <x v="0"/>
  </r>
  <r>
    <s v="17"/>
    <s v="card"/>
    <n v="37.72"/>
    <x v="0"/>
    <x v="2"/>
    <x v="3"/>
    <x v="2"/>
    <s v="1"/>
    <s v="5"/>
    <s v="2024-05-20"/>
    <d v="1899-12-30T17:12:51"/>
    <x v="0"/>
  </r>
  <r>
    <s v="17"/>
    <s v="card"/>
    <n v="37.72"/>
    <x v="0"/>
    <x v="2"/>
    <x v="3"/>
    <x v="2"/>
    <s v="1"/>
    <s v="5"/>
    <s v="2024-05-20"/>
    <d v="1899-12-30T17:13:57"/>
    <x v="0"/>
  </r>
  <r>
    <s v="20"/>
    <s v="card"/>
    <n v="32.82"/>
    <x v="3"/>
    <x v="2"/>
    <x v="3"/>
    <x v="2"/>
    <s v="1"/>
    <s v="5"/>
    <s v="2024-05-20"/>
    <d v="1899-12-30T20:36:48"/>
    <x v="0"/>
  </r>
  <r>
    <s v="20"/>
    <s v="card"/>
    <n v="37.72"/>
    <x v="4"/>
    <x v="2"/>
    <x v="3"/>
    <x v="2"/>
    <s v="1"/>
    <s v="5"/>
    <s v="2024-05-20"/>
    <d v="1899-12-30T20:37:57"/>
    <x v="0"/>
  </r>
  <r>
    <s v="20"/>
    <s v="card"/>
    <n v="27.92"/>
    <x v="5"/>
    <x v="2"/>
    <x v="3"/>
    <x v="2"/>
    <s v="1"/>
    <s v="5"/>
    <s v="2024-05-20"/>
    <d v="1899-12-30T20:46:52"/>
    <x v="0"/>
  </r>
  <r>
    <s v="21"/>
    <s v="card"/>
    <n v="32.82"/>
    <x v="3"/>
    <x v="2"/>
    <x v="3"/>
    <x v="2"/>
    <s v="1"/>
    <s v="5"/>
    <s v="2024-05-20"/>
    <d v="1899-12-30T21:36:54"/>
    <x v="0"/>
  </r>
  <r>
    <s v="21"/>
    <s v="card"/>
    <n v="32.82"/>
    <x v="3"/>
    <x v="2"/>
    <x v="3"/>
    <x v="2"/>
    <s v="1"/>
    <s v="5"/>
    <s v="2024-05-20"/>
    <d v="1899-12-30T21:37:58"/>
    <x v="0"/>
  </r>
  <r>
    <s v="8"/>
    <s v="card"/>
    <n v="37.72"/>
    <x v="0"/>
    <x v="0"/>
    <x v="4"/>
    <x v="2"/>
    <s v="2"/>
    <s v="5"/>
    <s v="2024-05-21"/>
    <d v="1899-12-30T08:27:38"/>
    <x v="0"/>
  </r>
  <r>
    <s v="16"/>
    <s v="card"/>
    <n v="37.72"/>
    <x v="0"/>
    <x v="1"/>
    <x v="4"/>
    <x v="2"/>
    <s v="2"/>
    <s v="5"/>
    <s v="2024-05-21"/>
    <d v="1899-12-30T16:10:20"/>
    <x v="0"/>
  </r>
  <r>
    <s v="18"/>
    <s v="card"/>
    <n v="23.02"/>
    <x v="6"/>
    <x v="2"/>
    <x v="4"/>
    <x v="2"/>
    <s v="2"/>
    <s v="5"/>
    <s v="2024-05-21"/>
    <d v="1899-12-30T18:13:24"/>
    <x v="0"/>
  </r>
  <r>
    <s v="19"/>
    <s v="card"/>
    <n v="37.72"/>
    <x v="7"/>
    <x v="2"/>
    <x v="4"/>
    <x v="2"/>
    <s v="2"/>
    <s v="5"/>
    <s v="2024-05-21"/>
    <d v="1899-12-30T19:11:09"/>
    <x v="0"/>
  </r>
  <r>
    <s v="20"/>
    <s v="card"/>
    <n v="37.72"/>
    <x v="7"/>
    <x v="2"/>
    <x v="4"/>
    <x v="2"/>
    <s v="2"/>
    <s v="5"/>
    <s v="2024-05-21"/>
    <d v="1899-12-30T20:13:48"/>
    <x v="0"/>
  </r>
  <r>
    <s v="9"/>
    <s v="card"/>
    <n v="37.72"/>
    <x v="7"/>
    <x v="0"/>
    <x v="5"/>
    <x v="2"/>
    <s v="3"/>
    <s v="5"/>
    <s v="2024-05-22"/>
    <d v="1899-12-30T09:34:42"/>
    <x v="0"/>
  </r>
  <r>
    <s v="10"/>
    <s v="card"/>
    <n v="32.82"/>
    <x v="3"/>
    <x v="0"/>
    <x v="5"/>
    <x v="2"/>
    <s v="3"/>
    <s v="5"/>
    <s v="2024-05-22"/>
    <d v="1899-12-30T10:49:47"/>
    <x v="0"/>
  </r>
  <r>
    <s v="11"/>
    <s v="card"/>
    <n v="27.92"/>
    <x v="5"/>
    <x v="0"/>
    <x v="5"/>
    <x v="2"/>
    <s v="3"/>
    <s v="5"/>
    <s v="2024-05-22"/>
    <d v="1899-12-30T11:18:14"/>
    <x v="0"/>
  </r>
  <r>
    <s v="11"/>
    <s v="card"/>
    <n v="32.82"/>
    <x v="3"/>
    <x v="0"/>
    <x v="5"/>
    <x v="2"/>
    <s v="3"/>
    <s v="5"/>
    <s v="2024-05-22"/>
    <d v="1899-12-30T11:34:55"/>
    <x v="0"/>
  </r>
  <r>
    <s v="12"/>
    <s v="card"/>
    <n v="27.92"/>
    <x v="2"/>
    <x v="1"/>
    <x v="5"/>
    <x v="2"/>
    <s v="3"/>
    <s v="5"/>
    <s v="2024-05-22"/>
    <d v="1899-12-30T12:29:51"/>
    <x v="0"/>
  </r>
  <r>
    <s v="12"/>
    <s v="card"/>
    <n v="27.92"/>
    <x v="2"/>
    <x v="1"/>
    <x v="5"/>
    <x v="2"/>
    <s v="3"/>
    <s v="5"/>
    <s v="2024-05-22"/>
    <d v="1899-12-30T12:30:43"/>
    <x v="0"/>
  </r>
  <r>
    <s v="14"/>
    <s v="card"/>
    <n v="32.82"/>
    <x v="3"/>
    <x v="1"/>
    <x v="5"/>
    <x v="2"/>
    <s v="3"/>
    <s v="5"/>
    <s v="2024-05-22"/>
    <d v="1899-12-30T14:00:20"/>
    <x v="0"/>
  </r>
  <r>
    <s v="19"/>
    <s v="card"/>
    <n v="37.72"/>
    <x v="7"/>
    <x v="2"/>
    <x v="5"/>
    <x v="2"/>
    <s v="3"/>
    <s v="5"/>
    <s v="2024-05-22"/>
    <d v="1899-12-30T19:24:58"/>
    <x v="0"/>
  </r>
  <r>
    <s v="19"/>
    <s v="card"/>
    <n v="37.72"/>
    <x v="7"/>
    <x v="2"/>
    <x v="5"/>
    <x v="2"/>
    <s v="3"/>
    <s v="5"/>
    <s v="2024-05-22"/>
    <d v="1899-12-30T19:25:59"/>
    <x v="0"/>
  </r>
  <r>
    <s v="21"/>
    <s v="card"/>
    <n v="37.72"/>
    <x v="1"/>
    <x v="2"/>
    <x v="5"/>
    <x v="2"/>
    <s v="3"/>
    <s v="5"/>
    <s v="2024-05-22"/>
    <d v="1899-12-30T21:23:53"/>
    <x v="0"/>
  </r>
  <r>
    <s v="21"/>
    <s v="card"/>
    <n v="37.72"/>
    <x v="7"/>
    <x v="2"/>
    <x v="5"/>
    <x v="2"/>
    <s v="3"/>
    <s v="5"/>
    <s v="2024-05-22"/>
    <d v="1899-12-30T21:24:50"/>
    <x v="0"/>
  </r>
  <r>
    <s v="10"/>
    <s v="card"/>
    <n v="37.72"/>
    <x v="7"/>
    <x v="0"/>
    <x v="6"/>
    <x v="2"/>
    <s v="4"/>
    <s v="5"/>
    <s v="2024-05-23"/>
    <d v="1899-12-30T10:10:20"/>
    <x v="0"/>
  </r>
  <r>
    <s v="12"/>
    <s v="card"/>
    <n v="23.02"/>
    <x v="6"/>
    <x v="1"/>
    <x v="6"/>
    <x v="2"/>
    <s v="4"/>
    <s v="5"/>
    <s v="2024-05-23"/>
    <d v="1899-12-30T12:22:07"/>
    <x v="0"/>
  </r>
  <r>
    <s v="15"/>
    <s v="card"/>
    <n v="37.72"/>
    <x v="7"/>
    <x v="1"/>
    <x v="6"/>
    <x v="2"/>
    <s v="4"/>
    <s v="5"/>
    <s v="2024-05-23"/>
    <d v="1899-12-30T15:55:17"/>
    <x v="0"/>
  </r>
  <r>
    <s v="15"/>
    <s v="card"/>
    <n v="37.72"/>
    <x v="7"/>
    <x v="1"/>
    <x v="6"/>
    <x v="2"/>
    <s v="4"/>
    <s v="5"/>
    <s v="2024-05-23"/>
    <d v="1899-12-30T15:56:27"/>
    <x v="0"/>
  </r>
  <r>
    <s v="16"/>
    <s v="card"/>
    <n v="37.72"/>
    <x v="7"/>
    <x v="1"/>
    <x v="6"/>
    <x v="2"/>
    <s v="4"/>
    <s v="5"/>
    <s v="2024-05-23"/>
    <d v="1899-12-30T16:18:14"/>
    <x v="0"/>
  </r>
  <r>
    <s v="16"/>
    <s v="card"/>
    <n v="37.72"/>
    <x v="0"/>
    <x v="1"/>
    <x v="6"/>
    <x v="2"/>
    <s v="4"/>
    <s v="5"/>
    <s v="2024-05-23"/>
    <d v="1899-12-30T16:41:00"/>
    <x v="0"/>
  </r>
  <r>
    <s v="17"/>
    <s v="card"/>
    <n v="37.72"/>
    <x v="7"/>
    <x v="2"/>
    <x v="6"/>
    <x v="2"/>
    <s v="4"/>
    <s v="5"/>
    <s v="2024-05-23"/>
    <d v="1899-12-30T17:14:33"/>
    <x v="0"/>
  </r>
  <r>
    <s v="17"/>
    <s v="card"/>
    <n v="37.72"/>
    <x v="0"/>
    <x v="2"/>
    <x v="6"/>
    <x v="2"/>
    <s v="4"/>
    <s v="5"/>
    <s v="2024-05-23"/>
    <d v="1899-12-30T17:15:45"/>
    <x v="0"/>
  </r>
  <r>
    <s v="19"/>
    <s v="card"/>
    <n v="27.92"/>
    <x v="5"/>
    <x v="2"/>
    <x v="6"/>
    <x v="2"/>
    <s v="4"/>
    <s v="5"/>
    <s v="2024-05-23"/>
    <d v="1899-12-30T19:03:54"/>
    <x v="0"/>
  </r>
  <r>
    <s v="19"/>
    <s v="card"/>
    <n v="37.72"/>
    <x v="7"/>
    <x v="2"/>
    <x v="6"/>
    <x v="2"/>
    <s v="4"/>
    <s v="5"/>
    <s v="2024-05-23"/>
    <d v="1899-12-30T19:17:28"/>
    <x v="0"/>
  </r>
  <r>
    <s v="19"/>
    <s v="card"/>
    <n v="37.72"/>
    <x v="7"/>
    <x v="2"/>
    <x v="6"/>
    <x v="2"/>
    <s v="4"/>
    <s v="5"/>
    <s v="2024-05-23"/>
    <d v="1899-12-30T19:18:26"/>
    <x v="0"/>
  </r>
  <r>
    <s v="19"/>
    <s v="card"/>
    <n v="37.72"/>
    <x v="7"/>
    <x v="2"/>
    <x v="6"/>
    <x v="2"/>
    <s v="4"/>
    <s v="5"/>
    <s v="2024-05-23"/>
    <d v="1899-12-30T19:42:32"/>
    <x v="0"/>
  </r>
  <r>
    <s v="20"/>
    <s v="card"/>
    <n v="37.72"/>
    <x v="7"/>
    <x v="2"/>
    <x v="6"/>
    <x v="2"/>
    <s v="4"/>
    <s v="5"/>
    <s v="2024-05-23"/>
    <d v="1899-12-30T20:15:01"/>
    <x v="0"/>
  </r>
  <r>
    <s v="20"/>
    <s v="card"/>
    <n v="37.72"/>
    <x v="0"/>
    <x v="2"/>
    <x v="6"/>
    <x v="2"/>
    <s v="4"/>
    <s v="5"/>
    <s v="2024-05-23"/>
    <d v="1899-12-30T20:16:24"/>
    <x v="0"/>
  </r>
  <r>
    <s v="22"/>
    <s v="card"/>
    <n v="32.82"/>
    <x v="3"/>
    <x v="2"/>
    <x v="6"/>
    <x v="2"/>
    <s v="4"/>
    <s v="5"/>
    <s v="2024-05-23"/>
    <d v="1899-12-30T22:48:11"/>
    <x v="0"/>
  </r>
  <r>
    <s v="11"/>
    <s v="card"/>
    <n v="27.92"/>
    <x v="5"/>
    <x v="0"/>
    <x v="0"/>
    <x v="2"/>
    <s v="5"/>
    <s v="5"/>
    <s v="2024-05-24"/>
    <d v="1899-12-30T11:11:59"/>
    <x v="0"/>
  </r>
  <r>
    <s v="11"/>
    <s v="card"/>
    <n v="27.92"/>
    <x v="2"/>
    <x v="0"/>
    <x v="0"/>
    <x v="2"/>
    <s v="5"/>
    <s v="5"/>
    <s v="2024-05-24"/>
    <d v="1899-12-30T11:15:08"/>
    <x v="0"/>
  </r>
  <r>
    <s v="11"/>
    <s v="card"/>
    <n v="27.92"/>
    <x v="2"/>
    <x v="0"/>
    <x v="0"/>
    <x v="2"/>
    <s v="5"/>
    <s v="5"/>
    <s v="2024-05-24"/>
    <d v="1899-12-30T11:16:13"/>
    <x v="0"/>
  </r>
  <r>
    <s v="16"/>
    <s v="card"/>
    <n v="37.72"/>
    <x v="1"/>
    <x v="1"/>
    <x v="0"/>
    <x v="2"/>
    <s v="5"/>
    <s v="5"/>
    <s v="2024-05-24"/>
    <d v="1899-12-30T16:07:20"/>
    <x v="0"/>
  </r>
  <r>
    <s v="18"/>
    <s v="card"/>
    <n v="27.92"/>
    <x v="5"/>
    <x v="2"/>
    <x v="0"/>
    <x v="2"/>
    <s v="5"/>
    <s v="5"/>
    <s v="2024-05-24"/>
    <d v="1899-12-30T18:17:40"/>
    <x v="0"/>
  </r>
  <r>
    <s v="18"/>
    <s v="card"/>
    <n v="27.92"/>
    <x v="5"/>
    <x v="2"/>
    <x v="0"/>
    <x v="2"/>
    <s v="5"/>
    <s v="5"/>
    <s v="2024-05-24"/>
    <d v="1899-12-30T18:18:37"/>
    <x v="0"/>
  </r>
  <r>
    <s v="22"/>
    <s v="card"/>
    <n v="32.82"/>
    <x v="3"/>
    <x v="2"/>
    <x v="0"/>
    <x v="2"/>
    <s v="5"/>
    <s v="5"/>
    <s v="2024-05-24"/>
    <d v="1899-12-30T22:30:40"/>
    <x v="0"/>
  </r>
  <r>
    <s v="12"/>
    <s v="card"/>
    <n v="37.72"/>
    <x v="0"/>
    <x v="1"/>
    <x v="1"/>
    <x v="2"/>
    <s v="6"/>
    <s v="5"/>
    <s v="2024-05-25"/>
    <d v="1899-12-30T12:13:53"/>
    <x v="0"/>
  </r>
  <r>
    <s v="12"/>
    <s v="card"/>
    <n v="32.82"/>
    <x v="3"/>
    <x v="1"/>
    <x v="1"/>
    <x v="2"/>
    <s v="6"/>
    <s v="5"/>
    <s v="2024-05-25"/>
    <d v="1899-12-30T12:42:10"/>
    <x v="0"/>
  </r>
  <r>
    <s v="12"/>
    <s v="card"/>
    <n v="32.82"/>
    <x v="3"/>
    <x v="1"/>
    <x v="1"/>
    <x v="2"/>
    <s v="6"/>
    <s v="5"/>
    <s v="2024-05-25"/>
    <d v="1899-12-30T12:43:13"/>
    <x v="0"/>
  </r>
  <r>
    <s v="12"/>
    <s v="card"/>
    <n v="32.82"/>
    <x v="3"/>
    <x v="1"/>
    <x v="1"/>
    <x v="2"/>
    <s v="6"/>
    <s v="5"/>
    <s v="2024-05-25"/>
    <d v="1899-12-30T12:58:12"/>
    <x v="0"/>
  </r>
  <r>
    <s v="16"/>
    <s v="card"/>
    <n v="32.82"/>
    <x v="3"/>
    <x v="1"/>
    <x v="1"/>
    <x v="2"/>
    <s v="6"/>
    <s v="5"/>
    <s v="2024-05-25"/>
    <d v="1899-12-30T16:47:10"/>
    <x v="0"/>
  </r>
  <r>
    <s v="16"/>
    <s v="card"/>
    <n v="27.92"/>
    <x v="2"/>
    <x v="1"/>
    <x v="1"/>
    <x v="2"/>
    <s v="6"/>
    <s v="5"/>
    <s v="2024-05-25"/>
    <d v="1899-12-30T16:48:17"/>
    <x v="0"/>
  </r>
  <r>
    <s v="10"/>
    <s v="card"/>
    <n v="37.72"/>
    <x v="0"/>
    <x v="0"/>
    <x v="2"/>
    <x v="2"/>
    <s v="7"/>
    <s v="5"/>
    <s v="2024-05-26"/>
    <d v="1899-12-30T10:20:02"/>
    <x v="0"/>
  </r>
  <r>
    <s v="14"/>
    <s v="card"/>
    <n v="32.82"/>
    <x v="3"/>
    <x v="1"/>
    <x v="2"/>
    <x v="2"/>
    <s v="7"/>
    <s v="5"/>
    <s v="2024-05-26"/>
    <d v="1899-12-30T14:24:50"/>
    <x v="0"/>
  </r>
  <r>
    <s v="14"/>
    <s v="card"/>
    <n v="27.92"/>
    <x v="5"/>
    <x v="1"/>
    <x v="2"/>
    <x v="2"/>
    <s v="7"/>
    <s v="5"/>
    <s v="2024-05-26"/>
    <d v="1899-12-30T14:26:05"/>
    <x v="0"/>
  </r>
  <r>
    <s v="14"/>
    <s v="card"/>
    <n v="32.82"/>
    <x v="3"/>
    <x v="1"/>
    <x v="2"/>
    <x v="2"/>
    <s v="7"/>
    <s v="5"/>
    <s v="2024-05-26"/>
    <d v="1899-12-30T14:40:59"/>
    <x v="0"/>
  </r>
  <r>
    <s v="17"/>
    <s v="card"/>
    <n v="37.72"/>
    <x v="7"/>
    <x v="2"/>
    <x v="2"/>
    <x v="2"/>
    <s v="7"/>
    <s v="5"/>
    <s v="2024-05-26"/>
    <d v="1899-12-30T17:19:16"/>
    <x v="0"/>
  </r>
  <r>
    <s v="18"/>
    <s v="card"/>
    <n v="37.72"/>
    <x v="1"/>
    <x v="2"/>
    <x v="2"/>
    <x v="2"/>
    <s v="7"/>
    <s v="5"/>
    <s v="2024-05-26"/>
    <d v="1899-12-30T18:09:53"/>
    <x v="0"/>
  </r>
  <r>
    <s v="18"/>
    <s v="card"/>
    <n v="37.72"/>
    <x v="1"/>
    <x v="2"/>
    <x v="2"/>
    <x v="2"/>
    <s v="7"/>
    <s v="5"/>
    <s v="2024-05-26"/>
    <d v="1899-12-30T18:11:02"/>
    <x v="0"/>
  </r>
  <r>
    <s v="18"/>
    <s v="card"/>
    <n v="27.92"/>
    <x v="2"/>
    <x v="2"/>
    <x v="2"/>
    <x v="2"/>
    <s v="7"/>
    <s v="5"/>
    <s v="2024-05-26"/>
    <d v="1899-12-30T18:13:14"/>
    <x v="0"/>
  </r>
  <r>
    <s v="18"/>
    <s v="card"/>
    <n v="37.72"/>
    <x v="0"/>
    <x v="2"/>
    <x v="2"/>
    <x v="2"/>
    <s v="7"/>
    <s v="5"/>
    <s v="2024-05-26"/>
    <d v="1899-12-30T18:39:19"/>
    <x v="0"/>
  </r>
  <r>
    <s v="20"/>
    <s v="card"/>
    <n v="37.72"/>
    <x v="1"/>
    <x v="2"/>
    <x v="2"/>
    <x v="2"/>
    <s v="7"/>
    <s v="5"/>
    <s v="2024-05-26"/>
    <d v="1899-12-30T20:59:15"/>
    <x v="0"/>
  </r>
  <r>
    <s v="21"/>
    <s v="card"/>
    <n v="37.72"/>
    <x v="7"/>
    <x v="2"/>
    <x v="2"/>
    <x v="2"/>
    <s v="7"/>
    <s v="5"/>
    <s v="2024-05-26"/>
    <d v="1899-12-30T21:00:06"/>
    <x v="0"/>
  </r>
  <r>
    <s v="21"/>
    <s v="card"/>
    <n v="27.92"/>
    <x v="5"/>
    <x v="2"/>
    <x v="2"/>
    <x v="2"/>
    <s v="7"/>
    <s v="5"/>
    <s v="2024-05-26"/>
    <d v="1899-12-30T21:02:37"/>
    <x v="0"/>
  </r>
  <r>
    <s v="21"/>
    <s v="card"/>
    <n v="37.72"/>
    <x v="7"/>
    <x v="2"/>
    <x v="2"/>
    <x v="2"/>
    <s v="7"/>
    <s v="5"/>
    <s v="2024-05-26"/>
    <d v="1899-12-30T21:03:52"/>
    <x v="0"/>
  </r>
  <r>
    <s v="21"/>
    <s v="card"/>
    <n v="37.72"/>
    <x v="0"/>
    <x v="2"/>
    <x v="2"/>
    <x v="2"/>
    <s v="7"/>
    <s v="5"/>
    <s v="2024-05-26"/>
    <d v="1899-12-30T21:04:59"/>
    <x v="0"/>
  </r>
  <r>
    <s v="21"/>
    <s v="card"/>
    <n v="37.72"/>
    <x v="7"/>
    <x v="2"/>
    <x v="2"/>
    <x v="2"/>
    <s v="7"/>
    <s v="5"/>
    <s v="2024-05-26"/>
    <d v="1899-12-30T21:06:03"/>
    <x v="0"/>
  </r>
  <r>
    <s v="11"/>
    <s v="card"/>
    <n v="27.92"/>
    <x v="2"/>
    <x v="0"/>
    <x v="3"/>
    <x v="2"/>
    <s v="1"/>
    <s v="5"/>
    <s v="2024-05-27"/>
    <d v="1899-12-30T11:34:55"/>
    <x v="0"/>
  </r>
  <r>
    <s v="14"/>
    <s v="card"/>
    <n v="32.82"/>
    <x v="3"/>
    <x v="1"/>
    <x v="3"/>
    <x v="2"/>
    <s v="1"/>
    <s v="5"/>
    <s v="2024-05-27"/>
    <d v="1899-12-30T14:05:22"/>
    <x v="0"/>
  </r>
  <r>
    <s v="14"/>
    <s v="card"/>
    <n v="37.72"/>
    <x v="4"/>
    <x v="1"/>
    <x v="3"/>
    <x v="2"/>
    <s v="1"/>
    <s v="5"/>
    <s v="2024-05-27"/>
    <d v="1899-12-30T14:06:44"/>
    <x v="0"/>
  </r>
  <r>
    <s v="15"/>
    <s v="card"/>
    <n v="27.92"/>
    <x v="2"/>
    <x v="1"/>
    <x v="3"/>
    <x v="2"/>
    <s v="1"/>
    <s v="5"/>
    <s v="2024-05-27"/>
    <d v="1899-12-30T15:11:34"/>
    <x v="0"/>
  </r>
  <r>
    <s v="15"/>
    <s v="card"/>
    <n v="27.92"/>
    <x v="2"/>
    <x v="1"/>
    <x v="3"/>
    <x v="2"/>
    <s v="1"/>
    <s v="5"/>
    <s v="2024-05-27"/>
    <d v="1899-12-30T15:14:06"/>
    <x v="0"/>
  </r>
  <r>
    <s v="17"/>
    <s v="card"/>
    <n v="37.72"/>
    <x v="0"/>
    <x v="2"/>
    <x v="3"/>
    <x v="2"/>
    <s v="1"/>
    <s v="5"/>
    <s v="2024-05-27"/>
    <d v="1899-12-30T17:50:56"/>
    <x v="0"/>
  </r>
  <r>
    <s v="18"/>
    <s v="card"/>
    <n v="27.92"/>
    <x v="2"/>
    <x v="2"/>
    <x v="3"/>
    <x v="2"/>
    <s v="1"/>
    <s v="5"/>
    <s v="2024-05-27"/>
    <d v="1899-12-30T18:00:51"/>
    <x v="0"/>
  </r>
  <r>
    <s v="19"/>
    <s v="card"/>
    <n v="37.72"/>
    <x v="0"/>
    <x v="2"/>
    <x v="3"/>
    <x v="2"/>
    <s v="1"/>
    <s v="5"/>
    <s v="2024-05-27"/>
    <d v="1899-12-30T19:16:27"/>
    <x v="0"/>
  </r>
  <r>
    <s v="19"/>
    <s v="card"/>
    <n v="37.72"/>
    <x v="0"/>
    <x v="2"/>
    <x v="3"/>
    <x v="2"/>
    <s v="1"/>
    <s v="5"/>
    <s v="2024-05-27"/>
    <d v="1899-12-30T19:17:39"/>
    <x v="0"/>
  </r>
  <r>
    <s v="21"/>
    <s v="card"/>
    <n v="32.82"/>
    <x v="3"/>
    <x v="2"/>
    <x v="3"/>
    <x v="2"/>
    <s v="1"/>
    <s v="5"/>
    <s v="2024-05-27"/>
    <d v="1899-12-30T21:29:07"/>
    <x v="0"/>
  </r>
  <r>
    <s v="21"/>
    <s v="card"/>
    <n v="37.72"/>
    <x v="7"/>
    <x v="2"/>
    <x v="3"/>
    <x v="2"/>
    <s v="1"/>
    <s v="5"/>
    <s v="2024-05-27"/>
    <d v="1899-12-30T21:30:20"/>
    <x v="0"/>
  </r>
  <r>
    <s v="8"/>
    <s v="card"/>
    <n v="32.82"/>
    <x v="3"/>
    <x v="0"/>
    <x v="4"/>
    <x v="2"/>
    <s v="2"/>
    <s v="5"/>
    <s v="2024-05-28"/>
    <d v="1899-12-30T08:37:09"/>
    <x v="0"/>
  </r>
  <r>
    <s v="9"/>
    <s v="card"/>
    <n v="32.82"/>
    <x v="3"/>
    <x v="0"/>
    <x v="4"/>
    <x v="2"/>
    <s v="2"/>
    <s v="5"/>
    <s v="2024-05-28"/>
    <d v="1899-12-30T09:20:11"/>
    <x v="0"/>
  </r>
  <r>
    <s v="11"/>
    <s v="card"/>
    <n v="37.72"/>
    <x v="7"/>
    <x v="0"/>
    <x v="4"/>
    <x v="2"/>
    <s v="2"/>
    <s v="5"/>
    <s v="2024-05-28"/>
    <d v="1899-12-30T11:48:18"/>
    <x v="0"/>
  </r>
  <r>
    <s v="13"/>
    <s v="card"/>
    <n v="37.72"/>
    <x v="7"/>
    <x v="1"/>
    <x v="4"/>
    <x v="2"/>
    <s v="2"/>
    <s v="5"/>
    <s v="2024-05-28"/>
    <d v="1899-12-30T13:14:40"/>
    <x v="0"/>
  </r>
  <r>
    <s v="14"/>
    <s v="card"/>
    <n v="37.72"/>
    <x v="4"/>
    <x v="1"/>
    <x v="4"/>
    <x v="2"/>
    <s v="2"/>
    <s v="5"/>
    <s v="2024-05-28"/>
    <d v="1899-12-30T14:10:54"/>
    <x v="0"/>
  </r>
  <r>
    <s v="16"/>
    <s v="card"/>
    <n v="27.92"/>
    <x v="5"/>
    <x v="1"/>
    <x v="4"/>
    <x v="2"/>
    <s v="2"/>
    <s v="5"/>
    <s v="2024-05-28"/>
    <d v="1899-12-30T16:25:39"/>
    <x v="0"/>
  </r>
  <r>
    <s v="19"/>
    <s v="card"/>
    <n v="27.92"/>
    <x v="2"/>
    <x v="2"/>
    <x v="4"/>
    <x v="2"/>
    <s v="2"/>
    <s v="5"/>
    <s v="2024-05-28"/>
    <d v="1899-12-30T19:09:29"/>
    <x v="0"/>
  </r>
  <r>
    <s v="19"/>
    <s v="card"/>
    <n v="37.72"/>
    <x v="0"/>
    <x v="2"/>
    <x v="4"/>
    <x v="2"/>
    <s v="2"/>
    <s v="5"/>
    <s v="2024-05-28"/>
    <d v="1899-12-30T19:10:31"/>
    <x v="0"/>
  </r>
  <r>
    <s v="20"/>
    <s v="card"/>
    <n v="32.82"/>
    <x v="3"/>
    <x v="2"/>
    <x v="4"/>
    <x v="2"/>
    <s v="2"/>
    <s v="5"/>
    <s v="2024-05-28"/>
    <d v="1899-12-30T20:24:32"/>
    <x v="0"/>
  </r>
  <r>
    <s v="20"/>
    <s v="card"/>
    <n v="27.92"/>
    <x v="2"/>
    <x v="2"/>
    <x v="4"/>
    <x v="2"/>
    <s v="2"/>
    <s v="5"/>
    <s v="2024-05-28"/>
    <d v="1899-12-30T20:50:19"/>
    <x v="0"/>
  </r>
  <r>
    <s v="9"/>
    <s v="card"/>
    <n v="37.72"/>
    <x v="0"/>
    <x v="0"/>
    <x v="5"/>
    <x v="2"/>
    <s v="3"/>
    <s v="5"/>
    <s v="2024-05-29"/>
    <d v="1899-12-30T09:14:44"/>
    <x v="0"/>
  </r>
  <r>
    <s v="11"/>
    <s v="card"/>
    <n v="37.72"/>
    <x v="1"/>
    <x v="0"/>
    <x v="5"/>
    <x v="2"/>
    <s v="3"/>
    <s v="5"/>
    <s v="2024-05-29"/>
    <d v="1899-12-30T11:14:03"/>
    <x v="0"/>
  </r>
  <r>
    <s v="15"/>
    <s v="card"/>
    <n v="27.92"/>
    <x v="2"/>
    <x v="1"/>
    <x v="5"/>
    <x v="2"/>
    <s v="3"/>
    <s v="5"/>
    <s v="2024-05-29"/>
    <d v="1899-12-30T15:10:49"/>
    <x v="0"/>
  </r>
  <r>
    <s v="15"/>
    <s v="card"/>
    <n v="37.72"/>
    <x v="0"/>
    <x v="1"/>
    <x v="5"/>
    <x v="2"/>
    <s v="3"/>
    <s v="5"/>
    <s v="2024-05-29"/>
    <d v="1899-12-30T15:22:56"/>
    <x v="0"/>
  </r>
  <r>
    <s v="15"/>
    <s v="card"/>
    <n v="37.72"/>
    <x v="7"/>
    <x v="1"/>
    <x v="5"/>
    <x v="2"/>
    <s v="3"/>
    <s v="5"/>
    <s v="2024-05-29"/>
    <d v="1899-12-30T15:45:13"/>
    <x v="0"/>
  </r>
  <r>
    <s v="16"/>
    <s v="card"/>
    <n v="37.72"/>
    <x v="0"/>
    <x v="1"/>
    <x v="5"/>
    <x v="2"/>
    <s v="3"/>
    <s v="5"/>
    <s v="2024-05-29"/>
    <d v="1899-12-30T16:45:04"/>
    <x v="0"/>
  </r>
  <r>
    <s v="18"/>
    <s v="card"/>
    <n v="27.92"/>
    <x v="5"/>
    <x v="2"/>
    <x v="5"/>
    <x v="2"/>
    <s v="3"/>
    <s v="5"/>
    <s v="2024-05-29"/>
    <d v="1899-12-30T18:24:03"/>
    <x v="0"/>
  </r>
  <r>
    <s v="18"/>
    <s v="card"/>
    <n v="37.72"/>
    <x v="0"/>
    <x v="2"/>
    <x v="5"/>
    <x v="2"/>
    <s v="3"/>
    <s v="5"/>
    <s v="2024-05-29"/>
    <d v="1899-12-30T18:24:59"/>
    <x v="0"/>
  </r>
  <r>
    <s v="20"/>
    <s v="card"/>
    <n v="37.72"/>
    <x v="1"/>
    <x v="2"/>
    <x v="5"/>
    <x v="2"/>
    <s v="3"/>
    <s v="5"/>
    <s v="2024-05-29"/>
    <d v="1899-12-30T20:30:42"/>
    <x v="0"/>
  </r>
  <r>
    <s v="20"/>
    <s v="card"/>
    <n v="37.72"/>
    <x v="4"/>
    <x v="2"/>
    <x v="5"/>
    <x v="2"/>
    <s v="3"/>
    <s v="5"/>
    <s v="2024-05-29"/>
    <d v="1899-12-30T20:32:35"/>
    <x v="0"/>
  </r>
  <r>
    <s v="8"/>
    <s v="card"/>
    <n v="37.72"/>
    <x v="7"/>
    <x v="0"/>
    <x v="6"/>
    <x v="2"/>
    <s v="4"/>
    <s v="5"/>
    <s v="2024-05-30"/>
    <d v="1899-12-30T08:29:06"/>
    <x v="0"/>
  </r>
  <r>
    <s v="8"/>
    <s v="card"/>
    <n v="37.72"/>
    <x v="0"/>
    <x v="0"/>
    <x v="6"/>
    <x v="2"/>
    <s v="4"/>
    <s v="5"/>
    <s v="2024-05-30"/>
    <d v="1899-12-30T08:30:22"/>
    <x v="0"/>
  </r>
  <r>
    <s v="8"/>
    <s v="card"/>
    <n v="32.82"/>
    <x v="3"/>
    <x v="0"/>
    <x v="6"/>
    <x v="2"/>
    <s v="4"/>
    <s v="5"/>
    <s v="2024-05-30"/>
    <d v="1899-12-30T08:37:05"/>
    <x v="0"/>
  </r>
  <r>
    <s v="9"/>
    <s v="card"/>
    <n v="37.72"/>
    <x v="0"/>
    <x v="0"/>
    <x v="6"/>
    <x v="2"/>
    <s v="4"/>
    <s v="5"/>
    <s v="2024-05-30"/>
    <d v="1899-12-30T09:47:59"/>
    <x v="0"/>
  </r>
  <r>
    <s v="14"/>
    <s v="card"/>
    <n v="32.82"/>
    <x v="3"/>
    <x v="1"/>
    <x v="6"/>
    <x v="2"/>
    <s v="4"/>
    <s v="5"/>
    <s v="2024-05-30"/>
    <d v="1899-12-30T14:56:15"/>
    <x v="0"/>
  </r>
  <r>
    <s v="15"/>
    <s v="card"/>
    <n v="23.02"/>
    <x v="6"/>
    <x v="1"/>
    <x v="6"/>
    <x v="2"/>
    <s v="4"/>
    <s v="5"/>
    <s v="2024-05-30"/>
    <d v="1899-12-30T15:16:16"/>
    <x v="0"/>
  </r>
  <r>
    <s v="15"/>
    <s v="card"/>
    <n v="23.02"/>
    <x v="6"/>
    <x v="1"/>
    <x v="6"/>
    <x v="2"/>
    <s v="4"/>
    <s v="5"/>
    <s v="2024-05-30"/>
    <d v="1899-12-30T15:17:39"/>
    <x v="0"/>
  </r>
  <r>
    <s v="19"/>
    <s v="card"/>
    <n v="37.72"/>
    <x v="7"/>
    <x v="2"/>
    <x v="6"/>
    <x v="2"/>
    <s v="4"/>
    <s v="5"/>
    <s v="2024-05-30"/>
    <d v="1899-12-30T19:53:11"/>
    <x v="0"/>
  </r>
  <r>
    <s v="20"/>
    <s v="card"/>
    <n v="37.72"/>
    <x v="0"/>
    <x v="2"/>
    <x v="6"/>
    <x v="2"/>
    <s v="4"/>
    <s v="5"/>
    <s v="2024-05-30"/>
    <d v="1899-12-30T20:31:05"/>
    <x v="0"/>
  </r>
  <r>
    <s v="20"/>
    <s v="card"/>
    <n v="37.72"/>
    <x v="1"/>
    <x v="2"/>
    <x v="6"/>
    <x v="2"/>
    <s v="4"/>
    <s v="5"/>
    <s v="2024-05-30"/>
    <d v="1899-12-30T20:46:14"/>
    <x v="0"/>
  </r>
  <r>
    <s v="20"/>
    <s v="card"/>
    <n v="32.82"/>
    <x v="3"/>
    <x v="2"/>
    <x v="6"/>
    <x v="2"/>
    <s v="4"/>
    <s v="5"/>
    <s v="2024-05-30"/>
    <d v="1899-12-30T20:47:22"/>
    <x v="0"/>
  </r>
  <r>
    <s v="7"/>
    <s v="card"/>
    <n v="32.82"/>
    <x v="3"/>
    <x v="0"/>
    <x v="0"/>
    <x v="2"/>
    <s v="5"/>
    <s v="5"/>
    <s v="2024-05-31"/>
    <d v="1899-12-30T07:53:57"/>
    <x v="0"/>
  </r>
  <r>
    <s v="9"/>
    <s v="card"/>
    <n v="37.72"/>
    <x v="0"/>
    <x v="0"/>
    <x v="0"/>
    <x v="2"/>
    <s v="5"/>
    <s v="5"/>
    <s v="2024-05-31"/>
    <d v="1899-12-30T09:21:08"/>
    <x v="0"/>
  </r>
  <r>
    <s v="10"/>
    <s v="card"/>
    <n v="37.72"/>
    <x v="1"/>
    <x v="0"/>
    <x v="0"/>
    <x v="2"/>
    <s v="5"/>
    <s v="5"/>
    <s v="2024-05-31"/>
    <d v="1899-12-30T10:38:08"/>
    <x v="0"/>
  </r>
  <r>
    <s v="10"/>
    <s v="card"/>
    <n v="37.72"/>
    <x v="4"/>
    <x v="0"/>
    <x v="0"/>
    <x v="2"/>
    <s v="5"/>
    <s v="5"/>
    <s v="2024-05-31"/>
    <d v="1899-12-30T10:39:06"/>
    <x v="0"/>
  </r>
  <r>
    <s v="14"/>
    <s v="card"/>
    <n v="32.82"/>
    <x v="3"/>
    <x v="1"/>
    <x v="0"/>
    <x v="2"/>
    <s v="5"/>
    <s v="5"/>
    <s v="2024-05-31"/>
    <d v="1899-12-30T14:50:13"/>
    <x v="0"/>
  </r>
  <r>
    <s v="18"/>
    <s v="card"/>
    <n v="37.72"/>
    <x v="0"/>
    <x v="2"/>
    <x v="0"/>
    <x v="2"/>
    <s v="5"/>
    <s v="5"/>
    <s v="2024-05-31"/>
    <d v="1899-12-30T18:23:45"/>
    <x v="0"/>
  </r>
  <r>
    <s v="18"/>
    <s v="card"/>
    <n v="37.72"/>
    <x v="0"/>
    <x v="2"/>
    <x v="0"/>
    <x v="2"/>
    <s v="5"/>
    <s v="5"/>
    <s v="2024-05-31"/>
    <d v="1899-12-30T18:25:03"/>
    <x v="0"/>
  </r>
  <r>
    <s v="20"/>
    <s v="card"/>
    <n v="37.72"/>
    <x v="7"/>
    <x v="2"/>
    <x v="0"/>
    <x v="2"/>
    <s v="5"/>
    <s v="5"/>
    <s v="2024-05-31"/>
    <d v="1899-12-30T20:06:39"/>
    <x v="0"/>
  </r>
  <r>
    <s v="20"/>
    <s v="card"/>
    <n v="32.82"/>
    <x v="3"/>
    <x v="2"/>
    <x v="0"/>
    <x v="2"/>
    <s v="5"/>
    <s v="5"/>
    <s v="2024-05-31"/>
    <d v="1899-12-30T20:33:06"/>
    <x v="0"/>
  </r>
  <r>
    <s v="20"/>
    <s v="card"/>
    <n v="37.72"/>
    <x v="0"/>
    <x v="2"/>
    <x v="0"/>
    <x v="2"/>
    <s v="5"/>
    <s v="5"/>
    <s v="2024-05-31"/>
    <d v="1899-12-30T20:34:33"/>
    <x v="0"/>
  </r>
  <r>
    <s v="22"/>
    <s v="card"/>
    <n v="37.72"/>
    <x v="7"/>
    <x v="2"/>
    <x v="0"/>
    <x v="2"/>
    <s v="5"/>
    <s v="5"/>
    <s v="2024-05-31"/>
    <d v="1899-12-30T22:05:47"/>
    <x v="0"/>
  </r>
  <r>
    <s v="22"/>
    <s v="card"/>
    <n v="32.82"/>
    <x v="3"/>
    <x v="2"/>
    <x v="0"/>
    <x v="2"/>
    <s v="5"/>
    <s v="5"/>
    <s v="2024-05-31"/>
    <d v="1899-12-30T22:06:52"/>
    <x v="0"/>
  </r>
  <r>
    <s v="22"/>
    <s v="card"/>
    <n v="27.92"/>
    <x v="5"/>
    <x v="2"/>
    <x v="0"/>
    <x v="2"/>
    <s v="5"/>
    <s v="5"/>
    <s v="2024-05-31"/>
    <d v="1899-12-30T22:07:55"/>
    <x v="0"/>
  </r>
  <r>
    <s v="8"/>
    <s v="card"/>
    <n v="27.92"/>
    <x v="5"/>
    <x v="0"/>
    <x v="1"/>
    <x v="3"/>
    <s v="6"/>
    <s v="6"/>
    <s v="2024-06-01"/>
    <d v="1899-12-30T08:27:02"/>
    <x v="0"/>
  </r>
  <r>
    <s v="9"/>
    <s v="card"/>
    <n v="37.72"/>
    <x v="0"/>
    <x v="0"/>
    <x v="1"/>
    <x v="3"/>
    <s v="6"/>
    <s v="6"/>
    <s v="2024-06-01"/>
    <d v="1899-12-30T09:48:25"/>
    <x v="0"/>
  </r>
  <r>
    <s v="11"/>
    <s v="card"/>
    <n v="37.72"/>
    <x v="0"/>
    <x v="0"/>
    <x v="1"/>
    <x v="3"/>
    <s v="6"/>
    <s v="6"/>
    <s v="2024-06-01"/>
    <d v="1899-12-30T11:38:09"/>
    <x v="0"/>
  </r>
  <r>
    <s v="14"/>
    <s v="card"/>
    <n v="32.82"/>
    <x v="3"/>
    <x v="1"/>
    <x v="1"/>
    <x v="3"/>
    <s v="6"/>
    <s v="6"/>
    <s v="2024-06-01"/>
    <d v="1899-12-30T14:28:54"/>
    <x v="0"/>
  </r>
  <r>
    <s v="18"/>
    <s v="card"/>
    <n v="32.82"/>
    <x v="3"/>
    <x v="2"/>
    <x v="1"/>
    <x v="3"/>
    <s v="6"/>
    <s v="6"/>
    <s v="2024-06-01"/>
    <d v="1899-12-30T18:20:13"/>
    <x v="0"/>
  </r>
  <r>
    <s v="18"/>
    <s v="card"/>
    <n v="32.82"/>
    <x v="3"/>
    <x v="2"/>
    <x v="1"/>
    <x v="3"/>
    <s v="6"/>
    <s v="6"/>
    <s v="2024-06-01"/>
    <d v="1899-12-30T18:21:15"/>
    <x v="0"/>
  </r>
  <r>
    <s v="20"/>
    <s v="card"/>
    <n v="37.72"/>
    <x v="7"/>
    <x v="2"/>
    <x v="1"/>
    <x v="3"/>
    <s v="6"/>
    <s v="6"/>
    <s v="2024-06-01"/>
    <d v="1899-12-30T20:50:10"/>
    <x v="0"/>
  </r>
  <r>
    <s v="20"/>
    <s v="card"/>
    <n v="37.72"/>
    <x v="7"/>
    <x v="2"/>
    <x v="1"/>
    <x v="3"/>
    <s v="6"/>
    <s v="6"/>
    <s v="2024-06-01"/>
    <d v="1899-12-30T20:51:14"/>
    <x v="0"/>
  </r>
  <r>
    <s v="20"/>
    <s v="card"/>
    <n v="37.72"/>
    <x v="4"/>
    <x v="2"/>
    <x v="1"/>
    <x v="3"/>
    <s v="6"/>
    <s v="6"/>
    <s v="2024-06-01"/>
    <d v="1899-12-30T20:59:10"/>
    <x v="0"/>
  </r>
  <r>
    <s v="21"/>
    <s v="card"/>
    <n v="32.82"/>
    <x v="3"/>
    <x v="2"/>
    <x v="1"/>
    <x v="3"/>
    <s v="6"/>
    <s v="6"/>
    <s v="2024-06-01"/>
    <d v="1899-12-30T21:51:05"/>
    <x v="0"/>
  </r>
  <r>
    <s v="20"/>
    <s v="card"/>
    <n v="37.72"/>
    <x v="0"/>
    <x v="2"/>
    <x v="2"/>
    <x v="3"/>
    <s v="7"/>
    <s v="6"/>
    <s v="2024-06-02"/>
    <d v="1899-12-30T20:03:26"/>
    <x v="0"/>
  </r>
  <r>
    <s v="20"/>
    <s v="card"/>
    <n v="32.82"/>
    <x v="3"/>
    <x v="2"/>
    <x v="2"/>
    <x v="3"/>
    <s v="7"/>
    <s v="6"/>
    <s v="2024-06-02"/>
    <d v="1899-12-30T20:24:02"/>
    <x v="0"/>
  </r>
  <r>
    <s v="20"/>
    <s v="card"/>
    <n v="37.72"/>
    <x v="7"/>
    <x v="2"/>
    <x v="2"/>
    <x v="3"/>
    <s v="7"/>
    <s v="6"/>
    <s v="2024-06-02"/>
    <d v="1899-12-30T20:25:07"/>
    <x v="0"/>
  </r>
  <r>
    <s v="21"/>
    <s v="card"/>
    <n v="32.82"/>
    <x v="3"/>
    <x v="2"/>
    <x v="2"/>
    <x v="3"/>
    <s v="7"/>
    <s v="6"/>
    <s v="2024-06-02"/>
    <d v="1899-12-30T21:07:21"/>
    <x v="0"/>
  </r>
  <r>
    <s v="21"/>
    <s v="card"/>
    <n v="37.72"/>
    <x v="0"/>
    <x v="2"/>
    <x v="2"/>
    <x v="3"/>
    <s v="7"/>
    <s v="6"/>
    <s v="2024-06-02"/>
    <d v="1899-12-30T21:30:12"/>
    <x v="0"/>
  </r>
  <r>
    <s v="10"/>
    <s v="card"/>
    <n v="37.72"/>
    <x v="0"/>
    <x v="0"/>
    <x v="3"/>
    <x v="3"/>
    <s v="1"/>
    <s v="6"/>
    <s v="2024-06-03"/>
    <d v="1899-12-30T10:12:04"/>
    <x v="0"/>
  </r>
  <r>
    <s v="10"/>
    <s v="card"/>
    <n v="37.72"/>
    <x v="0"/>
    <x v="0"/>
    <x v="3"/>
    <x v="3"/>
    <s v="1"/>
    <s v="6"/>
    <s v="2024-06-03"/>
    <d v="1899-12-30T10:27:50"/>
    <x v="0"/>
  </r>
  <r>
    <s v="14"/>
    <s v="card"/>
    <n v="37.72"/>
    <x v="7"/>
    <x v="1"/>
    <x v="3"/>
    <x v="3"/>
    <s v="1"/>
    <s v="6"/>
    <s v="2024-06-03"/>
    <d v="1899-12-30T14:31:42"/>
    <x v="0"/>
  </r>
  <r>
    <s v="14"/>
    <s v="card"/>
    <n v="32.82"/>
    <x v="3"/>
    <x v="1"/>
    <x v="3"/>
    <x v="3"/>
    <s v="1"/>
    <s v="6"/>
    <s v="2024-06-03"/>
    <d v="1899-12-30T14:33:01"/>
    <x v="0"/>
  </r>
  <r>
    <s v="14"/>
    <s v="card"/>
    <n v="37.72"/>
    <x v="0"/>
    <x v="1"/>
    <x v="3"/>
    <x v="3"/>
    <s v="1"/>
    <s v="6"/>
    <s v="2024-06-03"/>
    <d v="1899-12-30T14:34:07"/>
    <x v="0"/>
  </r>
  <r>
    <s v="9"/>
    <s v="card"/>
    <n v="27.92"/>
    <x v="5"/>
    <x v="0"/>
    <x v="4"/>
    <x v="3"/>
    <s v="2"/>
    <s v="6"/>
    <s v="2024-06-04"/>
    <d v="1899-12-30T09:23:43"/>
    <x v="0"/>
  </r>
  <r>
    <s v="10"/>
    <s v="card"/>
    <n v="32.82"/>
    <x v="3"/>
    <x v="0"/>
    <x v="4"/>
    <x v="3"/>
    <s v="2"/>
    <s v="6"/>
    <s v="2024-06-04"/>
    <d v="1899-12-30T10:27:14"/>
    <x v="0"/>
  </r>
  <r>
    <s v="12"/>
    <s v="card"/>
    <n v="37.72"/>
    <x v="0"/>
    <x v="1"/>
    <x v="4"/>
    <x v="3"/>
    <s v="2"/>
    <s v="6"/>
    <s v="2024-06-04"/>
    <d v="1899-12-30T12:02:10"/>
    <x v="0"/>
  </r>
  <r>
    <s v="12"/>
    <s v="card"/>
    <n v="37.72"/>
    <x v="1"/>
    <x v="1"/>
    <x v="4"/>
    <x v="3"/>
    <s v="2"/>
    <s v="6"/>
    <s v="2024-06-04"/>
    <d v="1899-12-30T12:05:29"/>
    <x v="0"/>
  </r>
  <r>
    <s v="15"/>
    <s v="card"/>
    <n v="37.72"/>
    <x v="0"/>
    <x v="1"/>
    <x v="4"/>
    <x v="3"/>
    <s v="2"/>
    <s v="6"/>
    <s v="2024-06-04"/>
    <d v="1899-12-30T15:30:32"/>
    <x v="0"/>
  </r>
  <r>
    <s v="17"/>
    <s v="card"/>
    <n v="27.92"/>
    <x v="5"/>
    <x v="2"/>
    <x v="4"/>
    <x v="3"/>
    <s v="2"/>
    <s v="6"/>
    <s v="2024-06-04"/>
    <d v="1899-12-30T17:46:37"/>
    <x v="0"/>
  </r>
  <r>
    <s v="17"/>
    <s v="card"/>
    <n v="37.72"/>
    <x v="7"/>
    <x v="2"/>
    <x v="4"/>
    <x v="3"/>
    <s v="2"/>
    <s v="6"/>
    <s v="2024-06-04"/>
    <d v="1899-12-30T17:47:29"/>
    <x v="0"/>
  </r>
  <r>
    <s v="20"/>
    <s v="card"/>
    <n v="37.72"/>
    <x v="1"/>
    <x v="2"/>
    <x v="4"/>
    <x v="3"/>
    <s v="2"/>
    <s v="6"/>
    <s v="2024-06-04"/>
    <d v="1899-12-30T20:13:01"/>
    <x v="0"/>
  </r>
  <r>
    <s v="20"/>
    <s v="card"/>
    <n v="37.72"/>
    <x v="7"/>
    <x v="2"/>
    <x v="4"/>
    <x v="3"/>
    <s v="2"/>
    <s v="6"/>
    <s v="2024-06-04"/>
    <d v="1899-12-30T20:50:34"/>
    <x v="0"/>
  </r>
  <r>
    <s v="21"/>
    <s v="card"/>
    <n v="27.92"/>
    <x v="5"/>
    <x v="2"/>
    <x v="4"/>
    <x v="3"/>
    <s v="2"/>
    <s v="6"/>
    <s v="2024-06-04"/>
    <d v="1899-12-30T21:31:59"/>
    <x v="0"/>
  </r>
  <r>
    <s v="21"/>
    <s v="card"/>
    <n v="32.82"/>
    <x v="3"/>
    <x v="2"/>
    <x v="4"/>
    <x v="3"/>
    <s v="2"/>
    <s v="6"/>
    <s v="2024-06-04"/>
    <d v="1899-12-30T21:33:03"/>
    <x v="0"/>
  </r>
  <r>
    <s v="21"/>
    <s v="card"/>
    <n v="32.82"/>
    <x v="3"/>
    <x v="2"/>
    <x v="4"/>
    <x v="3"/>
    <s v="2"/>
    <s v="6"/>
    <s v="2024-06-04"/>
    <d v="1899-12-30T21:34:56"/>
    <x v="0"/>
  </r>
  <r>
    <s v="21"/>
    <s v="card"/>
    <n v="32.82"/>
    <x v="3"/>
    <x v="2"/>
    <x v="4"/>
    <x v="3"/>
    <s v="2"/>
    <s v="6"/>
    <s v="2024-06-04"/>
    <d v="1899-12-30T21:36:07"/>
    <x v="0"/>
  </r>
  <r>
    <s v="21"/>
    <s v="card"/>
    <n v="32.82"/>
    <x v="3"/>
    <x v="2"/>
    <x v="4"/>
    <x v="3"/>
    <s v="2"/>
    <s v="6"/>
    <s v="2024-06-04"/>
    <d v="1899-12-30T21:37:15"/>
    <x v="0"/>
  </r>
  <r>
    <s v="8"/>
    <s v="card"/>
    <n v="37.72"/>
    <x v="7"/>
    <x v="0"/>
    <x v="5"/>
    <x v="3"/>
    <s v="3"/>
    <s v="6"/>
    <s v="2024-06-05"/>
    <d v="1899-12-30T08:21:49"/>
    <x v="0"/>
  </r>
  <r>
    <s v="8"/>
    <s v="card"/>
    <n v="37.72"/>
    <x v="7"/>
    <x v="0"/>
    <x v="5"/>
    <x v="3"/>
    <s v="3"/>
    <s v="6"/>
    <s v="2024-06-05"/>
    <d v="1899-12-30T08:23:07"/>
    <x v="0"/>
  </r>
  <r>
    <s v="9"/>
    <s v="card"/>
    <n v="27.92"/>
    <x v="2"/>
    <x v="0"/>
    <x v="5"/>
    <x v="3"/>
    <s v="3"/>
    <s v="6"/>
    <s v="2024-06-05"/>
    <d v="1899-12-30T09:22:43"/>
    <x v="0"/>
  </r>
  <r>
    <s v="10"/>
    <s v="card"/>
    <n v="37.72"/>
    <x v="0"/>
    <x v="0"/>
    <x v="5"/>
    <x v="3"/>
    <s v="3"/>
    <s v="6"/>
    <s v="2024-06-05"/>
    <d v="1899-12-30T10:28:51"/>
    <x v="0"/>
  </r>
  <r>
    <s v="10"/>
    <s v="card"/>
    <n v="32.82"/>
    <x v="3"/>
    <x v="0"/>
    <x v="5"/>
    <x v="3"/>
    <s v="3"/>
    <s v="6"/>
    <s v="2024-06-05"/>
    <d v="1899-12-30T10:40:53"/>
    <x v="0"/>
  </r>
  <r>
    <s v="19"/>
    <s v="card"/>
    <n v="32.82"/>
    <x v="3"/>
    <x v="2"/>
    <x v="5"/>
    <x v="3"/>
    <s v="3"/>
    <s v="6"/>
    <s v="2024-06-05"/>
    <d v="1899-12-30T19:43:58"/>
    <x v="0"/>
  </r>
  <r>
    <s v="19"/>
    <s v="card"/>
    <n v="37.72"/>
    <x v="0"/>
    <x v="2"/>
    <x v="5"/>
    <x v="3"/>
    <s v="3"/>
    <s v="6"/>
    <s v="2024-06-05"/>
    <d v="1899-12-30T19:59:54"/>
    <x v="0"/>
  </r>
  <r>
    <s v="20"/>
    <s v="card"/>
    <n v="37.72"/>
    <x v="4"/>
    <x v="2"/>
    <x v="5"/>
    <x v="3"/>
    <s v="3"/>
    <s v="6"/>
    <s v="2024-06-05"/>
    <d v="1899-12-30T20:10:48"/>
    <x v="0"/>
  </r>
  <r>
    <s v="20"/>
    <s v="card"/>
    <n v="27.92"/>
    <x v="5"/>
    <x v="2"/>
    <x v="5"/>
    <x v="3"/>
    <s v="3"/>
    <s v="6"/>
    <s v="2024-06-05"/>
    <d v="1899-12-30T20:12:02"/>
    <x v="0"/>
  </r>
  <r>
    <s v="8"/>
    <s v="card"/>
    <n v="32.82"/>
    <x v="3"/>
    <x v="0"/>
    <x v="6"/>
    <x v="3"/>
    <s v="4"/>
    <s v="6"/>
    <s v="2024-06-06"/>
    <d v="1899-12-30T08:52:56"/>
    <x v="0"/>
  </r>
  <r>
    <s v="8"/>
    <s v="card"/>
    <n v="32.82"/>
    <x v="3"/>
    <x v="0"/>
    <x v="6"/>
    <x v="3"/>
    <s v="4"/>
    <s v="6"/>
    <s v="2024-06-06"/>
    <d v="1899-12-30T08:54:08"/>
    <x v="0"/>
  </r>
  <r>
    <s v="10"/>
    <s v="card"/>
    <n v="37.72"/>
    <x v="0"/>
    <x v="0"/>
    <x v="6"/>
    <x v="3"/>
    <s v="4"/>
    <s v="6"/>
    <s v="2024-06-06"/>
    <d v="1899-12-30T10:36:10"/>
    <x v="0"/>
  </r>
  <r>
    <s v="12"/>
    <s v="card"/>
    <n v="27.92"/>
    <x v="2"/>
    <x v="1"/>
    <x v="6"/>
    <x v="3"/>
    <s v="4"/>
    <s v="6"/>
    <s v="2024-06-06"/>
    <d v="1899-12-30T12:17:41"/>
    <x v="0"/>
  </r>
  <r>
    <s v="15"/>
    <s v="card"/>
    <n v="32.82"/>
    <x v="3"/>
    <x v="1"/>
    <x v="6"/>
    <x v="3"/>
    <s v="4"/>
    <s v="6"/>
    <s v="2024-06-06"/>
    <d v="1899-12-30T15:11:14"/>
    <x v="0"/>
  </r>
  <r>
    <s v="15"/>
    <s v="card"/>
    <n v="37.72"/>
    <x v="7"/>
    <x v="1"/>
    <x v="6"/>
    <x v="3"/>
    <s v="4"/>
    <s v="6"/>
    <s v="2024-06-06"/>
    <d v="1899-12-30T15:24:06"/>
    <x v="0"/>
  </r>
  <r>
    <s v="21"/>
    <s v="card"/>
    <n v="37.72"/>
    <x v="0"/>
    <x v="2"/>
    <x v="6"/>
    <x v="3"/>
    <s v="4"/>
    <s v="6"/>
    <s v="2024-06-06"/>
    <d v="1899-12-30T21:14:05"/>
    <x v="0"/>
  </r>
  <r>
    <s v="21"/>
    <s v="card"/>
    <n v="37.72"/>
    <x v="0"/>
    <x v="2"/>
    <x v="6"/>
    <x v="3"/>
    <s v="4"/>
    <s v="6"/>
    <s v="2024-06-06"/>
    <d v="1899-12-30T21:15:42"/>
    <x v="0"/>
  </r>
  <r>
    <s v="21"/>
    <s v="card"/>
    <n v="37.72"/>
    <x v="7"/>
    <x v="2"/>
    <x v="6"/>
    <x v="3"/>
    <s v="4"/>
    <s v="6"/>
    <s v="2024-06-06"/>
    <d v="1899-12-30T21:18:27"/>
    <x v="0"/>
  </r>
  <r>
    <s v="21"/>
    <s v="card"/>
    <n v="32.82"/>
    <x v="3"/>
    <x v="2"/>
    <x v="6"/>
    <x v="3"/>
    <s v="4"/>
    <s v="6"/>
    <s v="2024-06-06"/>
    <d v="1899-12-30T21:19:30"/>
    <x v="0"/>
  </r>
  <r>
    <s v="21"/>
    <s v="card"/>
    <n v="37.72"/>
    <x v="0"/>
    <x v="2"/>
    <x v="6"/>
    <x v="3"/>
    <s v="4"/>
    <s v="6"/>
    <s v="2024-06-06"/>
    <d v="1899-12-30T21:21:04"/>
    <x v="0"/>
  </r>
  <r>
    <s v="8"/>
    <s v="card"/>
    <n v="37.72"/>
    <x v="7"/>
    <x v="0"/>
    <x v="0"/>
    <x v="3"/>
    <s v="5"/>
    <s v="6"/>
    <s v="2024-06-07"/>
    <d v="1899-12-30T08:18:04"/>
    <x v="0"/>
  </r>
  <r>
    <s v="10"/>
    <s v="card"/>
    <n v="23.02"/>
    <x v="6"/>
    <x v="0"/>
    <x v="0"/>
    <x v="3"/>
    <s v="5"/>
    <s v="6"/>
    <s v="2024-06-07"/>
    <d v="1899-12-30T10:35:28"/>
    <x v="0"/>
  </r>
  <r>
    <s v="13"/>
    <s v="card"/>
    <n v="32.82"/>
    <x v="3"/>
    <x v="1"/>
    <x v="0"/>
    <x v="3"/>
    <s v="5"/>
    <s v="6"/>
    <s v="2024-06-07"/>
    <d v="1899-12-30T13:34:18"/>
    <x v="0"/>
  </r>
  <r>
    <s v="16"/>
    <s v="card"/>
    <n v="27.92"/>
    <x v="5"/>
    <x v="1"/>
    <x v="0"/>
    <x v="3"/>
    <s v="5"/>
    <s v="6"/>
    <s v="2024-06-07"/>
    <d v="1899-12-30T16:45:42"/>
    <x v="0"/>
  </r>
  <r>
    <s v="16"/>
    <s v="card"/>
    <n v="27.92"/>
    <x v="5"/>
    <x v="1"/>
    <x v="0"/>
    <x v="3"/>
    <s v="5"/>
    <s v="6"/>
    <s v="2024-06-07"/>
    <d v="1899-12-30T16:47:15"/>
    <x v="0"/>
  </r>
  <r>
    <s v="9"/>
    <s v="card"/>
    <n v="27.92"/>
    <x v="5"/>
    <x v="0"/>
    <x v="1"/>
    <x v="3"/>
    <s v="6"/>
    <s v="6"/>
    <s v="2024-06-08"/>
    <d v="1899-12-30T09:04:20"/>
    <x v="0"/>
  </r>
  <r>
    <s v="9"/>
    <s v="card"/>
    <n v="32.82"/>
    <x v="3"/>
    <x v="0"/>
    <x v="1"/>
    <x v="3"/>
    <s v="6"/>
    <s v="6"/>
    <s v="2024-06-08"/>
    <d v="1899-12-30T09:26:11"/>
    <x v="0"/>
  </r>
  <r>
    <s v="20"/>
    <s v="card"/>
    <n v="37.72"/>
    <x v="7"/>
    <x v="2"/>
    <x v="1"/>
    <x v="3"/>
    <s v="6"/>
    <s v="6"/>
    <s v="2024-06-08"/>
    <d v="1899-12-30T20:24:54"/>
    <x v="0"/>
  </r>
  <r>
    <s v="20"/>
    <s v="card"/>
    <n v="37.72"/>
    <x v="7"/>
    <x v="2"/>
    <x v="1"/>
    <x v="3"/>
    <s v="6"/>
    <s v="6"/>
    <s v="2024-06-08"/>
    <d v="1899-12-30T20:25:56"/>
    <x v="0"/>
  </r>
  <r>
    <s v="8"/>
    <s v="card"/>
    <n v="37.72"/>
    <x v="0"/>
    <x v="0"/>
    <x v="2"/>
    <x v="3"/>
    <s v="7"/>
    <s v="6"/>
    <s v="2024-06-09"/>
    <d v="1899-12-30T08:15:53"/>
    <x v="0"/>
  </r>
  <r>
    <s v="10"/>
    <s v="card"/>
    <n v="37.72"/>
    <x v="0"/>
    <x v="0"/>
    <x v="2"/>
    <x v="3"/>
    <s v="7"/>
    <s v="6"/>
    <s v="2024-06-09"/>
    <d v="1899-12-30T10:30:04"/>
    <x v="0"/>
  </r>
  <r>
    <s v="10"/>
    <s v="card"/>
    <n v="37.72"/>
    <x v="7"/>
    <x v="0"/>
    <x v="2"/>
    <x v="3"/>
    <s v="7"/>
    <s v="6"/>
    <s v="2024-06-09"/>
    <d v="1899-12-30T10:52:06"/>
    <x v="0"/>
  </r>
  <r>
    <s v="11"/>
    <s v="card"/>
    <n v="27.92"/>
    <x v="5"/>
    <x v="0"/>
    <x v="2"/>
    <x v="3"/>
    <s v="7"/>
    <s v="6"/>
    <s v="2024-06-09"/>
    <d v="1899-12-30T11:04:41"/>
    <x v="0"/>
  </r>
  <r>
    <s v="11"/>
    <s v="card"/>
    <n v="23.02"/>
    <x v="6"/>
    <x v="0"/>
    <x v="2"/>
    <x v="3"/>
    <s v="7"/>
    <s v="6"/>
    <s v="2024-06-09"/>
    <d v="1899-12-30T11:07:08"/>
    <x v="0"/>
  </r>
  <r>
    <s v="11"/>
    <s v="card"/>
    <n v="37.72"/>
    <x v="7"/>
    <x v="0"/>
    <x v="2"/>
    <x v="3"/>
    <s v="7"/>
    <s v="6"/>
    <s v="2024-06-09"/>
    <d v="1899-12-30T11:52:50"/>
    <x v="0"/>
  </r>
  <r>
    <s v="12"/>
    <s v="card"/>
    <n v="32.82"/>
    <x v="3"/>
    <x v="1"/>
    <x v="2"/>
    <x v="3"/>
    <s v="7"/>
    <s v="6"/>
    <s v="2024-06-09"/>
    <d v="1899-12-30T12:11:24"/>
    <x v="0"/>
  </r>
  <r>
    <s v="12"/>
    <s v="card"/>
    <n v="37.72"/>
    <x v="0"/>
    <x v="1"/>
    <x v="2"/>
    <x v="3"/>
    <s v="7"/>
    <s v="6"/>
    <s v="2024-06-09"/>
    <d v="1899-12-30T12:13:08"/>
    <x v="0"/>
  </r>
  <r>
    <s v="12"/>
    <s v="card"/>
    <n v="37.72"/>
    <x v="0"/>
    <x v="1"/>
    <x v="2"/>
    <x v="3"/>
    <s v="7"/>
    <s v="6"/>
    <s v="2024-06-09"/>
    <d v="1899-12-30T12:14:11"/>
    <x v="0"/>
  </r>
  <r>
    <s v="15"/>
    <s v="card"/>
    <n v="27.92"/>
    <x v="5"/>
    <x v="1"/>
    <x v="2"/>
    <x v="3"/>
    <s v="7"/>
    <s v="6"/>
    <s v="2024-06-09"/>
    <d v="1899-12-30T15:10:31"/>
    <x v="0"/>
  </r>
  <r>
    <s v="16"/>
    <s v="card"/>
    <n v="37.72"/>
    <x v="7"/>
    <x v="1"/>
    <x v="2"/>
    <x v="3"/>
    <s v="7"/>
    <s v="6"/>
    <s v="2024-06-09"/>
    <d v="1899-12-30T16:17:28"/>
    <x v="0"/>
  </r>
  <r>
    <s v="19"/>
    <s v="card"/>
    <n v="32.82"/>
    <x v="3"/>
    <x v="2"/>
    <x v="2"/>
    <x v="3"/>
    <s v="7"/>
    <s v="6"/>
    <s v="2024-06-09"/>
    <d v="1899-12-30T19:21:19"/>
    <x v="0"/>
  </r>
  <r>
    <s v="21"/>
    <s v="card"/>
    <n v="27.92"/>
    <x v="2"/>
    <x v="2"/>
    <x v="2"/>
    <x v="3"/>
    <s v="7"/>
    <s v="6"/>
    <s v="2024-06-09"/>
    <d v="1899-12-30T21:05:09"/>
    <x v="0"/>
  </r>
  <r>
    <s v="12"/>
    <s v="card"/>
    <n v="37.72"/>
    <x v="7"/>
    <x v="1"/>
    <x v="3"/>
    <x v="3"/>
    <s v="1"/>
    <s v="6"/>
    <s v="2024-06-10"/>
    <d v="1899-12-30T12:47:50"/>
    <x v="0"/>
  </r>
  <r>
    <s v="12"/>
    <s v="card"/>
    <n v="37.72"/>
    <x v="0"/>
    <x v="1"/>
    <x v="3"/>
    <x v="3"/>
    <s v="1"/>
    <s v="6"/>
    <s v="2024-06-10"/>
    <d v="1899-12-30T12:56:48"/>
    <x v="0"/>
  </r>
  <r>
    <s v="19"/>
    <s v="card"/>
    <n v="37.72"/>
    <x v="1"/>
    <x v="2"/>
    <x v="3"/>
    <x v="3"/>
    <s v="1"/>
    <s v="6"/>
    <s v="2024-06-10"/>
    <d v="1899-12-30T19:04:28"/>
    <x v="0"/>
  </r>
  <r>
    <s v="19"/>
    <s v="card"/>
    <n v="37.72"/>
    <x v="1"/>
    <x v="2"/>
    <x v="3"/>
    <x v="3"/>
    <s v="1"/>
    <s v="6"/>
    <s v="2024-06-10"/>
    <d v="1899-12-30T19:05:23"/>
    <x v="0"/>
  </r>
  <r>
    <s v="19"/>
    <s v="card"/>
    <n v="37.72"/>
    <x v="0"/>
    <x v="2"/>
    <x v="3"/>
    <x v="3"/>
    <s v="1"/>
    <s v="6"/>
    <s v="2024-06-10"/>
    <d v="1899-12-30T19:37:24"/>
    <x v="0"/>
  </r>
  <r>
    <s v="19"/>
    <s v="card"/>
    <n v="37.72"/>
    <x v="0"/>
    <x v="2"/>
    <x v="3"/>
    <x v="3"/>
    <s v="1"/>
    <s v="6"/>
    <s v="2024-06-10"/>
    <d v="1899-12-30T19:38:20"/>
    <x v="0"/>
  </r>
  <r>
    <s v="10"/>
    <s v="card"/>
    <n v="32.82"/>
    <x v="3"/>
    <x v="0"/>
    <x v="4"/>
    <x v="3"/>
    <s v="2"/>
    <s v="6"/>
    <s v="2024-06-11"/>
    <d v="1899-12-30T10:38:04"/>
    <x v="0"/>
  </r>
  <r>
    <s v="18"/>
    <s v="card"/>
    <n v="37.72"/>
    <x v="0"/>
    <x v="2"/>
    <x v="4"/>
    <x v="3"/>
    <s v="2"/>
    <s v="6"/>
    <s v="2024-06-11"/>
    <d v="1899-12-30T18:48:25"/>
    <x v="0"/>
  </r>
  <r>
    <s v="18"/>
    <s v="card"/>
    <n v="37.72"/>
    <x v="0"/>
    <x v="2"/>
    <x v="4"/>
    <x v="3"/>
    <s v="2"/>
    <s v="6"/>
    <s v="2024-06-11"/>
    <d v="1899-12-30T18:49:36"/>
    <x v="0"/>
  </r>
  <r>
    <s v="21"/>
    <s v="card"/>
    <n v="37.72"/>
    <x v="1"/>
    <x v="2"/>
    <x v="4"/>
    <x v="3"/>
    <s v="2"/>
    <s v="6"/>
    <s v="2024-06-11"/>
    <d v="1899-12-30T21:17:03"/>
    <x v="0"/>
  </r>
  <r>
    <s v="21"/>
    <s v="card"/>
    <n v="32.82"/>
    <x v="3"/>
    <x v="2"/>
    <x v="4"/>
    <x v="3"/>
    <s v="2"/>
    <s v="6"/>
    <s v="2024-06-11"/>
    <d v="1899-12-30T21:27:42"/>
    <x v="0"/>
  </r>
  <r>
    <s v="21"/>
    <s v="card"/>
    <n v="32.82"/>
    <x v="3"/>
    <x v="2"/>
    <x v="4"/>
    <x v="3"/>
    <s v="2"/>
    <s v="6"/>
    <s v="2024-06-11"/>
    <d v="1899-12-30T21:28:50"/>
    <x v="0"/>
  </r>
  <r>
    <s v="10"/>
    <s v="card"/>
    <n v="37.72"/>
    <x v="1"/>
    <x v="0"/>
    <x v="5"/>
    <x v="3"/>
    <s v="3"/>
    <s v="6"/>
    <s v="2024-06-12"/>
    <d v="1899-12-30T10:18:19"/>
    <x v="0"/>
  </r>
  <r>
    <s v="11"/>
    <s v="card"/>
    <n v="37.72"/>
    <x v="7"/>
    <x v="0"/>
    <x v="5"/>
    <x v="3"/>
    <s v="3"/>
    <s v="6"/>
    <s v="2024-06-12"/>
    <d v="1899-12-30T11:51:44"/>
    <x v="0"/>
  </r>
  <r>
    <s v="17"/>
    <s v="card"/>
    <n v="37.72"/>
    <x v="0"/>
    <x v="2"/>
    <x v="5"/>
    <x v="3"/>
    <s v="3"/>
    <s v="6"/>
    <s v="2024-06-12"/>
    <d v="1899-12-30T17:41:17"/>
    <x v="0"/>
  </r>
  <r>
    <s v="17"/>
    <s v="card"/>
    <n v="37.72"/>
    <x v="0"/>
    <x v="2"/>
    <x v="5"/>
    <x v="3"/>
    <s v="3"/>
    <s v="6"/>
    <s v="2024-06-12"/>
    <d v="1899-12-30T17:47:28"/>
    <x v="0"/>
  </r>
  <r>
    <s v="20"/>
    <s v="card"/>
    <n v="37.72"/>
    <x v="1"/>
    <x v="2"/>
    <x v="5"/>
    <x v="3"/>
    <s v="3"/>
    <s v="6"/>
    <s v="2024-06-12"/>
    <d v="1899-12-30T20:16:34"/>
    <x v="0"/>
  </r>
  <r>
    <s v="20"/>
    <s v="card"/>
    <n v="32.82"/>
    <x v="3"/>
    <x v="2"/>
    <x v="5"/>
    <x v="3"/>
    <s v="3"/>
    <s v="6"/>
    <s v="2024-06-12"/>
    <d v="1899-12-30T20:25:34"/>
    <x v="0"/>
  </r>
  <r>
    <s v="8"/>
    <s v="card"/>
    <n v="27.92"/>
    <x v="2"/>
    <x v="0"/>
    <x v="6"/>
    <x v="3"/>
    <s v="4"/>
    <s v="6"/>
    <s v="2024-06-13"/>
    <d v="1899-12-30T08:54:24"/>
    <x v="0"/>
  </r>
  <r>
    <s v="8"/>
    <s v="card"/>
    <n v="37.72"/>
    <x v="0"/>
    <x v="0"/>
    <x v="6"/>
    <x v="3"/>
    <s v="4"/>
    <s v="6"/>
    <s v="2024-06-13"/>
    <d v="1899-12-30T08:57:26"/>
    <x v="0"/>
  </r>
  <r>
    <s v="9"/>
    <s v="card"/>
    <n v="32.82"/>
    <x v="3"/>
    <x v="0"/>
    <x v="6"/>
    <x v="3"/>
    <s v="4"/>
    <s v="6"/>
    <s v="2024-06-13"/>
    <d v="1899-12-30T09:50:25"/>
    <x v="0"/>
  </r>
  <r>
    <s v="9"/>
    <s v="card"/>
    <n v="27.92"/>
    <x v="5"/>
    <x v="0"/>
    <x v="6"/>
    <x v="3"/>
    <s v="4"/>
    <s v="6"/>
    <s v="2024-06-13"/>
    <d v="1899-12-30T09:57:12"/>
    <x v="0"/>
  </r>
  <r>
    <s v="17"/>
    <s v="card"/>
    <n v="32.82"/>
    <x v="3"/>
    <x v="2"/>
    <x v="6"/>
    <x v="3"/>
    <s v="4"/>
    <s v="6"/>
    <s v="2024-06-13"/>
    <d v="1899-12-30T17:04:59"/>
    <x v="0"/>
  </r>
  <r>
    <s v="17"/>
    <s v="card"/>
    <n v="37.72"/>
    <x v="1"/>
    <x v="2"/>
    <x v="6"/>
    <x v="3"/>
    <s v="4"/>
    <s v="6"/>
    <s v="2024-06-13"/>
    <d v="1899-12-30T17:27:47"/>
    <x v="0"/>
  </r>
  <r>
    <s v="19"/>
    <s v="card"/>
    <n v="37.72"/>
    <x v="0"/>
    <x v="2"/>
    <x v="6"/>
    <x v="3"/>
    <s v="4"/>
    <s v="6"/>
    <s v="2024-06-13"/>
    <d v="1899-12-30T19:22:19"/>
    <x v="0"/>
  </r>
  <r>
    <s v="20"/>
    <s v="card"/>
    <n v="32.82"/>
    <x v="3"/>
    <x v="2"/>
    <x v="6"/>
    <x v="3"/>
    <s v="4"/>
    <s v="6"/>
    <s v="2024-06-13"/>
    <d v="1899-12-30T20:20:52"/>
    <x v="0"/>
  </r>
  <r>
    <s v="20"/>
    <s v="card"/>
    <n v="23.02"/>
    <x v="6"/>
    <x v="2"/>
    <x v="6"/>
    <x v="3"/>
    <s v="4"/>
    <s v="6"/>
    <s v="2024-06-13"/>
    <d v="1899-12-30T20:43:46"/>
    <x v="0"/>
  </r>
  <r>
    <s v="20"/>
    <s v="card"/>
    <n v="23.02"/>
    <x v="6"/>
    <x v="2"/>
    <x v="6"/>
    <x v="3"/>
    <s v="4"/>
    <s v="6"/>
    <s v="2024-06-13"/>
    <d v="1899-12-30T20:45:01"/>
    <x v="0"/>
  </r>
  <r>
    <s v="20"/>
    <s v="card"/>
    <n v="32.82"/>
    <x v="3"/>
    <x v="2"/>
    <x v="6"/>
    <x v="3"/>
    <s v="4"/>
    <s v="6"/>
    <s v="2024-06-13"/>
    <d v="1899-12-30T20:48:18"/>
    <x v="0"/>
  </r>
  <r>
    <s v="21"/>
    <s v="card"/>
    <n v="32.82"/>
    <x v="3"/>
    <x v="2"/>
    <x v="6"/>
    <x v="3"/>
    <s v="4"/>
    <s v="6"/>
    <s v="2024-06-13"/>
    <d v="1899-12-30T21:02:28"/>
    <x v="0"/>
  </r>
  <r>
    <s v="7"/>
    <s v="card"/>
    <n v="27.92"/>
    <x v="5"/>
    <x v="0"/>
    <x v="0"/>
    <x v="3"/>
    <s v="5"/>
    <s v="6"/>
    <s v="2024-06-14"/>
    <d v="1899-12-30T07:46:13"/>
    <x v="0"/>
  </r>
  <r>
    <s v="10"/>
    <s v="card"/>
    <n v="27.92"/>
    <x v="2"/>
    <x v="0"/>
    <x v="0"/>
    <x v="3"/>
    <s v="5"/>
    <s v="6"/>
    <s v="2024-06-14"/>
    <d v="1899-12-30T10:30:32"/>
    <x v="0"/>
  </r>
  <r>
    <s v="12"/>
    <s v="card"/>
    <n v="37.72"/>
    <x v="0"/>
    <x v="1"/>
    <x v="0"/>
    <x v="3"/>
    <s v="5"/>
    <s v="6"/>
    <s v="2024-06-14"/>
    <d v="1899-12-30T12:14:42"/>
    <x v="0"/>
  </r>
  <r>
    <s v="18"/>
    <s v="card"/>
    <n v="32.82"/>
    <x v="3"/>
    <x v="2"/>
    <x v="0"/>
    <x v="3"/>
    <s v="5"/>
    <s v="6"/>
    <s v="2024-06-14"/>
    <d v="1899-12-30T18:29:53"/>
    <x v="0"/>
  </r>
  <r>
    <s v="11"/>
    <s v="card"/>
    <n v="37.72"/>
    <x v="7"/>
    <x v="0"/>
    <x v="1"/>
    <x v="3"/>
    <s v="6"/>
    <s v="6"/>
    <s v="2024-06-15"/>
    <d v="1899-12-30T11:26:02"/>
    <x v="0"/>
  </r>
  <r>
    <s v="12"/>
    <s v="card"/>
    <n v="37.72"/>
    <x v="0"/>
    <x v="1"/>
    <x v="1"/>
    <x v="3"/>
    <s v="6"/>
    <s v="6"/>
    <s v="2024-06-15"/>
    <d v="1899-12-30T12:21:28"/>
    <x v="0"/>
  </r>
  <r>
    <s v="12"/>
    <s v="card"/>
    <n v="32.82"/>
    <x v="3"/>
    <x v="1"/>
    <x v="1"/>
    <x v="3"/>
    <s v="6"/>
    <s v="6"/>
    <s v="2024-06-15"/>
    <d v="1899-12-30T12:22:47"/>
    <x v="0"/>
  </r>
  <r>
    <s v="12"/>
    <s v="card"/>
    <n v="23.02"/>
    <x v="6"/>
    <x v="1"/>
    <x v="1"/>
    <x v="3"/>
    <s v="6"/>
    <s v="6"/>
    <s v="2024-06-15"/>
    <d v="1899-12-30T12:23:52"/>
    <x v="0"/>
  </r>
  <r>
    <s v="12"/>
    <s v="card"/>
    <n v="37.72"/>
    <x v="4"/>
    <x v="1"/>
    <x v="1"/>
    <x v="3"/>
    <s v="6"/>
    <s v="6"/>
    <s v="2024-06-15"/>
    <d v="1899-12-30T12:24:35"/>
    <x v="0"/>
  </r>
  <r>
    <s v="12"/>
    <s v="card"/>
    <n v="32.82"/>
    <x v="3"/>
    <x v="1"/>
    <x v="1"/>
    <x v="3"/>
    <s v="6"/>
    <s v="6"/>
    <s v="2024-06-15"/>
    <d v="1899-12-30T12:25:24"/>
    <x v="0"/>
  </r>
  <r>
    <s v="16"/>
    <s v="card"/>
    <n v="32.82"/>
    <x v="3"/>
    <x v="1"/>
    <x v="1"/>
    <x v="3"/>
    <s v="6"/>
    <s v="6"/>
    <s v="2024-06-15"/>
    <d v="1899-12-30T16:03:30"/>
    <x v="0"/>
  </r>
  <r>
    <s v="18"/>
    <s v="card"/>
    <n v="27.92"/>
    <x v="2"/>
    <x v="2"/>
    <x v="1"/>
    <x v="3"/>
    <s v="6"/>
    <s v="6"/>
    <s v="2024-06-15"/>
    <d v="1899-12-30T18:14:05"/>
    <x v="0"/>
  </r>
  <r>
    <s v="10"/>
    <s v="card"/>
    <n v="32.82"/>
    <x v="3"/>
    <x v="0"/>
    <x v="2"/>
    <x v="3"/>
    <s v="7"/>
    <s v="6"/>
    <s v="2024-06-16"/>
    <d v="1899-12-30T10:43:51"/>
    <x v="0"/>
  </r>
  <r>
    <s v="10"/>
    <s v="card"/>
    <n v="37.72"/>
    <x v="0"/>
    <x v="0"/>
    <x v="2"/>
    <x v="3"/>
    <s v="7"/>
    <s v="6"/>
    <s v="2024-06-16"/>
    <d v="1899-12-30T10:58:41"/>
    <x v="0"/>
  </r>
  <r>
    <s v="11"/>
    <s v="card"/>
    <n v="37.72"/>
    <x v="1"/>
    <x v="0"/>
    <x v="2"/>
    <x v="3"/>
    <s v="7"/>
    <s v="6"/>
    <s v="2024-06-16"/>
    <d v="1899-12-30T11:00:38"/>
    <x v="0"/>
  </r>
  <r>
    <s v="11"/>
    <s v="card"/>
    <n v="37.72"/>
    <x v="1"/>
    <x v="0"/>
    <x v="2"/>
    <x v="3"/>
    <s v="7"/>
    <s v="6"/>
    <s v="2024-06-16"/>
    <d v="1899-12-30T11:01:41"/>
    <x v="0"/>
  </r>
  <r>
    <s v="12"/>
    <s v="card"/>
    <n v="32.82"/>
    <x v="3"/>
    <x v="1"/>
    <x v="2"/>
    <x v="3"/>
    <s v="7"/>
    <s v="6"/>
    <s v="2024-06-16"/>
    <d v="1899-12-30T12:49:28"/>
    <x v="0"/>
  </r>
  <r>
    <s v="14"/>
    <s v="card"/>
    <n v="23.02"/>
    <x v="6"/>
    <x v="1"/>
    <x v="2"/>
    <x v="3"/>
    <s v="7"/>
    <s v="6"/>
    <s v="2024-06-16"/>
    <d v="1899-12-30T14:00:39"/>
    <x v="0"/>
  </r>
  <r>
    <s v="15"/>
    <s v="card"/>
    <n v="32.82"/>
    <x v="3"/>
    <x v="1"/>
    <x v="2"/>
    <x v="3"/>
    <s v="7"/>
    <s v="6"/>
    <s v="2024-06-16"/>
    <d v="1899-12-30T15:02:36"/>
    <x v="0"/>
  </r>
  <r>
    <s v="15"/>
    <s v="card"/>
    <n v="32.82"/>
    <x v="3"/>
    <x v="1"/>
    <x v="2"/>
    <x v="3"/>
    <s v="7"/>
    <s v="6"/>
    <s v="2024-06-16"/>
    <d v="1899-12-30T15:05:10"/>
    <x v="0"/>
  </r>
  <r>
    <s v="15"/>
    <s v="card"/>
    <n v="37.72"/>
    <x v="1"/>
    <x v="1"/>
    <x v="2"/>
    <x v="3"/>
    <s v="7"/>
    <s v="6"/>
    <s v="2024-06-16"/>
    <d v="1899-12-30T15:44:00"/>
    <x v="0"/>
  </r>
  <r>
    <s v="16"/>
    <s v="card"/>
    <n v="37.72"/>
    <x v="1"/>
    <x v="1"/>
    <x v="2"/>
    <x v="3"/>
    <s v="7"/>
    <s v="6"/>
    <s v="2024-06-16"/>
    <d v="1899-12-30T16:47:37"/>
    <x v="0"/>
  </r>
  <r>
    <s v="17"/>
    <s v="card"/>
    <n v="32.82"/>
    <x v="3"/>
    <x v="2"/>
    <x v="2"/>
    <x v="3"/>
    <s v="7"/>
    <s v="6"/>
    <s v="2024-06-16"/>
    <d v="1899-12-30T17:45:17"/>
    <x v="0"/>
  </r>
  <r>
    <s v="17"/>
    <s v="card"/>
    <n v="32.82"/>
    <x v="3"/>
    <x v="2"/>
    <x v="2"/>
    <x v="3"/>
    <s v="7"/>
    <s v="6"/>
    <s v="2024-06-16"/>
    <d v="1899-12-30T17:46:17"/>
    <x v="0"/>
  </r>
  <r>
    <s v="8"/>
    <s v="card"/>
    <n v="27.92"/>
    <x v="2"/>
    <x v="0"/>
    <x v="3"/>
    <x v="3"/>
    <s v="1"/>
    <s v="6"/>
    <s v="2024-06-17"/>
    <d v="1899-12-30T08:57:24"/>
    <x v="0"/>
  </r>
  <r>
    <s v="10"/>
    <s v="card"/>
    <n v="27.92"/>
    <x v="5"/>
    <x v="0"/>
    <x v="3"/>
    <x v="3"/>
    <s v="1"/>
    <s v="6"/>
    <s v="2024-06-17"/>
    <d v="1899-12-30T10:12:05"/>
    <x v="0"/>
  </r>
  <r>
    <s v="10"/>
    <s v="card"/>
    <n v="27.92"/>
    <x v="5"/>
    <x v="0"/>
    <x v="3"/>
    <x v="3"/>
    <s v="1"/>
    <s v="6"/>
    <s v="2024-06-17"/>
    <d v="1899-12-30T10:13:38"/>
    <x v="0"/>
  </r>
  <r>
    <s v="10"/>
    <s v="card"/>
    <n v="37.72"/>
    <x v="7"/>
    <x v="0"/>
    <x v="3"/>
    <x v="3"/>
    <s v="1"/>
    <s v="6"/>
    <s v="2024-06-17"/>
    <d v="1899-12-30T10:55:52"/>
    <x v="0"/>
  </r>
  <r>
    <s v="14"/>
    <s v="card"/>
    <n v="37.72"/>
    <x v="7"/>
    <x v="1"/>
    <x v="3"/>
    <x v="3"/>
    <s v="1"/>
    <s v="6"/>
    <s v="2024-06-17"/>
    <d v="1899-12-30T14:51:35"/>
    <x v="0"/>
  </r>
  <r>
    <s v="16"/>
    <s v="card"/>
    <n v="37.72"/>
    <x v="7"/>
    <x v="1"/>
    <x v="3"/>
    <x v="3"/>
    <s v="1"/>
    <s v="6"/>
    <s v="2024-06-17"/>
    <d v="1899-12-30T16:50:13"/>
    <x v="0"/>
  </r>
  <r>
    <s v="16"/>
    <s v="card"/>
    <n v="37.72"/>
    <x v="7"/>
    <x v="1"/>
    <x v="3"/>
    <x v="3"/>
    <s v="1"/>
    <s v="6"/>
    <s v="2024-06-17"/>
    <d v="1899-12-30T16:51:11"/>
    <x v="0"/>
  </r>
  <r>
    <s v="16"/>
    <s v="card"/>
    <n v="27.92"/>
    <x v="2"/>
    <x v="1"/>
    <x v="3"/>
    <x v="3"/>
    <s v="1"/>
    <s v="6"/>
    <s v="2024-06-17"/>
    <d v="1899-12-30T16:52:36"/>
    <x v="0"/>
  </r>
  <r>
    <s v="18"/>
    <s v="card"/>
    <n v="27.92"/>
    <x v="2"/>
    <x v="2"/>
    <x v="3"/>
    <x v="3"/>
    <s v="1"/>
    <s v="6"/>
    <s v="2024-06-17"/>
    <d v="1899-12-30T18:51:20"/>
    <x v="0"/>
  </r>
  <r>
    <s v="21"/>
    <s v="card"/>
    <n v="32.82"/>
    <x v="3"/>
    <x v="2"/>
    <x v="3"/>
    <x v="3"/>
    <s v="1"/>
    <s v="6"/>
    <s v="2024-06-17"/>
    <d v="1899-12-30T21:16:11"/>
    <x v="0"/>
  </r>
  <r>
    <s v="14"/>
    <s v="card"/>
    <n v="27.92"/>
    <x v="2"/>
    <x v="1"/>
    <x v="4"/>
    <x v="3"/>
    <s v="2"/>
    <s v="6"/>
    <s v="2024-06-18"/>
    <d v="1899-12-30T14:04:06"/>
    <x v="0"/>
  </r>
  <r>
    <s v="14"/>
    <s v="card"/>
    <n v="37.72"/>
    <x v="7"/>
    <x v="1"/>
    <x v="4"/>
    <x v="3"/>
    <s v="2"/>
    <s v="6"/>
    <s v="2024-06-18"/>
    <d v="1899-12-30T14:05:12"/>
    <x v="0"/>
  </r>
  <r>
    <s v="19"/>
    <s v="card"/>
    <n v="37.72"/>
    <x v="7"/>
    <x v="2"/>
    <x v="4"/>
    <x v="3"/>
    <s v="2"/>
    <s v="6"/>
    <s v="2024-06-18"/>
    <d v="1899-12-30T19:20:41"/>
    <x v="0"/>
  </r>
  <r>
    <s v="19"/>
    <s v="card"/>
    <n v="37.72"/>
    <x v="7"/>
    <x v="2"/>
    <x v="4"/>
    <x v="3"/>
    <s v="2"/>
    <s v="6"/>
    <s v="2024-06-18"/>
    <d v="1899-12-30T19:21:39"/>
    <x v="0"/>
  </r>
  <r>
    <s v="20"/>
    <s v="card"/>
    <n v="27.92"/>
    <x v="5"/>
    <x v="2"/>
    <x v="4"/>
    <x v="3"/>
    <s v="2"/>
    <s v="6"/>
    <s v="2024-06-18"/>
    <d v="1899-12-30T20:35:49"/>
    <x v="0"/>
  </r>
  <r>
    <s v="21"/>
    <s v="card"/>
    <n v="32.82"/>
    <x v="3"/>
    <x v="2"/>
    <x v="4"/>
    <x v="3"/>
    <s v="2"/>
    <s v="6"/>
    <s v="2024-06-18"/>
    <d v="1899-12-30T21:20:50"/>
    <x v="0"/>
  </r>
  <r>
    <s v="21"/>
    <s v="card"/>
    <n v="32.82"/>
    <x v="3"/>
    <x v="2"/>
    <x v="4"/>
    <x v="3"/>
    <s v="2"/>
    <s v="6"/>
    <s v="2024-06-18"/>
    <d v="1899-12-30T21:22:19"/>
    <x v="0"/>
  </r>
  <r>
    <s v="7"/>
    <s v="card"/>
    <n v="37.72"/>
    <x v="0"/>
    <x v="0"/>
    <x v="5"/>
    <x v="3"/>
    <s v="3"/>
    <s v="6"/>
    <s v="2024-06-19"/>
    <d v="1899-12-30T07:47:20"/>
    <x v="0"/>
  </r>
  <r>
    <s v="8"/>
    <s v="card"/>
    <n v="27.92"/>
    <x v="5"/>
    <x v="0"/>
    <x v="5"/>
    <x v="3"/>
    <s v="3"/>
    <s v="6"/>
    <s v="2024-06-19"/>
    <d v="1899-12-30T08:17:55"/>
    <x v="0"/>
  </r>
  <r>
    <s v="10"/>
    <s v="card"/>
    <n v="27.92"/>
    <x v="2"/>
    <x v="0"/>
    <x v="5"/>
    <x v="3"/>
    <s v="3"/>
    <s v="6"/>
    <s v="2024-06-19"/>
    <d v="1899-12-30T10:54:00"/>
    <x v="0"/>
  </r>
  <r>
    <s v="11"/>
    <s v="card"/>
    <n v="37.72"/>
    <x v="0"/>
    <x v="0"/>
    <x v="5"/>
    <x v="3"/>
    <s v="3"/>
    <s v="6"/>
    <s v="2024-06-19"/>
    <d v="1899-12-30T11:11:28"/>
    <x v="0"/>
  </r>
  <r>
    <s v="11"/>
    <s v="card"/>
    <n v="37.72"/>
    <x v="4"/>
    <x v="0"/>
    <x v="5"/>
    <x v="3"/>
    <s v="3"/>
    <s v="6"/>
    <s v="2024-06-19"/>
    <d v="1899-12-30T11:12:31"/>
    <x v="0"/>
  </r>
  <r>
    <s v="14"/>
    <s v="card"/>
    <n v="32.82"/>
    <x v="3"/>
    <x v="1"/>
    <x v="5"/>
    <x v="3"/>
    <s v="3"/>
    <s v="6"/>
    <s v="2024-06-19"/>
    <d v="1899-12-30T14:21:36"/>
    <x v="0"/>
  </r>
  <r>
    <s v="18"/>
    <s v="card"/>
    <n v="37.72"/>
    <x v="7"/>
    <x v="2"/>
    <x v="5"/>
    <x v="3"/>
    <s v="3"/>
    <s v="6"/>
    <s v="2024-06-19"/>
    <d v="1899-12-30T18:28:43"/>
    <x v="0"/>
  </r>
  <r>
    <s v="18"/>
    <s v="card"/>
    <n v="37.72"/>
    <x v="0"/>
    <x v="2"/>
    <x v="5"/>
    <x v="3"/>
    <s v="3"/>
    <s v="6"/>
    <s v="2024-06-19"/>
    <d v="1899-12-30T18:29:59"/>
    <x v="0"/>
  </r>
  <r>
    <s v="19"/>
    <s v="card"/>
    <n v="32.82"/>
    <x v="3"/>
    <x v="2"/>
    <x v="5"/>
    <x v="3"/>
    <s v="3"/>
    <s v="6"/>
    <s v="2024-06-19"/>
    <d v="1899-12-30T19:31:31"/>
    <x v="0"/>
  </r>
  <r>
    <s v="21"/>
    <s v="card"/>
    <n v="37.72"/>
    <x v="7"/>
    <x v="2"/>
    <x v="5"/>
    <x v="3"/>
    <s v="3"/>
    <s v="6"/>
    <s v="2024-06-19"/>
    <d v="1899-12-30T21:28:59"/>
    <x v="0"/>
  </r>
  <r>
    <s v="21"/>
    <s v="card"/>
    <n v="32.82"/>
    <x v="3"/>
    <x v="2"/>
    <x v="5"/>
    <x v="3"/>
    <s v="3"/>
    <s v="6"/>
    <s v="2024-06-19"/>
    <d v="1899-12-30T21:30:03"/>
    <x v="0"/>
  </r>
  <r>
    <s v="10"/>
    <s v="card"/>
    <n v="37.72"/>
    <x v="0"/>
    <x v="0"/>
    <x v="6"/>
    <x v="3"/>
    <s v="4"/>
    <s v="6"/>
    <s v="2024-06-20"/>
    <d v="1899-12-30T10:50:06"/>
    <x v="0"/>
  </r>
  <r>
    <s v="18"/>
    <s v="card"/>
    <n v="37.72"/>
    <x v="0"/>
    <x v="2"/>
    <x v="6"/>
    <x v="3"/>
    <s v="4"/>
    <s v="6"/>
    <s v="2024-06-20"/>
    <d v="1899-12-30T18:59:02"/>
    <x v="0"/>
  </r>
  <r>
    <s v="19"/>
    <s v="card"/>
    <n v="37.72"/>
    <x v="0"/>
    <x v="2"/>
    <x v="6"/>
    <x v="3"/>
    <s v="4"/>
    <s v="6"/>
    <s v="2024-06-20"/>
    <d v="1899-12-30T19:00:00"/>
    <x v="0"/>
  </r>
  <r>
    <s v="21"/>
    <s v="card"/>
    <n v="37.72"/>
    <x v="0"/>
    <x v="2"/>
    <x v="6"/>
    <x v="3"/>
    <s v="4"/>
    <s v="6"/>
    <s v="2024-06-20"/>
    <d v="1899-12-30T21:39:10"/>
    <x v="0"/>
  </r>
  <r>
    <s v="21"/>
    <s v="card"/>
    <n v="37.72"/>
    <x v="0"/>
    <x v="2"/>
    <x v="6"/>
    <x v="3"/>
    <s v="4"/>
    <s v="6"/>
    <s v="2024-06-20"/>
    <d v="1899-12-30T21:57:41"/>
    <x v="0"/>
  </r>
  <r>
    <s v="21"/>
    <s v="card"/>
    <n v="32.82"/>
    <x v="3"/>
    <x v="2"/>
    <x v="6"/>
    <x v="3"/>
    <s v="4"/>
    <s v="6"/>
    <s v="2024-06-20"/>
    <d v="1899-12-30T21:59:18"/>
    <x v="0"/>
  </r>
  <r>
    <s v="9"/>
    <s v="card"/>
    <n v="37.72"/>
    <x v="0"/>
    <x v="0"/>
    <x v="0"/>
    <x v="3"/>
    <s v="5"/>
    <s v="6"/>
    <s v="2024-06-21"/>
    <d v="1899-12-30T09:59:56"/>
    <x v="0"/>
  </r>
  <r>
    <s v="10"/>
    <s v="card"/>
    <n v="27.92"/>
    <x v="2"/>
    <x v="0"/>
    <x v="0"/>
    <x v="3"/>
    <s v="5"/>
    <s v="6"/>
    <s v="2024-06-21"/>
    <d v="1899-12-30T10:01:40"/>
    <x v="0"/>
  </r>
  <r>
    <s v="13"/>
    <s v="card"/>
    <n v="32.82"/>
    <x v="3"/>
    <x v="1"/>
    <x v="0"/>
    <x v="3"/>
    <s v="5"/>
    <s v="6"/>
    <s v="2024-06-21"/>
    <d v="1899-12-30T13:19:19"/>
    <x v="0"/>
  </r>
  <r>
    <s v="13"/>
    <s v="card"/>
    <n v="32.82"/>
    <x v="3"/>
    <x v="1"/>
    <x v="0"/>
    <x v="3"/>
    <s v="5"/>
    <s v="6"/>
    <s v="2024-06-21"/>
    <d v="1899-12-30T13:20:32"/>
    <x v="0"/>
  </r>
  <r>
    <s v="18"/>
    <s v="card"/>
    <n v="23.02"/>
    <x v="6"/>
    <x v="2"/>
    <x v="0"/>
    <x v="3"/>
    <s v="5"/>
    <s v="6"/>
    <s v="2024-06-21"/>
    <d v="1899-12-30T18:12:16"/>
    <x v="0"/>
  </r>
  <r>
    <s v="19"/>
    <s v="card"/>
    <n v="37.72"/>
    <x v="0"/>
    <x v="2"/>
    <x v="0"/>
    <x v="3"/>
    <s v="5"/>
    <s v="6"/>
    <s v="2024-06-21"/>
    <d v="1899-12-30T19:30:27"/>
    <x v="0"/>
  </r>
  <r>
    <s v="19"/>
    <s v="card"/>
    <n v="37.72"/>
    <x v="7"/>
    <x v="2"/>
    <x v="0"/>
    <x v="3"/>
    <s v="5"/>
    <s v="6"/>
    <s v="2024-06-21"/>
    <d v="1899-12-30T19:47:06"/>
    <x v="0"/>
  </r>
  <r>
    <s v="19"/>
    <s v="card"/>
    <n v="37.72"/>
    <x v="7"/>
    <x v="2"/>
    <x v="0"/>
    <x v="3"/>
    <s v="5"/>
    <s v="6"/>
    <s v="2024-06-21"/>
    <d v="1899-12-30T19:48:07"/>
    <x v="0"/>
  </r>
  <r>
    <s v="19"/>
    <s v="card"/>
    <n v="37.72"/>
    <x v="7"/>
    <x v="2"/>
    <x v="0"/>
    <x v="3"/>
    <s v="5"/>
    <s v="6"/>
    <s v="2024-06-21"/>
    <d v="1899-12-30T19:49:55"/>
    <x v="0"/>
  </r>
  <r>
    <s v="19"/>
    <s v="card"/>
    <n v="37.72"/>
    <x v="7"/>
    <x v="2"/>
    <x v="0"/>
    <x v="3"/>
    <s v="5"/>
    <s v="6"/>
    <s v="2024-06-21"/>
    <d v="1899-12-30T19:51:00"/>
    <x v="0"/>
  </r>
  <r>
    <s v="19"/>
    <s v="card"/>
    <n v="27.92"/>
    <x v="2"/>
    <x v="2"/>
    <x v="0"/>
    <x v="3"/>
    <s v="5"/>
    <s v="6"/>
    <s v="2024-06-21"/>
    <d v="1899-12-30T19:52:19"/>
    <x v="0"/>
  </r>
  <r>
    <s v="19"/>
    <s v="card"/>
    <n v="32.82"/>
    <x v="3"/>
    <x v="2"/>
    <x v="0"/>
    <x v="3"/>
    <s v="5"/>
    <s v="6"/>
    <s v="2024-06-21"/>
    <d v="1899-12-30T19:55:37"/>
    <x v="0"/>
  </r>
  <r>
    <s v="8"/>
    <s v="card"/>
    <n v="27.92"/>
    <x v="5"/>
    <x v="0"/>
    <x v="1"/>
    <x v="3"/>
    <s v="6"/>
    <s v="6"/>
    <s v="2024-06-22"/>
    <d v="1899-12-30T08:39:50"/>
    <x v="0"/>
  </r>
  <r>
    <s v="9"/>
    <s v="card"/>
    <n v="32.82"/>
    <x v="3"/>
    <x v="0"/>
    <x v="1"/>
    <x v="3"/>
    <s v="6"/>
    <s v="6"/>
    <s v="2024-06-22"/>
    <d v="1899-12-30T09:37:49"/>
    <x v="0"/>
  </r>
  <r>
    <s v="12"/>
    <s v="card"/>
    <n v="32.82"/>
    <x v="3"/>
    <x v="1"/>
    <x v="1"/>
    <x v="3"/>
    <s v="6"/>
    <s v="6"/>
    <s v="2024-06-22"/>
    <d v="1899-12-30T12:53:16"/>
    <x v="0"/>
  </r>
  <r>
    <s v="15"/>
    <s v="card"/>
    <n v="37.72"/>
    <x v="0"/>
    <x v="1"/>
    <x v="1"/>
    <x v="3"/>
    <s v="6"/>
    <s v="6"/>
    <s v="2024-06-22"/>
    <d v="1899-12-30T15:37:20"/>
    <x v="0"/>
  </r>
  <r>
    <s v="22"/>
    <s v="card"/>
    <n v="37.72"/>
    <x v="7"/>
    <x v="2"/>
    <x v="1"/>
    <x v="3"/>
    <s v="6"/>
    <s v="6"/>
    <s v="2024-06-22"/>
    <d v="1899-12-30T22:10:23"/>
    <x v="0"/>
  </r>
  <r>
    <s v="18"/>
    <s v="card"/>
    <n v="32.82"/>
    <x v="3"/>
    <x v="2"/>
    <x v="2"/>
    <x v="3"/>
    <s v="7"/>
    <s v="6"/>
    <s v="2024-06-23"/>
    <d v="1899-12-30T18:12:01"/>
    <x v="0"/>
  </r>
  <r>
    <s v="18"/>
    <s v="card"/>
    <n v="32.82"/>
    <x v="3"/>
    <x v="2"/>
    <x v="2"/>
    <x v="3"/>
    <s v="7"/>
    <s v="6"/>
    <s v="2024-06-23"/>
    <d v="1899-12-30T18:13:51"/>
    <x v="0"/>
  </r>
  <r>
    <s v="21"/>
    <s v="card"/>
    <n v="37.72"/>
    <x v="7"/>
    <x v="2"/>
    <x v="2"/>
    <x v="3"/>
    <s v="7"/>
    <s v="6"/>
    <s v="2024-06-23"/>
    <d v="1899-12-30T21:06:47"/>
    <x v="0"/>
  </r>
  <r>
    <s v="21"/>
    <s v="card"/>
    <n v="37.72"/>
    <x v="0"/>
    <x v="2"/>
    <x v="2"/>
    <x v="3"/>
    <s v="7"/>
    <s v="6"/>
    <s v="2024-06-23"/>
    <d v="1899-12-30T21:29:08"/>
    <x v="0"/>
  </r>
  <r>
    <s v="21"/>
    <s v="card"/>
    <n v="37.72"/>
    <x v="7"/>
    <x v="2"/>
    <x v="2"/>
    <x v="3"/>
    <s v="7"/>
    <s v="6"/>
    <s v="2024-06-23"/>
    <d v="1899-12-30T21:30:36"/>
    <x v="0"/>
  </r>
  <r>
    <s v="11"/>
    <s v="card"/>
    <n v="32.82"/>
    <x v="3"/>
    <x v="0"/>
    <x v="3"/>
    <x v="3"/>
    <s v="1"/>
    <s v="6"/>
    <s v="2024-06-24"/>
    <d v="1899-12-30T11:44:40"/>
    <x v="0"/>
  </r>
  <r>
    <s v="11"/>
    <s v="card"/>
    <n v="37.72"/>
    <x v="7"/>
    <x v="0"/>
    <x v="3"/>
    <x v="3"/>
    <s v="1"/>
    <s v="6"/>
    <s v="2024-06-24"/>
    <d v="1899-12-30T11:49:36"/>
    <x v="0"/>
  </r>
  <r>
    <s v="11"/>
    <s v="card"/>
    <n v="37.72"/>
    <x v="7"/>
    <x v="0"/>
    <x v="3"/>
    <x v="3"/>
    <s v="1"/>
    <s v="6"/>
    <s v="2024-06-24"/>
    <d v="1899-12-30T11:50:44"/>
    <x v="0"/>
  </r>
  <r>
    <s v="15"/>
    <s v="card"/>
    <n v="37.72"/>
    <x v="0"/>
    <x v="1"/>
    <x v="3"/>
    <x v="3"/>
    <s v="1"/>
    <s v="6"/>
    <s v="2024-06-24"/>
    <d v="1899-12-30T15:02:29"/>
    <x v="0"/>
  </r>
  <r>
    <s v="16"/>
    <s v="card"/>
    <n v="37.72"/>
    <x v="7"/>
    <x v="1"/>
    <x v="3"/>
    <x v="3"/>
    <s v="1"/>
    <s v="6"/>
    <s v="2024-06-24"/>
    <d v="1899-12-30T16:46:01"/>
    <x v="0"/>
  </r>
  <r>
    <s v="16"/>
    <s v="card"/>
    <n v="37.72"/>
    <x v="7"/>
    <x v="1"/>
    <x v="3"/>
    <x v="3"/>
    <s v="1"/>
    <s v="6"/>
    <s v="2024-06-24"/>
    <d v="1899-12-30T16:47:00"/>
    <x v="0"/>
  </r>
  <r>
    <s v="8"/>
    <s v="card"/>
    <n v="37.72"/>
    <x v="0"/>
    <x v="0"/>
    <x v="4"/>
    <x v="3"/>
    <s v="2"/>
    <s v="6"/>
    <s v="2024-06-25"/>
    <d v="1899-12-30T08:19:24"/>
    <x v="0"/>
  </r>
  <r>
    <s v="10"/>
    <s v="card"/>
    <n v="32.82"/>
    <x v="3"/>
    <x v="0"/>
    <x v="4"/>
    <x v="3"/>
    <s v="2"/>
    <s v="6"/>
    <s v="2024-06-25"/>
    <d v="1899-12-30T10:28:26"/>
    <x v="0"/>
  </r>
  <r>
    <s v="10"/>
    <s v="card"/>
    <n v="32.82"/>
    <x v="3"/>
    <x v="0"/>
    <x v="4"/>
    <x v="3"/>
    <s v="2"/>
    <s v="6"/>
    <s v="2024-06-25"/>
    <d v="1899-12-30T10:29:42"/>
    <x v="0"/>
  </r>
  <r>
    <s v="11"/>
    <s v="card"/>
    <n v="37.72"/>
    <x v="7"/>
    <x v="0"/>
    <x v="4"/>
    <x v="3"/>
    <s v="2"/>
    <s v="6"/>
    <s v="2024-06-25"/>
    <d v="1899-12-30T11:34:52"/>
    <x v="0"/>
  </r>
  <r>
    <s v="9"/>
    <s v="card"/>
    <n v="37.72"/>
    <x v="0"/>
    <x v="0"/>
    <x v="5"/>
    <x v="3"/>
    <s v="3"/>
    <s v="6"/>
    <s v="2024-06-26"/>
    <d v="1899-12-30T09:33:02"/>
    <x v="0"/>
  </r>
  <r>
    <s v="16"/>
    <s v="card"/>
    <n v="23.02"/>
    <x v="6"/>
    <x v="1"/>
    <x v="5"/>
    <x v="3"/>
    <s v="3"/>
    <s v="6"/>
    <s v="2024-06-26"/>
    <d v="1899-12-30T16:32:29"/>
    <x v="0"/>
  </r>
  <r>
    <s v="16"/>
    <s v="card"/>
    <n v="27.92"/>
    <x v="2"/>
    <x v="1"/>
    <x v="5"/>
    <x v="3"/>
    <s v="3"/>
    <s v="6"/>
    <s v="2024-06-26"/>
    <d v="1899-12-30T16:34:02"/>
    <x v="0"/>
  </r>
  <r>
    <s v="21"/>
    <s v="card"/>
    <n v="37.72"/>
    <x v="0"/>
    <x v="2"/>
    <x v="5"/>
    <x v="3"/>
    <s v="3"/>
    <s v="6"/>
    <s v="2024-06-26"/>
    <d v="1899-12-30T21:21:53"/>
    <x v="0"/>
  </r>
  <r>
    <s v="21"/>
    <s v="card"/>
    <n v="37.72"/>
    <x v="7"/>
    <x v="2"/>
    <x v="5"/>
    <x v="3"/>
    <s v="3"/>
    <s v="6"/>
    <s v="2024-06-26"/>
    <d v="1899-12-30T21:27:01"/>
    <x v="0"/>
  </r>
  <r>
    <s v="21"/>
    <s v="card"/>
    <n v="32.82"/>
    <x v="3"/>
    <x v="2"/>
    <x v="5"/>
    <x v="3"/>
    <s v="3"/>
    <s v="6"/>
    <s v="2024-06-26"/>
    <d v="1899-12-30T21:28:15"/>
    <x v="0"/>
  </r>
  <r>
    <s v="9"/>
    <s v="card"/>
    <n v="32.82"/>
    <x v="3"/>
    <x v="0"/>
    <x v="6"/>
    <x v="3"/>
    <s v="4"/>
    <s v="6"/>
    <s v="2024-06-27"/>
    <d v="1899-12-30T09:15:43"/>
    <x v="0"/>
  </r>
  <r>
    <s v="16"/>
    <s v="card"/>
    <n v="27.92"/>
    <x v="5"/>
    <x v="1"/>
    <x v="6"/>
    <x v="3"/>
    <s v="4"/>
    <s v="6"/>
    <s v="2024-06-27"/>
    <d v="1899-12-30T16:11:48"/>
    <x v="0"/>
  </r>
  <r>
    <s v="21"/>
    <s v="card"/>
    <n v="32.82"/>
    <x v="3"/>
    <x v="2"/>
    <x v="6"/>
    <x v="3"/>
    <s v="4"/>
    <s v="6"/>
    <s v="2024-06-27"/>
    <d v="1899-12-30T21:44:03"/>
    <x v="0"/>
  </r>
  <r>
    <s v="21"/>
    <s v="card"/>
    <n v="37.72"/>
    <x v="7"/>
    <x v="2"/>
    <x v="6"/>
    <x v="3"/>
    <s v="4"/>
    <s v="6"/>
    <s v="2024-06-27"/>
    <d v="1899-12-30T21:50:32"/>
    <x v="0"/>
  </r>
  <r>
    <s v="8"/>
    <s v="card"/>
    <n v="27.92"/>
    <x v="5"/>
    <x v="0"/>
    <x v="0"/>
    <x v="3"/>
    <s v="5"/>
    <s v="6"/>
    <s v="2024-06-28"/>
    <d v="1899-12-30T08:08:35"/>
    <x v="0"/>
  </r>
  <r>
    <s v="17"/>
    <s v="card"/>
    <n v="23.02"/>
    <x v="6"/>
    <x v="2"/>
    <x v="0"/>
    <x v="3"/>
    <s v="5"/>
    <s v="6"/>
    <s v="2024-06-28"/>
    <d v="1899-12-30T17:51:54"/>
    <x v="0"/>
  </r>
  <r>
    <s v="21"/>
    <s v="card"/>
    <n v="32.82"/>
    <x v="3"/>
    <x v="2"/>
    <x v="0"/>
    <x v="3"/>
    <s v="5"/>
    <s v="6"/>
    <s v="2024-06-28"/>
    <d v="1899-12-30T21:50:55"/>
    <x v="0"/>
  </r>
  <r>
    <s v="21"/>
    <s v="card"/>
    <n v="37.72"/>
    <x v="0"/>
    <x v="2"/>
    <x v="0"/>
    <x v="3"/>
    <s v="5"/>
    <s v="6"/>
    <s v="2024-06-28"/>
    <d v="1899-12-30T21:52:02"/>
    <x v="0"/>
  </r>
  <r>
    <s v="22"/>
    <s v="card"/>
    <n v="37.72"/>
    <x v="7"/>
    <x v="2"/>
    <x v="0"/>
    <x v="3"/>
    <s v="5"/>
    <s v="6"/>
    <s v="2024-06-28"/>
    <d v="1899-12-30T22:28:20"/>
    <x v="0"/>
  </r>
  <r>
    <s v="9"/>
    <s v="card"/>
    <n v="32.82"/>
    <x v="3"/>
    <x v="0"/>
    <x v="1"/>
    <x v="3"/>
    <s v="6"/>
    <s v="6"/>
    <s v="2024-06-29"/>
    <d v="1899-12-30T09:47:10"/>
    <x v="0"/>
  </r>
  <r>
    <s v="11"/>
    <s v="card"/>
    <n v="32.82"/>
    <x v="3"/>
    <x v="0"/>
    <x v="1"/>
    <x v="3"/>
    <s v="6"/>
    <s v="6"/>
    <s v="2024-06-29"/>
    <d v="1899-12-30T11:40:20"/>
    <x v="0"/>
  </r>
  <r>
    <s v="11"/>
    <s v="card"/>
    <n v="32.82"/>
    <x v="3"/>
    <x v="0"/>
    <x v="1"/>
    <x v="3"/>
    <s v="6"/>
    <s v="6"/>
    <s v="2024-06-29"/>
    <d v="1899-12-30T11:41:27"/>
    <x v="0"/>
  </r>
  <r>
    <s v="12"/>
    <s v="card"/>
    <n v="37.72"/>
    <x v="7"/>
    <x v="1"/>
    <x v="1"/>
    <x v="3"/>
    <s v="6"/>
    <s v="6"/>
    <s v="2024-06-29"/>
    <d v="1899-12-30T12:30:24"/>
    <x v="0"/>
  </r>
  <r>
    <s v="12"/>
    <s v="card"/>
    <n v="37.72"/>
    <x v="7"/>
    <x v="1"/>
    <x v="1"/>
    <x v="3"/>
    <s v="6"/>
    <s v="6"/>
    <s v="2024-06-29"/>
    <d v="1899-12-30T12:31:43"/>
    <x v="0"/>
  </r>
  <r>
    <s v="17"/>
    <s v="card"/>
    <n v="37.72"/>
    <x v="7"/>
    <x v="2"/>
    <x v="1"/>
    <x v="3"/>
    <s v="6"/>
    <s v="6"/>
    <s v="2024-06-29"/>
    <d v="1899-12-30T17:23:44"/>
    <x v="0"/>
  </r>
  <r>
    <s v="17"/>
    <s v="card"/>
    <n v="37.72"/>
    <x v="1"/>
    <x v="2"/>
    <x v="1"/>
    <x v="3"/>
    <s v="6"/>
    <s v="6"/>
    <s v="2024-06-29"/>
    <d v="1899-12-30T17:24:52"/>
    <x v="0"/>
  </r>
  <r>
    <s v="21"/>
    <s v="card"/>
    <n v="37.72"/>
    <x v="0"/>
    <x v="2"/>
    <x v="1"/>
    <x v="3"/>
    <s v="6"/>
    <s v="6"/>
    <s v="2024-06-29"/>
    <d v="1899-12-30T21:27:22"/>
    <x v="0"/>
  </r>
  <r>
    <s v="10"/>
    <s v="card"/>
    <n v="37.72"/>
    <x v="0"/>
    <x v="0"/>
    <x v="2"/>
    <x v="3"/>
    <s v="7"/>
    <s v="6"/>
    <s v="2024-06-30"/>
    <d v="1899-12-30T10:28:10"/>
    <x v="0"/>
  </r>
  <r>
    <s v="13"/>
    <s v="card"/>
    <n v="23.02"/>
    <x v="6"/>
    <x v="1"/>
    <x v="2"/>
    <x v="3"/>
    <s v="7"/>
    <s v="6"/>
    <s v="2024-06-30"/>
    <d v="1899-12-30T13:05:51"/>
    <x v="0"/>
  </r>
  <r>
    <s v="16"/>
    <s v="card"/>
    <n v="37.72"/>
    <x v="1"/>
    <x v="1"/>
    <x v="2"/>
    <x v="3"/>
    <s v="7"/>
    <s v="6"/>
    <s v="2024-06-30"/>
    <d v="1899-12-30T16:54:42"/>
    <x v="0"/>
  </r>
  <r>
    <s v="21"/>
    <s v="card"/>
    <n v="32.82"/>
    <x v="3"/>
    <x v="2"/>
    <x v="2"/>
    <x v="3"/>
    <s v="7"/>
    <s v="6"/>
    <s v="2024-06-30"/>
    <d v="1899-12-30T21:04:10"/>
    <x v="0"/>
  </r>
  <r>
    <s v="18"/>
    <s v="card"/>
    <n v="23.02"/>
    <x v="6"/>
    <x v="2"/>
    <x v="3"/>
    <x v="4"/>
    <s v="1"/>
    <s v="7"/>
    <s v="2024-07-01"/>
    <d v="1899-12-30T18:07:27"/>
    <x v="0"/>
  </r>
  <r>
    <s v="18"/>
    <s v="card"/>
    <n v="37.72"/>
    <x v="7"/>
    <x v="2"/>
    <x v="3"/>
    <x v="4"/>
    <s v="1"/>
    <s v="7"/>
    <s v="2024-07-01"/>
    <d v="1899-12-30T18:56:52"/>
    <x v="0"/>
  </r>
  <r>
    <s v="18"/>
    <s v="card"/>
    <n v="37.72"/>
    <x v="7"/>
    <x v="2"/>
    <x v="3"/>
    <x v="4"/>
    <s v="1"/>
    <s v="7"/>
    <s v="2024-07-01"/>
    <d v="1899-12-30T18:57:54"/>
    <x v="0"/>
  </r>
  <r>
    <s v="10"/>
    <s v="card"/>
    <n v="32.82"/>
    <x v="3"/>
    <x v="0"/>
    <x v="4"/>
    <x v="4"/>
    <s v="2"/>
    <s v="7"/>
    <s v="2024-07-02"/>
    <d v="1899-12-30T10:42:54"/>
    <x v="0"/>
  </r>
  <r>
    <s v="10"/>
    <s v="card"/>
    <n v="27.92"/>
    <x v="2"/>
    <x v="0"/>
    <x v="4"/>
    <x v="4"/>
    <s v="2"/>
    <s v="7"/>
    <s v="2024-07-02"/>
    <d v="1899-12-30T10:45:01"/>
    <x v="0"/>
  </r>
  <r>
    <s v="12"/>
    <s v="card"/>
    <n v="37.72"/>
    <x v="0"/>
    <x v="1"/>
    <x v="4"/>
    <x v="4"/>
    <s v="2"/>
    <s v="7"/>
    <s v="2024-07-02"/>
    <d v="1899-12-30T12:48:05"/>
    <x v="0"/>
  </r>
  <r>
    <s v="14"/>
    <s v="card"/>
    <n v="27.92"/>
    <x v="2"/>
    <x v="1"/>
    <x v="4"/>
    <x v="4"/>
    <s v="2"/>
    <s v="7"/>
    <s v="2024-07-02"/>
    <d v="1899-12-30T14:03:13"/>
    <x v="0"/>
  </r>
  <r>
    <s v="16"/>
    <s v="card"/>
    <n v="32.82"/>
    <x v="3"/>
    <x v="1"/>
    <x v="4"/>
    <x v="4"/>
    <s v="2"/>
    <s v="7"/>
    <s v="2024-07-02"/>
    <d v="1899-12-30T16:31:24"/>
    <x v="0"/>
  </r>
  <r>
    <s v="22"/>
    <s v="card"/>
    <n v="32.82"/>
    <x v="3"/>
    <x v="2"/>
    <x v="4"/>
    <x v="4"/>
    <s v="2"/>
    <s v="7"/>
    <s v="2024-07-02"/>
    <d v="1899-12-30T22:02:24"/>
    <x v="0"/>
  </r>
  <r>
    <s v="13"/>
    <s v="card"/>
    <n v="32.82"/>
    <x v="3"/>
    <x v="1"/>
    <x v="5"/>
    <x v="4"/>
    <s v="3"/>
    <s v="7"/>
    <s v="2024-07-03"/>
    <d v="1899-12-30T13:51:15"/>
    <x v="0"/>
  </r>
  <r>
    <s v="16"/>
    <s v="card"/>
    <n v="37.72"/>
    <x v="7"/>
    <x v="1"/>
    <x v="5"/>
    <x v="4"/>
    <s v="3"/>
    <s v="7"/>
    <s v="2024-07-03"/>
    <d v="1899-12-30T16:01:17"/>
    <x v="0"/>
  </r>
  <r>
    <s v="16"/>
    <s v="card"/>
    <n v="37.72"/>
    <x v="7"/>
    <x v="1"/>
    <x v="5"/>
    <x v="4"/>
    <s v="3"/>
    <s v="7"/>
    <s v="2024-07-03"/>
    <d v="1899-12-30T16:50:25"/>
    <x v="0"/>
  </r>
  <r>
    <s v="16"/>
    <s v="card"/>
    <n v="32.82"/>
    <x v="3"/>
    <x v="1"/>
    <x v="5"/>
    <x v="4"/>
    <s v="3"/>
    <s v="7"/>
    <s v="2024-07-03"/>
    <d v="1899-12-30T16:53:16"/>
    <x v="0"/>
  </r>
  <r>
    <s v="16"/>
    <s v="card"/>
    <n v="32.82"/>
    <x v="3"/>
    <x v="1"/>
    <x v="5"/>
    <x v="4"/>
    <s v="3"/>
    <s v="7"/>
    <s v="2024-07-03"/>
    <d v="1899-12-30T16:54:23"/>
    <x v="0"/>
  </r>
  <r>
    <s v="16"/>
    <s v="card"/>
    <n v="37.72"/>
    <x v="0"/>
    <x v="1"/>
    <x v="5"/>
    <x v="4"/>
    <s v="3"/>
    <s v="7"/>
    <s v="2024-07-03"/>
    <d v="1899-12-30T16:55:31"/>
    <x v="0"/>
  </r>
  <r>
    <s v="16"/>
    <s v="card"/>
    <n v="23.02"/>
    <x v="6"/>
    <x v="1"/>
    <x v="5"/>
    <x v="4"/>
    <s v="3"/>
    <s v="7"/>
    <s v="2024-07-03"/>
    <d v="1899-12-30T16:59:26"/>
    <x v="0"/>
  </r>
  <r>
    <s v="17"/>
    <s v="card"/>
    <n v="37.72"/>
    <x v="7"/>
    <x v="2"/>
    <x v="5"/>
    <x v="4"/>
    <s v="3"/>
    <s v="7"/>
    <s v="2024-07-03"/>
    <d v="1899-12-30T17:59:02"/>
    <x v="0"/>
  </r>
  <r>
    <s v="19"/>
    <s v="card"/>
    <n v="37.72"/>
    <x v="0"/>
    <x v="2"/>
    <x v="5"/>
    <x v="4"/>
    <s v="3"/>
    <s v="7"/>
    <s v="2024-07-03"/>
    <d v="1899-12-30T19:06:09"/>
    <x v="0"/>
  </r>
  <r>
    <s v="10"/>
    <s v="card"/>
    <n v="32.82"/>
    <x v="3"/>
    <x v="0"/>
    <x v="6"/>
    <x v="4"/>
    <s v="4"/>
    <s v="7"/>
    <s v="2024-07-04"/>
    <d v="1899-12-30T10:26:24"/>
    <x v="0"/>
  </r>
  <r>
    <s v="10"/>
    <s v="card"/>
    <n v="27.92"/>
    <x v="2"/>
    <x v="0"/>
    <x v="6"/>
    <x v="4"/>
    <s v="4"/>
    <s v="7"/>
    <s v="2024-07-04"/>
    <d v="1899-12-30T10:27:30"/>
    <x v="0"/>
  </r>
  <r>
    <s v="12"/>
    <s v="card"/>
    <n v="37.72"/>
    <x v="4"/>
    <x v="1"/>
    <x v="0"/>
    <x v="4"/>
    <s v="5"/>
    <s v="7"/>
    <s v="2024-07-05"/>
    <d v="1899-12-30T12:20:29"/>
    <x v="0"/>
  </r>
  <r>
    <s v="13"/>
    <s v="card"/>
    <n v="32.82"/>
    <x v="3"/>
    <x v="1"/>
    <x v="0"/>
    <x v="4"/>
    <s v="5"/>
    <s v="7"/>
    <s v="2024-07-05"/>
    <d v="1899-12-30T13:43:43"/>
    <x v="0"/>
  </r>
  <r>
    <s v="13"/>
    <s v="card"/>
    <n v="32.82"/>
    <x v="3"/>
    <x v="1"/>
    <x v="0"/>
    <x v="4"/>
    <s v="5"/>
    <s v="7"/>
    <s v="2024-07-05"/>
    <d v="1899-12-30T13:44:44"/>
    <x v="0"/>
  </r>
  <r>
    <s v="18"/>
    <s v="card"/>
    <n v="23.02"/>
    <x v="6"/>
    <x v="2"/>
    <x v="0"/>
    <x v="4"/>
    <s v="5"/>
    <s v="7"/>
    <s v="2024-07-05"/>
    <d v="1899-12-30T18:55:56"/>
    <x v="0"/>
  </r>
  <r>
    <s v="19"/>
    <s v="card"/>
    <n v="27.92"/>
    <x v="2"/>
    <x v="2"/>
    <x v="0"/>
    <x v="4"/>
    <s v="5"/>
    <s v="7"/>
    <s v="2024-07-05"/>
    <d v="1899-12-30T19:55:08"/>
    <x v="0"/>
  </r>
  <r>
    <s v="22"/>
    <s v="card"/>
    <n v="23.02"/>
    <x v="6"/>
    <x v="2"/>
    <x v="0"/>
    <x v="4"/>
    <s v="5"/>
    <s v="7"/>
    <s v="2024-07-05"/>
    <d v="1899-12-30T22:11:56"/>
    <x v="0"/>
  </r>
  <r>
    <s v="22"/>
    <s v="card"/>
    <n v="27.92"/>
    <x v="2"/>
    <x v="2"/>
    <x v="0"/>
    <x v="4"/>
    <s v="5"/>
    <s v="7"/>
    <s v="2024-07-05"/>
    <d v="1899-12-30T22:18:03"/>
    <x v="0"/>
  </r>
  <r>
    <s v="22"/>
    <s v="card"/>
    <n v="27.92"/>
    <x v="2"/>
    <x v="2"/>
    <x v="0"/>
    <x v="4"/>
    <s v="5"/>
    <s v="7"/>
    <s v="2024-07-05"/>
    <d v="1899-12-30T22:18:57"/>
    <x v="0"/>
  </r>
  <r>
    <s v="22"/>
    <s v="card"/>
    <n v="37.72"/>
    <x v="7"/>
    <x v="2"/>
    <x v="0"/>
    <x v="4"/>
    <s v="5"/>
    <s v="7"/>
    <s v="2024-07-05"/>
    <d v="1899-12-30T22:20:01"/>
    <x v="0"/>
  </r>
  <r>
    <s v="22"/>
    <s v="card"/>
    <n v="32.82"/>
    <x v="3"/>
    <x v="2"/>
    <x v="0"/>
    <x v="4"/>
    <s v="5"/>
    <s v="7"/>
    <s v="2024-07-05"/>
    <d v="1899-12-30T22:21:09"/>
    <x v="0"/>
  </r>
  <r>
    <s v="10"/>
    <s v="card"/>
    <n v="37.72"/>
    <x v="0"/>
    <x v="0"/>
    <x v="1"/>
    <x v="4"/>
    <s v="6"/>
    <s v="7"/>
    <s v="2024-07-06"/>
    <d v="1899-12-30T10:28:07"/>
    <x v="0"/>
  </r>
  <r>
    <s v="17"/>
    <s v="card"/>
    <n v="32.82"/>
    <x v="0"/>
    <x v="2"/>
    <x v="1"/>
    <x v="4"/>
    <s v="6"/>
    <s v="7"/>
    <s v="2024-07-06"/>
    <d v="1899-12-30T17:15:46"/>
    <x v="0"/>
  </r>
  <r>
    <s v="17"/>
    <s v="card"/>
    <n v="32.82"/>
    <x v="0"/>
    <x v="2"/>
    <x v="1"/>
    <x v="4"/>
    <s v="6"/>
    <s v="7"/>
    <s v="2024-07-06"/>
    <d v="1899-12-30T17:17:01"/>
    <x v="0"/>
  </r>
  <r>
    <s v="19"/>
    <s v="card"/>
    <n v="32.82"/>
    <x v="0"/>
    <x v="2"/>
    <x v="1"/>
    <x v="4"/>
    <s v="6"/>
    <s v="7"/>
    <s v="2024-07-06"/>
    <d v="1899-12-30T19:09:46"/>
    <x v="0"/>
  </r>
  <r>
    <s v="19"/>
    <s v="card"/>
    <n v="27.92"/>
    <x v="3"/>
    <x v="2"/>
    <x v="1"/>
    <x v="4"/>
    <s v="6"/>
    <s v="7"/>
    <s v="2024-07-06"/>
    <d v="1899-12-30T19:10:40"/>
    <x v="0"/>
  </r>
  <r>
    <s v="9"/>
    <s v="card"/>
    <n v="32.82"/>
    <x v="7"/>
    <x v="0"/>
    <x v="2"/>
    <x v="4"/>
    <s v="7"/>
    <s v="7"/>
    <s v="2024-07-07"/>
    <d v="1899-12-30T09:04:20"/>
    <x v="0"/>
  </r>
  <r>
    <s v="9"/>
    <s v="card"/>
    <n v="27.92"/>
    <x v="3"/>
    <x v="0"/>
    <x v="2"/>
    <x v="4"/>
    <s v="7"/>
    <s v="7"/>
    <s v="2024-07-07"/>
    <d v="1899-12-30T09:14:29"/>
    <x v="0"/>
  </r>
  <r>
    <s v="9"/>
    <s v="card"/>
    <n v="27.92"/>
    <x v="3"/>
    <x v="0"/>
    <x v="2"/>
    <x v="4"/>
    <s v="7"/>
    <s v="7"/>
    <s v="2024-07-07"/>
    <d v="1899-12-30T09:15:37"/>
    <x v="0"/>
  </r>
  <r>
    <s v="9"/>
    <s v="card"/>
    <n v="32.82"/>
    <x v="7"/>
    <x v="0"/>
    <x v="2"/>
    <x v="4"/>
    <s v="7"/>
    <s v="7"/>
    <s v="2024-07-07"/>
    <d v="1899-12-30T09:28:49"/>
    <x v="0"/>
  </r>
  <r>
    <s v="9"/>
    <s v="card"/>
    <n v="32.82"/>
    <x v="7"/>
    <x v="0"/>
    <x v="2"/>
    <x v="4"/>
    <s v="7"/>
    <s v="7"/>
    <s v="2024-07-07"/>
    <d v="1899-12-30T09:29:56"/>
    <x v="0"/>
  </r>
  <r>
    <s v="14"/>
    <s v="card"/>
    <n v="32.82"/>
    <x v="1"/>
    <x v="1"/>
    <x v="2"/>
    <x v="4"/>
    <s v="7"/>
    <s v="7"/>
    <s v="2024-07-07"/>
    <d v="1899-12-30T14:56:30"/>
    <x v="0"/>
  </r>
  <r>
    <s v="14"/>
    <s v="card"/>
    <n v="32.82"/>
    <x v="4"/>
    <x v="1"/>
    <x v="2"/>
    <x v="4"/>
    <s v="7"/>
    <s v="7"/>
    <s v="2024-07-07"/>
    <d v="1899-12-30T14:57:47"/>
    <x v="0"/>
  </r>
  <r>
    <s v="17"/>
    <s v="card"/>
    <n v="32.82"/>
    <x v="0"/>
    <x v="2"/>
    <x v="2"/>
    <x v="4"/>
    <s v="7"/>
    <s v="7"/>
    <s v="2024-07-07"/>
    <d v="1899-12-30T17:07:50"/>
    <x v="0"/>
  </r>
  <r>
    <s v="19"/>
    <s v="card"/>
    <n v="32.82"/>
    <x v="7"/>
    <x v="2"/>
    <x v="2"/>
    <x v="4"/>
    <s v="7"/>
    <s v="7"/>
    <s v="2024-07-07"/>
    <d v="1899-12-30T19:33:27"/>
    <x v="0"/>
  </r>
  <r>
    <s v="20"/>
    <s v="card"/>
    <n v="32.82"/>
    <x v="1"/>
    <x v="2"/>
    <x v="2"/>
    <x v="4"/>
    <s v="7"/>
    <s v="7"/>
    <s v="2024-07-07"/>
    <d v="1899-12-30T20:01:32"/>
    <x v="0"/>
  </r>
  <r>
    <s v="22"/>
    <s v="card"/>
    <n v="27.92"/>
    <x v="3"/>
    <x v="2"/>
    <x v="2"/>
    <x v="4"/>
    <s v="7"/>
    <s v="7"/>
    <s v="2024-07-07"/>
    <d v="1899-12-30T22:33:36"/>
    <x v="0"/>
  </r>
  <r>
    <s v="7"/>
    <s v="card"/>
    <n v="32.82"/>
    <x v="0"/>
    <x v="0"/>
    <x v="3"/>
    <x v="4"/>
    <s v="1"/>
    <s v="7"/>
    <s v="2024-07-08"/>
    <d v="1899-12-30T07:33:08"/>
    <x v="0"/>
  </r>
  <r>
    <s v="12"/>
    <s v="card"/>
    <n v="23.02"/>
    <x v="2"/>
    <x v="1"/>
    <x v="3"/>
    <x v="4"/>
    <s v="1"/>
    <s v="7"/>
    <s v="2024-07-08"/>
    <d v="1899-12-30T12:02:50"/>
    <x v="0"/>
  </r>
  <r>
    <s v="14"/>
    <s v="card"/>
    <n v="23.02"/>
    <x v="2"/>
    <x v="1"/>
    <x v="3"/>
    <x v="4"/>
    <s v="1"/>
    <s v="7"/>
    <s v="2024-07-08"/>
    <d v="1899-12-30T14:40:24"/>
    <x v="0"/>
  </r>
  <r>
    <s v="19"/>
    <s v="card"/>
    <n v="27.92"/>
    <x v="3"/>
    <x v="2"/>
    <x v="3"/>
    <x v="4"/>
    <s v="1"/>
    <s v="7"/>
    <s v="2024-07-08"/>
    <d v="1899-12-30T19:30:35"/>
    <x v="0"/>
  </r>
  <r>
    <s v="22"/>
    <s v="card"/>
    <n v="32.82"/>
    <x v="0"/>
    <x v="2"/>
    <x v="3"/>
    <x v="4"/>
    <s v="1"/>
    <s v="7"/>
    <s v="2024-07-08"/>
    <d v="1899-12-30T22:14:46"/>
    <x v="0"/>
  </r>
  <r>
    <s v="10"/>
    <s v="card"/>
    <n v="27.92"/>
    <x v="3"/>
    <x v="0"/>
    <x v="4"/>
    <x v="4"/>
    <s v="2"/>
    <s v="7"/>
    <s v="2024-07-09"/>
    <d v="1899-12-30T10:26:52"/>
    <x v="0"/>
  </r>
  <r>
    <s v="10"/>
    <s v="card"/>
    <n v="27.92"/>
    <x v="3"/>
    <x v="0"/>
    <x v="4"/>
    <x v="4"/>
    <s v="2"/>
    <s v="7"/>
    <s v="2024-07-09"/>
    <d v="1899-12-30T10:40:29"/>
    <x v="0"/>
  </r>
  <r>
    <s v="11"/>
    <s v="card"/>
    <n v="27.92"/>
    <x v="3"/>
    <x v="0"/>
    <x v="4"/>
    <x v="4"/>
    <s v="2"/>
    <s v="7"/>
    <s v="2024-07-09"/>
    <d v="1899-12-30T11:21:36"/>
    <x v="0"/>
  </r>
  <r>
    <s v="11"/>
    <s v="card"/>
    <n v="32.82"/>
    <x v="7"/>
    <x v="0"/>
    <x v="4"/>
    <x v="4"/>
    <s v="2"/>
    <s v="7"/>
    <s v="2024-07-09"/>
    <d v="1899-12-30T11:22:50"/>
    <x v="0"/>
  </r>
  <r>
    <s v="16"/>
    <s v="card"/>
    <n v="27.92"/>
    <x v="3"/>
    <x v="1"/>
    <x v="4"/>
    <x v="4"/>
    <s v="2"/>
    <s v="7"/>
    <s v="2024-07-09"/>
    <d v="1899-12-30T16:43:00"/>
    <x v="0"/>
  </r>
  <r>
    <s v="11"/>
    <s v="card"/>
    <n v="23.02"/>
    <x v="2"/>
    <x v="0"/>
    <x v="5"/>
    <x v="4"/>
    <s v="3"/>
    <s v="7"/>
    <s v="2024-07-10"/>
    <d v="1899-12-30T11:10:42"/>
    <x v="0"/>
  </r>
  <r>
    <s v="12"/>
    <s v="card"/>
    <n v="27.92"/>
    <x v="3"/>
    <x v="1"/>
    <x v="5"/>
    <x v="4"/>
    <s v="3"/>
    <s v="7"/>
    <s v="2024-07-10"/>
    <d v="1899-12-30T12:28:54"/>
    <x v="0"/>
  </r>
  <r>
    <s v="22"/>
    <s v="card"/>
    <n v="32.82"/>
    <x v="0"/>
    <x v="2"/>
    <x v="5"/>
    <x v="4"/>
    <s v="3"/>
    <s v="7"/>
    <s v="2024-07-10"/>
    <d v="1899-12-30T22:13:10"/>
    <x v="0"/>
  </r>
  <r>
    <s v="11"/>
    <s v="card"/>
    <n v="32.82"/>
    <x v="1"/>
    <x v="0"/>
    <x v="6"/>
    <x v="4"/>
    <s v="4"/>
    <s v="7"/>
    <s v="2024-07-11"/>
    <d v="1899-12-30T11:27:28"/>
    <x v="0"/>
  </r>
  <r>
    <s v="16"/>
    <s v="card"/>
    <n v="27.92"/>
    <x v="3"/>
    <x v="1"/>
    <x v="6"/>
    <x v="4"/>
    <s v="4"/>
    <s v="7"/>
    <s v="2024-07-11"/>
    <d v="1899-12-30T16:48:19"/>
    <x v="0"/>
  </r>
  <r>
    <s v="22"/>
    <s v="card"/>
    <n v="32.82"/>
    <x v="0"/>
    <x v="2"/>
    <x v="6"/>
    <x v="4"/>
    <s v="4"/>
    <s v="7"/>
    <s v="2024-07-11"/>
    <d v="1899-12-30T22:22:14"/>
    <x v="0"/>
  </r>
  <r>
    <s v="22"/>
    <s v="card"/>
    <n v="23.02"/>
    <x v="2"/>
    <x v="2"/>
    <x v="6"/>
    <x v="4"/>
    <s v="4"/>
    <s v="7"/>
    <s v="2024-07-11"/>
    <d v="1899-12-30T22:30:59"/>
    <x v="0"/>
  </r>
  <r>
    <s v="8"/>
    <s v="card"/>
    <n v="23.02"/>
    <x v="5"/>
    <x v="0"/>
    <x v="0"/>
    <x v="4"/>
    <s v="5"/>
    <s v="7"/>
    <s v="2024-07-12"/>
    <d v="1899-12-30T08:03:17"/>
    <x v="0"/>
  </r>
  <r>
    <s v="11"/>
    <s v="card"/>
    <n v="32.82"/>
    <x v="1"/>
    <x v="0"/>
    <x v="0"/>
    <x v="4"/>
    <s v="5"/>
    <s v="7"/>
    <s v="2024-07-12"/>
    <d v="1899-12-30T11:48:33"/>
    <x v="0"/>
  </r>
  <r>
    <s v="22"/>
    <s v="card"/>
    <n v="32.82"/>
    <x v="1"/>
    <x v="2"/>
    <x v="0"/>
    <x v="4"/>
    <s v="5"/>
    <s v="7"/>
    <s v="2024-07-12"/>
    <d v="1899-12-30T22:33:26"/>
    <x v="0"/>
  </r>
  <r>
    <s v="22"/>
    <s v="card"/>
    <n v="32.82"/>
    <x v="1"/>
    <x v="2"/>
    <x v="0"/>
    <x v="4"/>
    <s v="5"/>
    <s v="7"/>
    <s v="2024-07-12"/>
    <d v="1899-12-30T22:34:14"/>
    <x v="0"/>
  </r>
  <r>
    <s v="22"/>
    <s v="card"/>
    <n v="32.82"/>
    <x v="1"/>
    <x v="2"/>
    <x v="0"/>
    <x v="4"/>
    <s v="5"/>
    <s v="7"/>
    <s v="2024-07-12"/>
    <d v="1899-12-30T22:35:30"/>
    <x v="0"/>
  </r>
  <r>
    <s v="10"/>
    <s v="card"/>
    <n v="32.82"/>
    <x v="0"/>
    <x v="0"/>
    <x v="1"/>
    <x v="4"/>
    <s v="6"/>
    <s v="7"/>
    <s v="2024-07-13"/>
    <d v="1899-12-30T10:38:10"/>
    <x v="0"/>
  </r>
  <r>
    <s v="11"/>
    <s v="card"/>
    <n v="32.82"/>
    <x v="0"/>
    <x v="0"/>
    <x v="1"/>
    <x v="4"/>
    <s v="6"/>
    <s v="7"/>
    <s v="2024-07-13"/>
    <d v="1899-12-30T11:41:38"/>
    <x v="0"/>
  </r>
  <r>
    <s v="10"/>
    <s v="card"/>
    <n v="23.02"/>
    <x v="2"/>
    <x v="0"/>
    <x v="2"/>
    <x v="4"/>
    <s v="7"/>
    <s v="7"/>
    <s v="2024-07-14"/>
    <d v="1899-12-30T10:54:24"/>
    <x v="0"/>
  </r>
  <r>
    <s v="10"/>
    <s v="card"/>
    <n v="27.92"/>
    <x v="3"/>
    <x v="0"/>
    <x v="2"/>
    <x v="4"/>
    <s v="7"/>
    <s v="7"/>
    <s v="2024-07-14"/>
    <d v="1899-12-30T10:55:31"/>
    <x v="0"/>
  </r>
  <r>
    <s v="10"/>
    <s v="card"/>
    <n v="32.82"/>
    <x v="7"/>
    <x v="0"/>
    <x v="2"/>
    <x v="4"/>
    <s v="7"/>
    <s v="7"/>
    <s v="2024-07-14"/>
    <d v="1899-12-30T10:56:30"/>
    <x v="0"/>
  </r>
  <r>
    <s v="10"/>
    <s v="card"/>
    <n v="32.82"/>
    <x v="0"/>
    <x v="0"/>
    <x v="2"/>
    <x v="4"/>
    <s v="7"/>
    <s v="7"/>
    <s v="2024-07-14"/>
    <d v="1899-12-30T10:57:54"/>
    <x v="0"/>
  </r>
  <r>
    <s v="11"/>
    <s v="card"/>
    <n v="23.02"/>
    <x v="2"/>
    <x v="0"/>
    <x v="2"/>
    <x v="4"/>
    <s v="7"/>
    <s v="7"/>
    <s v="2024-07-14"/>
    <d v="1899-12-30T11:02:12"/>
    <x v="0"/>
  </r>
  <r>
    <s v="22"/>
    <s v="card"/>
    <n v="32.82"/>
    <x v="0"/>
    <x v="2"/>
    <x v="2"/>
    <x v="4"/>
    <s v="7"/>
    <s v="7"/>
    <s v="2024-07-14"/>
    <d v="1899-12-30T22:31:30"/>
    <x v="0"/>
  </r>
  <r>
    <s v="7"/>
    <s v="card"/>
    <n v="32.82"/>
    <x v="7"/>
    <x v="0"/>
    <x v="3"/>
    <x v="4"/>
    <s v="1"/>
    <s v="7"/>
    <s v="2024-07-15"/>
    <d v="1899-12-30T07:33:06"/>
    <x v="0"/>
  </r>
  <r>
    <s v="12"/>
    <s v="card"/>
    <n v="27.92"/>
    <x v="3"/>
    <x v="1"/>
    <x v="4"/>
    <x v="4"/>
    <s v="2"/>
    <s v="7"/>
    <s v="2024-07-16"/>
    <d v="1899-12-30T12:23:37"/>
    <x v="0"/>
  </r>
  <r>
    <s v="19"/>
    <s v="card"/>
    <n v="32.82"/>
    <x v="1"/>
    <x v="2"/>
    <x v="4"/>
    <x v="4"/>
    <s v="2"/>
    <s v="7"/>
    <s v="2024-07-16"/>
    <d v="1899-12-30T19:29:25"/>
    <x v="0"/>
  </r>
  <r>
    <s v="13"/>
    <s v="card"/>
    <n v="27.92"/>
    <x v="3"/>
    <x v="1"/>
    <x v="5"/>
    <x v="4"/>
    <s v="3"/>
    <s v="7"/>
    <s v="2024-07-17"/>
    <d v="1899-12-30T13:05:00"/>
    <x v="0"/>
  </r>
  <r>
    <s v="11"/>
    <s v="card"/>
    <n v="27.92"/>
    <x v="3"/>
    <x v="0"/>
    <x v="6"/>
    <x v="4"/>
    <s v="4"/>
    <s v="7"/>
    <s v="2024-07-18"/>
    <d v="1899-12-30T11:10:13"/>
    <x v="0"/>
  </r>
  <r>
    <s v="11"/>
    <s v="card"/>
    <n v="18.12"/>
    <x v="6"/>
    <x v="0"/>
    <x v="6"/>
    <x v="4"/>
    <s v="4"/>
    <s v="7"/>
    <s v="2024-07-18"/>
    <d v="1899-12-30T11:11:23"/>
    <x v="0"/>
  </r>
  <r>
    <s v="11"/>
    <s v="card"/>
    <n v="23.02"/>
    <x v="2"/>
    <x v="0"/>
    <x v="6"/>
    <x v="4"/>
    <s v="4"/>
    <s v="7"/>
    <s v="2024-07-18"/>
    <d v="1899-12-30T11:33:00"/>
    <x v="0"/>
  </r>
  <r>
    <s v="11"/>
    <s v="card"/>
    <n v="23.02"/>
    <x v="2"/>
    <x v="0"/>
    <x v="6"/>
    <x v="4"/>
    <s v="4"/>
    <s v="7"/>
    <s v="2024-07-18"/>
    <d v="1899-12-30T11:34:48"/>
    <x v="0"/>
  </r>
  <r>
    <s v="11"/>
    <s v="card"/>
    <n v="23.02"/>
    <x v="5"/>
    <x v="0"/>
    <x v="6"/>
    <x v="4"/>
    <s v="4"/>
    <s v="7"/>
    <s v="2024-07-18"/>
    <d v="1899-12-30T11:35:52"/>
    <x v="0"/>
  </r>
  <r>
    <s v="13"/>
    <s v="card"/>
    <n v="32.82"/>
    <x v="0"/>
    <x v="1"/>
    <x v="6"/>
    <x v="4"/>
    <s v="4"/>
    <s v="7"/>
    <s v="2024-07-18"/>
    <d v="1899-12-30T13:23:34"/>
    <x v="0"/>
  </r>
  <r>
    <s v="18"/>
    <s v="card"/>
    <n v="32.82"/>
    <x v="7"/>
    <x v="2"/>
    <x v="6"/>
    <x v="4"/>
    <s v="4"/>
    <s v="7"/>
    <s v="2024-07-18"/>
    <d v="1899-12-30T18:18:23"/>
    <x v="0"/>
  </r>
  <r>
    <s v="19"/>
    <s v="card"/>
    <n v="32.82"/>
    <x v="0"/>
    <x v="2"/>
    <x v="6"/>
    <x v="4"/>
    <s v="4"/>
    <s v="7"/>
    <s v="2024-07-18"/>
    <d v="1899-12-30T19:30:51"/>
    <x v="0"/>
  </r>
  <r>
    <s v="21"/>
    <s v="card"/>
    <n v="32.82"/>
    <x v="1"/>
    <x v="2"/>
    <x v="6"/>
    <x v="4"/>
    <s v="4"/>
    <s v="7"/>
    <s v="2024-07-18"/>
    <d v="1899-12-30T21:19:42"/>
    <x v="0"/>
  </r>
  <r>
    <s v="21"/>
    <s v="card"/>
    <n v="32.82"/>
    <x v="0"/>
    <x v="2"/>
    <x v="6"/>
    <x v="4"/>
    <s v="4"/>
    <s v="7"/>
    <s v="2024-07-18"/>
    <d v="1899-12-30T21:22:00"/>
    <x v="0"/>
  </r>
  <r>
    <s v="21"/>
    <s v="card"/>
    <n v="32.82"/>
    <x v="0"/>
    <x v="2"/>
    <x v="6"/>
    <x v="4"/>
    <s v="4"/>
    <s v="7"/>
    <s v="2024-07-18"/>
    <d v="1899-12-30T21:46:19"/>
    <x v="0"/>
  </r>
  <r>
    <s v="11"/>
    <s v="card"/>
    <n v="23.02"/>
    <x v="2"/>
    <x v="0"/>
    <x v="0"/>
    <x v="4"/>
    <s v="5"/>
    <s v="7"/>
    <s v="2024-07-19"/>
    <d v="1899-12-30T11:03:02"/>
    <x v="0"/>
  </r>
  <r>
    <s v="11"/>
    <s v="card"/>
    <n v="27.92"/>
    <x v="3"/>
    <x v="0"/>
    <x v="0"/>
    <x v="4"/>
    <s v="5"/>
    <s v="7"/>
    <s v="2024-07-19"/>
    <d v="1899-12-30T11:16:21"/>
    <x v="0"/>
  </r>
  <r>
    <s v="12"/>
    <s v="card"/>
    <n v="32.82"/>
    <x v="0"/>
    <x v="1"/>
    <x v="0"/>
    <x v="4"/>
    <s v="5"/>
    <s v="7"/>
    <s v="2024-07-19"/>
    <d v="1899-12-30T12:58:38"/>
    <x v="0"/>
  </r>
  <r>
    <s v="12"/>
    <s v="card"/>
    <n v="27.92"/>
    <x v="3"/>
    <x v="1"/>
    <x v="0"/>
    <x v="4"/>
    <s v="5"/>
    <s v="7"/>
    <s v="2024-07-19"/>
    <d v="1899-12-30T12:59:55"/>
    <x v="0"/>
  </r>
  <r>
    <s v="14"/>
    <s v="card"/>
    <n v="32.82"/>
    <x v="0"/>
    <x v="1"/>
    <x v="0"/>
    <x v="4"/>
    <s v="5"/>
    <s v="7"/>
    <s v="2024-07-19"/>
    <d v="1899-12-30T14:09:21"/>
    <x v="0"/>
  </r>
  <r>
    <s v="14"/>
    <s v="card"/>
    <n v="32.82"/>
    <x v="4"/>
    <x v="1"/>
    <x v="0"/>
    <x v="4"/>
    <s v="5"/>
    <s v="7"/>
    <s v="2024-07-19"/>
    <d v="1899-12-30T14:11:22"/>
    <x v="0"/>
  </r>
  <r>
    <s v="16"/>
    <s v="card"/>
    <n v="32.82"/>
    <x v="0"/>
    <x v="1"/>
    <x v="0"/>
    <x v="4"/>
    <s v="5"/>
    <s v="7"/>
    <s v="2024-07-19"/>
    <d v="1899-12-30T16:36:19"/>
    <x v="0"/>
  </r>
  <r>
    <s v="16"/>
    <s v="card"/>
    <n v="32.82"/>
    <x v="0"/>
    <x v="1"/>
    <x v="0"/>
    <x v="4"/>
    <s v="5"/>
    <s v="7"/>
    <s v="2024-07-19"/>
    <d v="1899-12-30T16:37:36"/>
    <x v="0"/>
  </r>
  <r>
    <s v="8"/>
    <s v="card"/>
    <n v="23.02"/>
    <x v="2"/>
    <x v="0"/>
    <x v="1"/>
    <x v="4"/>
    <s v="6"/>
    <s v="7"/>
    <s v="2024-07-20"/>
    <d v="1899-12-30T08:05:44"/>
    <x v="0"/>
  </r>
  <r>
    <s v="8"/>
    <s v="card"/>
    <n v="32.82"/>
    <x v="0"/>
    <x v="0"/>
    <x v="1"/>
    <x v="4"/>
    <s v="6"/>
    <s v="7"/>
    <s v="2024-07-20"/>
    <d v="1899-12-30T08:06:49"/>
    <x v="0"/>
  </r>
  <r>
    <s v="8"/>
    <s v="card"/>
    <n v="23.02"/>
    <x v="2"/>
    <x v="0"/>
    <x v="1"/>
    <x v="4"/>
    <s v="6"/>
    <s v="7"/>
    <s v="2024-07-20"/>
    <d v="1899-12-30T08:07:51"/>
    <x v="0"/>
  </r>
  <r>
    <s v="9"/>
    <s v="card"/>
    <n v="32.82"/>
    <x v="0"/>
    <x v="0"/>
    <x v="1"/>
    <x v="4"/>
    <s v="6"/>
    <s v="7"/>
    <s v="2024-07-20"/>
    <d v="1899-12-30T09:00:54"/>
    <x v="0"/>
  </r>
  <r>
    <s v="9"/>
    <s v="card"/>
    <n v="32.82"/>
    <x v="0"/>
    <x v="0"/>
    <x v="1"/>
    <x v="4"/>
    <s v="6"/>
    <s v="7"/>
    <s v="2024-07-20"/>
    <d v="1899-12-30T09:02:28"/>
    <x v="0"/>
  </r>
  <r>
    <s v="10"/>
    <s v="card"/>
    <n v="23.02"/>
    <x v="2"/>
    <x v="0"/>
    <x v="1"/>
    <x v="4"/>
    <s v="6"/>
    <s v="7"/>
    <s v="2024-07-20"/>
    <d v="1899-12-30T10:39:21"/>
    <x v="0"/>
  </r>
  <r>
    <s v="15"/>
    <s v="card"/>
    <n v="32.82"/>
    <x v="0"/>
    <x v="1"/>
    <x v="1"/>
    <x v="4"/>
    <s v="6"/>
    <s v="7"/>
    <s v="2024-07-20"/>
    <d v="1899-12-30T15:15:09"/>
    <x v="0"/>
  </r>
  <r>
    <s v="10"/>
    <s v="card"/>
    <n v="32.82"/>
    <x v="4"/>
    <x v="0"/>
    <x v="2"/>
    <x v="4"/>
    <s v="7"/>
    <s v="7"/>
    <s v="2024-07-21"/>
    <d v="1899-12-30T10:30:56"/>
    <x v="0"/>
  </r>
  <r>
    <s v="11"/>
    <s v="card"/>
    <n v="32.82"/>
    <x v="7"/>
    <x v="0"/>
    <x v="2"/>
    <x v="4"/>
    <s v="7"/>
    <s v="7"/>
    <s v="2024-07-21"/>
    <d v="1899-12-30T11:39:29"/>
    <x v="0"/>
  </r>
  <r>
    <s v="13"/>
    <s v="card"/>
    <n v="23.02"/>
    <x v="5"/>
    <x v="1"/>
    <x v="2"/>
    <x v="4"/>
    <s v="7"/>
    <s v="7"/>
    <s v="2024-07-21"/>
    <d v="1899-12-30T13:34:31"/>
    <x v="0"/>
  </r>
  <r>
    <s v="13"/>
    <s v="card"/>
    <n v="32.82"/>
    <x v="0"/>
    <x v="1"/>
    <x v="2"/>
    <x v="4"/>
    <s v="7"/>
    <s v="7"/>
    <s v="2024-07-21"/>
    <d v="1899-12-30T13:42:31"/>
    <x v="0"/>
  </r>
  <r>
    <s v="8"/>
    <s v="card"/>
    <n v="23.02"/>
    <x v="2"/>
    <x v="0"/>
    <x v="3"/>
    <x v="4"/>
    <s v="1"/>
    <s v="7"/>
    <s v="2024-07-22"/>
    <d v="1899-12-30T08:13:23"/>
    <x v="0"/>
  </r>
  <r>
    <s v="8"/>
    <s v="card"/>
    <n v="23.02"/>
    <x v="2"/>
    <x v="0"/>
    <x v="3"/>
    <x v="4"/>
    <s v="1"/>
    <s v="7"/>
    <s v="2024-07-22"/>
    <d v="1899-12-30T08:40:50"/>
    <x v="0"/>
  </r>
  <r>
    <s v="10"/>
    <s v="card"/>
    <n v="27.92"/>
    <x v="3"/>
    <x v="0"/>
    <x v="3"/>
    <x v="4"/>
    <s v="1"/>
    <s v="7"/>
    <s v="2024-07-22"/>
    <d v="1899-12-30T10:15:37"/>
    <x v="0"/>
  </r>
  <r>
    <s v="16"/>
    <s v="card"/>
    <n v="32.82"/>
    <x v="0"/>
    <x v="1"/>
    <x v="3"/>
    <x v="4"/>
    <s v="1"/>
    <s v="7"/>
    <s v="2024-07-22"/>
    <d v="1899-12-30T16:44:38"/>
    <x v="0"/>
  </r>
  <r>
    <s v="8"/>
    <s v="card"/>
    <n v="32.82"/>
    <x v="0"/>
    <x v="0"/>
    <x v="4"/>
    <x v="4"/>
    <s v="2"/>
    <s v="7"/>
    <s v="2024-07-23"/>
    <d v="1899-12-30T08:12:56"/>
    <x v="0"/>
  </r>
  <r>
    <s v="8"/>
    <s v="card"/>
    <n v="23.02"/>
    <x v="2"/>
    <x v="0"/>
    <x v="4"/>
    <x v="4"/>
    <s v="2"/>
    <s v="7"/>
    <s v="2024-07-23"/>
    <d v="1899-12-30T08:40:19"/>
    <x v="0"/>
  </r>
  <r>
    <s v="8"/>
    <s v="card"/>
    <n v="27.92"/>
    <x v="3"/>
    <x v="0"/>
    <x v="4"/>
    <x v="4"/>
    <s v="2"/>
    <s v="7"/>
    <s v="2024-07-23"/>
    <d v="1899-12-30T08:44:54"/>
    <x v="0"/>
  </r>
  <r>
    <s v="8"/>
    <s v="card"/>
    <n v="32.82"/>
    <x v="4"/>
    <x v="0"/>
    <x v="4"/>
    <x v="4"/>
    <s v="2"/>
    <s v="7"/>
    <s v="2024-07-23"/>
    <d v="1899-12-30T08:49:25"/>
    <x v="0"/>
  </r>
  <r>
    <s v="8"/>
    <s v="card"/>
    <n v="32.82"/>
    <x v="0"/>
    <x v="0"/>
    <x v="4"/>
    <x v="4"/>
    <s v="2"/>
    <s v="7"/>
    <s v="2024-07-23"/>
    <d v="1899-12-30T08:51:10"/>
    <x v="0"/>
  </r>
  <r>
    <s v="9"/>
    <s v="card"/>
    <n v="23.02"/>
    <x v="2"/>
    <x v="0"/>
    <x v="4"/>
    <x v="4"/>
    <s v="2"/>
    <s v="7"/>
    <s v="2024-07-23"/>
    <d v="1899-12-30T09:01:46"/>
    <x v="0"/>
  </r>
  <r>
    <s v="10"/>
    <s v="card"/>
    <n v="27.92"/>
    <x v="3"/>
    <x v="0"/>
    <x v="4"/>
    <x v="4"/>
    <s v="2"/>
    <s v="7"/>
    <s v="2024-07-23"/>
    <d v="1899-12-30T10:03:36"/>
    <x v="0"/>
  </r>
  <r>
    <s v="15"/>
    <s v="card"/>
    <n v="27.92"/>
    <x v="3"/>
    <x v="1"/>
    <x v="4"/>
    <x v="4"/>
    <s v="2"/>
    <s v="7"/>
    <s v="2024-07-23"/>
    <d v="1899-12-30T15:20:05"/>
    <x v="0"/>
  </r>
  <r>
    <s v="15"/>
    <s v="card"/>
    <n v="32.82"/>
    <x v="0"/>
    <x v="1"/>
    <x v="4"/>
    <x v="4"/>
    <s v="2"/>
    <s v="7"/>
    <s v="2024-07-23"/>
    <d v="1899-12-30T15:21:01"/>
    <x v="0"/>
  </r>
  <r>
    <s v="21"/>
    <s v="card"/>
    <n v="32.82"/>
    <x v="0"/>
    <x v="2"/>
    <x v="4"/>
    <x v="4"/>
    <s v="2"/>
    <s v="7"/>
    <s v="2024-07-23"/>
    <d v="1899-12-30T21:01:41"/>
    <x v="0"/>
  </r>
  <r>
    <s v="21"/>
    <s v="card"/>
    <n v="23.02"/>
    <x v="2"/>
    <x v="2"/>
    <x v="4"/>
    <x v="4"/>
    <s v="2"/>
    <s v="7"/>
    <s v="2024-07-23"/>
    <d v="1899-12-30T21:23:14"/>
    <x v="0"/>
  </r>
  <r>
    <s v="21"/>
    <s v="card"/>
    <n v="23.02"/>
    <x v="2"/>
    <x v="2"/>
    <x v="4"/>
    <x v="4"/>
    <s v="2"/>
    <s v="7"/>
    <s v="2024-07-23"/>
    <d v="1899-12-30T21:24:23"/>
    <x v="0"/>
  </r>
  <r>
    <s v="9"/>
    <s v="card"/>
    <n v="27.92"/>
    <x v="3"/>
    <x v="0"/>
    <x v="5"/>
    <x v="4"/>
    <s v="3"/>
    <s v="7"/>
    <s v="2024-07-24"/>
    <d v="1899-12-30T09:16:10"/>
    <x v="0"/>
  </r>
  <r>
    <s v="9"/>
    <s v="card"/>
    <n v="27.92"/>
    <x v="3"/>
    <x v="0"/>
    <x v="5"/>
    <x v="4"/>
    <s v="3"/>
    <s v="7"/>
    <s v="2024-07-24"/>
    <d v="1899-12-30T09:38:55"/>
    <x v="0"/>
  </r>
  <r>
    <s v="9"/>
    <s v="card"/>
    <n v="18.12"/>
    <x v="6"/>
    <x v="0"/>
    <x v="5"/>
    <x v="4"/>
    <s v="3"/>
    <s v="7"/>
    <s v="2024-07-24"/>
    <d v="1899-12-30T09:54:37"/>
    <x v="0"/>
  </r>
  <r>
    <s v="11"/>
    <s v="card"/>
    <n v="32.82"/>
    <x v="7"/>
    <x v="0"/>
    <x v="5"/>
    <x v="4"/>
    <s v="3"/>
    <s v="7"/>
    <s v="2024-07-24"/>
    <d v="1899-12-30T11:43:53"/>
    <x v="0"/>
  </r>
  <r>
    <s v="13"/>
    <s v="card"/>
    <n v="32.82"/>
    <x v="0"/>
    <x v="1"/>
    <x v="5"/>
    <x v="4"/>
    <s v="3"/>
    <s v="7"/>
    <s v="2024-07-24"/>
    <d v="1899-12-30T13:55:14"/>
    <x v="0"/>
  </r>
  <r>
    <s v="14"/>
    <s v="card"/>
    <n v="18.12"/>
    <x v="6"/>
    <x v="1"/>
    <x v="5"/>
    <x v="4"/>
    <s v="3"/>
    <s v="7"/>
    <s v="2024-07-24"/>
    <d v="1899-12-30T14:45:50"/>
    <x v="0"/>
  </r>
  <r>
    <s v="15"/>
    <s v="card"/>
    <n v="32.82"/>
    <x v="0"/>
    <x v="1"/>
    <x v="5"/>
    <x v="4"/>
    <s v="3"/>
    <s v="7"/>
    <s v="2024-07-24"/>
    <d v="1899-12-30T15:18:31"/>
    <x v="0"/>
  </r>
  <r>
    <s v="19"/>
    <s v="card"/>
    <n v="32.82"/>
    <x v="7"/>
    <x v="2"/>
    <x v="5"/>
    <x v="4"/>
    <s v="3"/>
    <s v="7"/>
    <s v="2024-07-24"/>
    <d v="1899-12-30T19:15:06"/>
    <x v="0"/>
  </r>
  <r>
    <s v="19"/>
    <s v="card"/>
    <n v="32.82"/>
    <x v="7"/>
    <x v="2"/>
    <x v="5"/>
    <x v="4"/>
    <s v="3"/>
    <s v="7"/>
    <s v="2024-07-24"/>
    <d v="1899-12-30T19:17:00"/>
    <x v="0"/>
  </r>
  <r>
    <s v="21"/>
    <s v="card"/>
    <n v="27.92"/>
    <x v="3"/>
    <x v="2"/>
    <x v="5"/>
    <x v="4"/>
    <s v="3"/>
    <s v="7"/>
    <s v="2024-07-24"/>
    <d v="1899-12-30T21:17:37"/>
    <x v="0"/>
  </r>
  <r>
    <s v="21"/>
    <s v="card"/>
    <n v="23.02"/>
    <x v="2"/>
    <x v="2"/>
    <x v="5"/>
    <x v="4"/>
    <s v="3"/>
    <s v="7"/>
    <s v="2024-07-24"/>
    <d v="1899-12-30T21:18:41"/>
    <x v="0"/>
  </r>
  <r>
    <s v="21"/>
    <s v="card"/>
    <n v="23.02"/>
    <x v="2"/>
    <x v="2"/>
    <x v="5"/>
    <x v="4"/>
    <s v="3"/>
    <s v="7"/>
    <s v="2024-07-24"/>
    <d v="1899-12-30T21:25:17"/>
    <x v="0"/>
  </r>
  <r>
    <s v="7"/>
    <s v="card"/>
    <n v="23.02"/>
    <x v="2"/>
    <x v="0"/>
    <x v="6"/>
    <x v="4"/>
    <s v="4"/>
    <s v="7"/>
    <s v="2024-07-25"/>
    <d v="1899-12-30T07:54:48"/>
    <x v="0"/>
  </r>
  <r>
    <s v="8"/>
    <s v="card"/>
    <n v="32.82"/>
    <x v="0"/>
    <x v="0"/>
    <x v="6"/>
    <x v="4"/>
    <s v="4"/>
    <s v="7"/>
    <s v="2024-07-25"/>
    <d v="1899-12-30T08:49:18"/>
    <x v="0"/>
  </r>
  <r>
    <s v="10"/>
    <s v="card"/>
    <n v="27.92"/>
    <x v="3"/>
    <x v="0"/>
    <x v="6"/>
    <x v="4"/>
    <s v="4"/>
    <s v="7"/>
    <s v="2024-07-25"/>
    <d v="1899-12-30T10:29:45"/>
    <x v="0"/>
  </r>
  <r>
    <s v="11"/>
    <s v="card"/>
    <n v="23.02"/>
    <x v="2"/>
    <x v="0"/>
    <x v="6"/>
    <x v="4"/>
    <s v="4"/>
    <s v="7"/>
    <s v="2024-07-25"/>
    <d v="1899-12-30T11:26:05"/>
    <x v="0"/>
  </r>
  <r>
    <s v="15"/>
    <s v="card"/>
    <n v="32.82"/>
    <x v="7"/>
    <x v="1"/>
    <x v="6"/>
    <x v="4"/>
    <s v="4"/>
    <s v="7"/>
    <s v="2024-07-25"/>
    <d v="1899-12-30T15:25:07"/>
    <x v="0"/>
  </r>
  <r>
    <s v="19"/>
    <s v="card"/>
    <n v="32.82"/>
    <x v="7"/>
    <x v="2"/>
    <x v="6"/>
    <x v="4"/>
    <s v="4"/>
    <s v="7"/>
    <s v="2024-07-25"/>
    <d v="1899-12-30T19:21:01"/>
    <x v="0"/>
  </r>
  <r>
    <s v="21"/>
    <s v="card"/>
    <n v="23.02"/>
    <x v="5"/>
    <x v="2"/>
    <x v="6"/>
    <x v="4"/>
    <s v="4"/>
    <s v="7"/>
    <s v="2024-07-25"/>
    <d v="1899-12-30T21:06:01"/>
    <x v="0"/>
  </r>
  <r>
    <s v="21"/>
    <s v="card"/>
    <n v="18.12"/>
    <x v="6"/>
    <x v="2"/>
    <x v="6"/>
    <x v="4"/>
    <s v="4"/>
    <s v="7"/>
    <s v="2024-07-25"/>
    <d v="1899-12-30T21:06:50"/>
    <x v="0"/>
  </r>
  <r>
    <s v="22"/>
    <s v="card"/>
    <n v="23.02"/>
    <x v="5"/>
    <x v="2"/>
    <x v="6"/>
    <x v="4"/>
    <s v="4"/>
    <s v="7"/>
    <s v="2024-07-25"/>
    <d v="1899-12-30T22:38:51"/>
    <x v="0"/>
  </r>
  <r>
    <s v="22"/>
    <s v="card"/>
    <n v="32.82"/>
    <x v="4"/>
    <x v="2"/>
    <x v="6"/>
    <x v="4"/>
    <s v="4"/>
    <s v="7"/>
    <s v="2024-07-25"/>
    <d v="1899-12-30T22:39:47"/>
    <x v="0"/>
  </r>
  <r>
    <s v="8"/>
    <s v="card"/>
    <n v="32.82"/>
    <x v="0"/>
    <x v="0"/>
    <x v="0"/>
    <x v="4"/>
    <s v="5"/>
    <s v="7"/>
    <s v="2024-07-26"/>
    <d v="1899-12-30T08:33:01"/>
    <x v="0"/>
  </r>
  <r>
    <s v="9"/>
    <s v="card"/>
    <n v="27.92"/>
    <x v="3"/>
    <x v="0"/>
    <x v="0"/>
    <x v="4"/>
    <s v="5"/>
    <s v="7"/>
    <s v="2024-07-26"/>
    <d v="1899-12-30T09:19:37"/>
    <x v="0"/>
  </r>
  <r>
    <s v="9"/>
    <s v="card"/>
    <n v="18.12"/>
    <x v="6"/>
    <x v="0"/>
    <x v="0"/>
    <x v="4"/>
    <s v="5"/>
    <s v="7"/>
    <s v="2024-07-26"/>
    <d v="1899-12-30T09:20:34"/>
    <x v="0"/>
  </r>
  <r>
    <s v="9"/>
    <s v="card"/>
    <n v="23.02"/>
    <x v="5"/>
    <x v="0"/>
    <x v="0"/>
    <x v="4"/>
    <s v="5"/>
    <s v="7"/>
    <s v="2024-07-26"/>
    <d v="1899-12-30T09:33:12"/>
    <x v="0"/>
  </r>
  <r>
    <s v="9"/>
    <s v="card"/>
    <n v="23.02"/>
    <x v="5"/>
    <x v="0"/>
    <x v="0"/>
    <x v="4"/>
    <s v="5"/>
    <s v="7"/>
    <s v="2024-07-26"/>
    <d v="1899-12-30T09:34:17"/>
    <x v="0"/>
  </r>
  <r>
    <s v="9"/>
    <s v="card"/>
    <n v="32.82"/>
    <x v="0"/>
    <x v="0"/>
    <x v="0"/>
    <x v="4"/>
    <s v="5"/>
    <s v="7"/>
    <s v="2024-07-26"/>
    <d v="1899-12-30T09:59:08"/>
    <x v="0"/>
  </r>
  <r>
    <s v="10"/>
    <s v="card"/>
    <n v="32.82"/>
    <x v="0"/>
    <x v="0"/>
    <x v="0"/>
    <x v="4"/>
    <s v="5"/>
    <s v="7"/>
    <s v="2024-07-26"/>
    <d v="1899-12-30T10:00:03"/>
    <x v="0"/>
  </r>
  <r>
    <s v="11"/>
    <s v="card"/>
    <n v="27.92"/>
    <x v="3"/>
    <x v="0"/>
    <x v="0"/>
    <x v="4"/>
    <s v="5"/>
    <s v="7"/>
    <s v="2024-07-26"/>
    <d v="1899-12-30T11:47:14"/>
    <x v="0"/>
  </r>
  <r>
    <s v="12"/>
    <s v="card"/>
    <n v="27.92"/>
    <x v="3"/>
    <x v="1"/>
    <x v="0"/>
    <x v="4"/>
    <s v="5"/>
    <s v="7"/>
    <s v="2024-07-26"/>
    <d v="1899-12-30T12:07:02"/>
    <x v="0"/>
  </r>
  <r>
    <s v="12"/>
    <s v="card"/>
    <n v="32.82"/>
    <x v="7"/>
    <x v="1"/>
    <x v="0"/>
    <x v="4"/>
    <s v="5"/>
    <s v="7"/>
    <s v="2024-07-26"/>
    <d v="1899-12-30T12:28:08"/>
    <x v="0"/>
  </r>
  <r>
    <s v="12"/>
    <s v="card"/>
    <n v="32.82"/>
    <x v="7"/>
    <x v="1"/>
    <x v="0"/>
    <x v="4"/>
    <s v="5"/>
    <s v="7"/>
    <s v="2024-07-26"/>
    <d v="1899-12-30T12:29:18"/>
    <x v="0"/>
  </r>
  <r>
    <s v="13"/>
    <s v="card"/>
    <n v="32.82"/>
    <x v="0"/>
    <x v="1"/>
    <x v="0"/>
    <x v="4"/>
    <s v="5"/>
    <s v="7"/>
    <s v="2024-07-26"/>
    <d v="1899-12-30T13:09:56"/>
    <x v="0"/>
  </r>
  <r>
    <s v="17"/>
    <s v="card"/>
    <n v="23.02"/>
    <x v="2"/>
    <x v="2"/>
    <x v="0"/>
    <x v="4"/>
    <s v="5"/>
    <s v="7"/>
    <s v="2024-07-26"/>
    <d v="1899-12-30T17:23:29"/>
    <x v="0"/>
  </r>
  <r>
    <s v="17"/>
    <s v="card"/>
    <n v="32.82"/>
    <x v="7"/>
    <x v="2"/>
    <x v="0"/>
    <x v="4"/>
    <s v="5"/>
    <s v="7"/>
    <s v="2024-07-26"/>
    <d v="1899-12-30T17:58:29"/>
    <x v="0"/>
  </r>
  <r>
    <s v="21"/>
    <s v="card"/>
    <n v="32.82"/>
    <x v="0"/>
    <x v="2"/>
    <x v="0"/>
    <x v="4"/>
    <s v="5"/>
    <s v="7"/>
    <s v="2024-07-26"/>
    <d v="1899-12-30T21:15:10"/>
    <x v="0"/>
  </r>
  <r>
    <s v="22"/>
    <s v="card"/>
    <n v="27.92"/>
    <x v="3"/>
    <x v="2"/>
    <x v="0"/>
    <x v="4"/>
    <s v="5"/>
    <s v="7"/>
    <s v="2024-07-26"/>
    <d v="1899-12-30T22:49:52"/>
    <x v="0"/>
  </r>
  <r>
    <s v="9"/>
    <s v="card"/>
    <n v="32.82"/>
    <x v="7"/>
    <x v="0"/>
    <x v="1"/>
    <x v="4"/>
    <s v="6"/>
    <s v="7"/>
    <s v="2024-07-27"/>
    <d v="1899-12-30T09:09:16"/>
    <x v="0"/>
  </r>
  <r>
    <s v="11"/>
    <s v="card"/>
    <n v="27.92"/>
    <x v="3"/>
    <x v="0"/>
    <x v="1"/>
    <x v="4"/>
    <s v="6"/>
    <s v="7"/>
    <s v="2024-07-27"/>
    <d v="1899-12-30T11:55:31"/>
    <x v="0"/>
  </r>
  <r>
    <s v="12"/>
    <s v="card"/>
    <n v="27.92"/>
    <x v="3"/>
    <x v="1"/>
    <x v="1"/>
    <x v="4"/>
    <s v="6"/>
    <s v="7"/>
    <s v="2024-07-27"/>
    <d v="1899-12-30T12:25:10"/>
    <x v="0"/>
  </r>
  <r>
    <s v="12"/>
    <s v="card"/>
    <n v="18.12"/>
    <x v="6"/>
    <x v="1"/>
    <x v="1"/>
    <x v="4"/>
    <s v="6"/>
    <s v="7"/>
    <s v="2024-07-27"/>
    <d v="1899-12-30T12:26:13"/>
    <x v="0"/>
  </r>
  <r>
    <s v="12"/>
    <s v="card"/>
    <n v="27.92"/>
    <x v="3"/>
    <x v="1"/>
    <x v="1"/>
    <x v="4"/>
    <s v="6"/>
    <s v="7"/>
    <s v="2024-07-27"/>
    <d v="1899-12-30T12:33:23"/>
    <x v="0"/>
  </r>
  <r>
    <s v="14"/>
    <s v="card"/>
    <n v="18.12"/>
    <x v="6"/>
    <x v="1"/>
    <x v="1"/>
    <x v="4"/>
    <s v="6"/>
    <s v="7"/>
    <s v="2024-07-27"/>
    <d v="1899-12-30T14:28:42"/>
    <x v="0"/>
  </r>
  <r>
    <s v="14"/>
    <s v="card"/>
    <n v="32.82"/>
    <x v="0"/>
    <x v="1"/>
    <x v="1"/>
    <x v="4"/>
    <s v="6"/>
    <s v="7"/>
    <s v="2024-07-27"/>
    <d v="1899-12-30T14:51:53"/>
    <x v="0"/>
  </r>
  <r>
    <s v="17"/>
    <s v="card"/>
    <n v="32.82"/>
    <x v="7"/>
    <x v="2"/>
    <x v="1"/>
    <x v="4"/>
    <s v="6"/>
    <s v="7"/>
    <s v="2024-07-27"/>
    <d v="1899-12-30T17:02:33"/>
    <x v="0"/>
  </r>
  <r>
    <s v="17"/>
    <s v="card"/>
    <n v="32.82"/>
    <x v="7"/>
    <x v="2"/>
    <x v="1"/>
    <x v="4"/>
    <s v="6"/>
    <s v="7"/>
    <s v="2024-07-27"/>
    <d v="1899-12-30T17:03:39"/>
    <x v="0"/>
  </r>
  <r>
    <s v="17"/>
    <s v="card"/>
    <n v="27.92"/>
    <x v="3"/>
    <x v="2"/>
    <x v="1"/>
    <x v="4"/>
    <s v="6"/>
    <s v="7"/>
    <s v="2024-07-27"/>
    <d v="1899-12-30T17:09:00"/>
    <x v="0"/>
  </r>
  <r>
    <s v="17"/>
    <s v="card"/>
    <n v="27.92"/>
    <x v="3"/>
    <x v="2"/>
    <x v="1"/>
    <x v="4"/>
    <s v="6"/>
    <s v="7"/>
    <s v="2024-07-27"/>
    <d v="1899-12-30T17:10:08"/>
    <x v="0"/>
  </r>
  <r>
    <s v="20"/>
    <s v="card"/>
    <n v="32.82"/>
    <x v="0"/>
    <x v="2"/>
    <x v="1"/>
    <x v="4"/>
    <s v="6"/>
    <s v="7"/>
    <s v="2024-07-27"/>
    <d v="1899-12-30T20:55:20"/>
    <x v="0"/>
  </r>
  <r>
    <s v="22"/>
    <s v="card"/>
    <n v="32.82"/>
    <x v="7"/>
    <x v="2"/>
    <x v="1"/>
    <x v="4"/>
    <s v="6"/>
    <s v="7"/>
    <s v="2024-07-27"/>
    <d v="1899-12-30T22:56:24"/>
    <x v="0"/>
  </r>
  <r>
    <s v="11"/>
    <s v="card"/>
    <n v="18.12"/>
    <x v="6"/>
    <x v="0"/>
    <x v="2"/>
    <x v="4"/>
    <s v="7"/>
    <s v="7"/>
    <s v="2024-07-28"/>
    <d v="1899-12-30T11:07:26"/>
    <x v="0"/>
  </r>
  <r>
    <s v="14"/>
    <s v="card"/>
    <n v="27.92"/>
    <x v="3"/>
    <x v="1"/>
    <x v="2"/>
    <x v="4"/>
    <s v="7"/>
    <s v="7"/>
    <s v="2024-07-28"/>
    <d v="1899-12-30T14:17:54"/>
    <x v="0"/>
  </r>
  <r>
    <s v="14"/>
    <s v="card"/>
    <n v="32.82"/>
    <x v="0"/>
    <x v="1"/>
    <x v="2"/>
    <x v="4"/>
    <s v="7"/>
    <s v="7"/>
    <s v="2024-07-28"/>
    <d v="1899-12-30T14:18:52"/>
    <x v="0"/>
  </r>
  <r>
    <s v="8"/>
    <s v="card"/>
    <n v="32.82"/>
    <x v="0"/>
    <x v="0"/>
    <x v="3"/>
    <x v="4"/>
    <s v="1"/>
    <s v="7"/>
    <s v="2024-07-29"/>
    <d v="1899-12-30T08:12:06"/>
    <x v="0"/>
  </r>
  <r>
    <s v="9"/>
    <s v="card"/>
    <n v="23.02"/>
    <x v="2"/>
    <x v="0"/>
    <x v="3"/>
    <x v="4"/>
    <s v="1"/>
    <s v="7"/>
    <s v="2024-07-29"/>
    <d v="1899-12-30T09:04:48"/>
    <x v="0"/>
  </r>
  <r>
    <s v="9"/>
    <s v="card"/>
    <n v="27.92"/>
    <x v="3"/>
    <x v="0"/>
    <x v="3"/>
    <x v="4"/>
    <s v="1"/>
    <s v="7"/>
    <s v="2024-07-29"/>
    <d v="1899-12-30T09:15:46"/>
    <x v="0"/>
  </r>
  <r>
    <s v="9"/>
    <s v="card"/>
    <n v="23.02"/>
    <x v="2"/>
    <x v="0"/>
    <x v="3"/>
    <x v="4"/>
    <s v="1"/>
    <s v="7"/>
    <s v="2024-07-29"/>
    <d v="1899-12-30T09:19:44"/>
    <x v="0"/>
  </r>
  <r>
    <s v="9"/>
    <s v="card"/>
    <n v="27.92"/>
    <x v="3"/>
    <x v="0"/>
    <x v="3"/>
    <x v="4"/>
    <s v="1"/>
    <s v="7"/>
    <s v="2024-07-29"/>
    <d v="1899-12-30T09:51:25"/>
    <x v="0"/>
  </r>
  <r>
    <s v="9"/>
    <s v="card"/>
    <n v="32.82"/>
    <x v="7"/>
    <x v="0"/>
    <x v="3"/>
    <x v="4"/>
    <s v="1"/>
    <s v="7"/>
    <s v="2024-07-29"/>
    <d v="1899-12-30T09:58:30"/>
    <x v="0"/>
  </r>
  <r>
    <s v="10"/>
    <s v="card"/>
    <n v="32.82"/>
    <x v="1"/>
    <x v="0"/>
    <x v="3"/>
    <x v="4"/>
    <s v="1"/>
    <s v="7"/>
    <s v="2024-07-29"/>
    <d v="1899-12-30T10:43:44"/>
    <x v="0"/>
  </r>
  <r>
    <s v="10"/>
    <s v="card"/>
    <n v="32.82"/>
    <x v="1"/>
    <x v="0"/>
    <x v="3"/>
    <x v="4"/>
    <s v="1"/>
    <s v="7"/>
    <s v="2024-07-29"/>
    <d v="1899-12-30T10:44:56"/>
    <x v="0"/>
  </r>
  <r>
    <s v="19"/>
    <s v="card"/>
    <n v="32.82"/>
    <x v="7"/>
    <x v="2"/>
    <x v="3"/>
    <x v="4"/>
    <s v="1"/>
    <s v="7"/>
    <s v="2024-07-29"/>
    <d v="1899-12-30T19:06:31"/>
    <x v="0"/>
  </r>
  <r>
    <s v="19"/>
    <s v="card"/>
    <n v="23.02"/>
    <x v="2"/>
    <x v="2"/>
    <x v="3"/>
    <x v="4"/>
    <s v="1"/>
    <s v="7"/>
    <s v="2024-07-29"/>
    <d v="1899-12-30T19:30:16"/>
    <x v="0"/>
  </r>
  <r>
    <s v="21"/>
    <s v="card"/>
    <n v="32.82"/>
    <x v="4"/>
    <x v="2"/>
    <x v="3"/>
    <x v="4"/>
    <s v="1"/>
    <s v="7"/>
    <s v="2024-07-29"/>
    <d v="1899-12-30T21:57:34"/>
    <x v="0"/>
  </r>
  <r>
    <s v="7"/>
    <s v="card"/>
    <n v="27.92"/>
    <x v="3"/>
    <x v="0"/>
    <x v="4"/>
    <x v="4"/>
    <s v="2"/>
    <s v="7"/>
    <s v="2024-07-30"/>
    <d v="1899-12-30T07:41:11"/>
    <x v="0"/>
  </r>
  <r>
    <s v="8"/>
    <s v="card"/>
    <n v="23.02"/>
    <x v="5"/>
    <x v="0"/>
    <x v="4"/>
    <x v="4"/>
    <s v="2"/>
    <s v="7"/>
    <s v="2024-07-30"/>
    <d v="1899-12-30T08:05:07"/>
    <x v="0"/>
  </r>
  <r>
    <s v="8"/>
    <s v="card"/>
    <n v="32.82"/>
    <x v="7"/>
    <x v="0"/>
    <x v="4"/>
    <x v="4"/>
    <s v="2"/>
    <s v="7"/>
    <s v="2024-07-30"/>
    <d v="1899-12-30T08:20:51"/>
    <x v="0"/>
  </r>
  <r>
    <s v="9"/>
    <s v="card"/>
    <n v="27.92"/>
    <x v="3"/>
    <x v="0"/>
    <x v="4"/>
    <x v="4"/>
    <s v="2"/>
    <s v="7"/>
    <s v="2024-07-30"/>
    <d v="1899-12-30T09:13:43"/>
    <x v="0"/>
  </r>
  <r>
    <s v="10"/>
    <s v="card"/>
    <n v="23.02"/>
    <x v="5"/>
    <x v="0"/>
    <x v="4"/>
    <x v="4"/>
    <s v="2"/>
    <s v="7"/>
    <s v="2024-07-30"/>
    <d v="1899-12-30T10:17:11"/>
    <x v="0"/>
  </r>
  <r>
    <s v="10"/>
    <s v="card"/>
    <n v="27.92"/>
    <x v="3"/>
    <x v="0"/>
    <x v="4"/>
    <x v="4"/>
    <s v="2"/>
    <s v="7"/>
    <s v="2024-07-30"/>
    <d v="1899-12-30T10:19:34"/>
    <x v="0"/>
  </r>
  <r>
    <s v="10"/>
    <s v="card"/>
    <n v="32.82"/>
    <x v="0"/>
    <x v="0"/>
    <x v="4"/>
    <x v="4"/>
    <s v="2"/>
    <s v="7"/>
    <s v="2024-07-30"/>
    <d v="1899-12-30T10:23:20"/>
    <x v="0"/>
  </r>
  <r>
    <s v="11"/>
    <s v="card"/>
    <n v="23.02"/>
    <x v="2"/>
    <x v="0"/>
    <x v="4"/>
    <x v="4"/>
    <s v="2"/>
    <s v="7"/>
    <s v="2024-07-30"/>
    <d v="1899-12-30T11:12:07"/>
    <x v="0"/>
  </r>
  <r>
    <s v="11"/>
    <s v="card"/>
    <n v="18.12"/>
    <x v="6"/>
    <x v="0"/>
    <x v="4"/>
    <x v="4"/>
    <s v="2"/>
    <s v="7"/>
    <s v="2024-07-30"/>
    <d v="1899-12-30T11:13:16"/>
    <x v="0"/>
  </r>
  <r>
    <s v="11"/>
    <s v="card"/>
    <n v="27.92"/>
    <x v="3"/>
    <x v="0"/>
    <x v="4"/>
    <x v="4"/>
    <s v="2"/>
    <s v="7"/>
    <s v="2024-07-30"/>
    <d v="1899-12-30T11:14:42"/>
    <x v="0"/>
  </r>
  <r>
    <s v="11"/>
    <s v="card"/>
    <n v="27.92"/>
    <x v="3"/>
    <x v="0"/>
    <x v="4"/>
    <x v="4"/>
    <s v="2"/>
    <s v="7"/>
    <s v="2024-07-30"/>
    <d v="1899-12-30T11:16:02"/>
    <x v="0"/>
  </r>
  <r>
    <s v="11"/>
    <s v="card"/>
    <n v="27.92"/>
    <x v="3"/>
    <x v="0"/>
    <x v="4"/>
    <x v="4"/>
    <s v="2"/>
    <s v="7"/>
    <s v="2024-07-30"/>
    <d v="1899-12-30T11:30:35"/>
    <x v="0"/>
  </r>
  <r>
    <s v="11"/>
    <s v="card"/>
    <n v="27.92"/>
    <x v="3"/>
    <x v="0"/>
    <x v="4"/>
    <x v="4"/>
    <s v="2"/>
    <s v="7"/>
    <s v="2024-07-30"/>
    <d v="1899-12-30T11:31:41"/>
    <x v="0"/>
  </r>
  <r>
    <s v="12"/>
    <s v="card"/>
    <n v="32.82"/>
    <x v="0"/>
    <x v="1"/>
    <x v="4"/>
    <x v="4"/>
    <s v="2"/>
    <s v="7"/>
    <s v="2024-07-30"/>
    <d v="1899-12-30T12:08:08"/>
    <x v="0"/>
  </r>
  <r>
    <s v="15"/>
    <s v="card"/>
    <n v="27.92"/>
    <x v="3"/>
    <x v="1"/>
    <x v="4"/>
    <x v="4"/>
    <s v="2"/>
    <s v="7"/>
    <s v="2024-07-30"/>
    <d v="1899-12-30T15:16:10"/>
    <x v="0"/>
  </r>
  <r>
    <s v="16"/>
    <s v="card"/>
    <n v="23.02"/>
    <x v="5"/>
    <x v="1"/>
    <x v="4"/>
    <x v="4"/>
    <s v="2"/>
    <s v="7"/>
    <s v="2024-07-30"/>
    <d v="1899-12-30T16:08:53"/>
    <x v="0"/>
  </r>
  <r>
    <s v="16"/>
    <s v="card"/>
    <n v="27.92"/>
    <x v="3"/>
    <x v="1"/>
    <x v="4"/>
    <x v="4"/>
    <s v="2"/>
    <s v="7"/>
    <s v="2024-07-30"/>
    <d v="1899-12-30T16:09:44"/>
    <x v="0"/>
  </r>
  <r>
    <s v="20"/>
    <s v="card"/>
    <n v="18.12"/>
    <x v="6"/>
    <x v="2"/>
    <x v="4"/>
    <x v="4"/>
    <s v="2"/>
    <s v="7"/>
    <s v="2024-07-30"/>
    <d v="1899-12-30T20:24:20"/>
    <x v="0"/>
  </r>
  <r>
    <s v="20"/>
    <s v="card"/>
    <n v="27.92"/>
    <x v="3"/>
    <x v="2"/>
    <x v="4"/>
    <x v="4"/>
    <s v="2"/>
    <s v="7"/>
    <s v="2024-07-30"/>
    <d v="1899-12-30T20:53:52"/>
    <x v="0"/>
  </r>
  <r>
    <s v="20"/>
    <s v="card"/>
    <n v="27.92"/>
    <x v="3"/>
    <x v="2"/>
    <x v="4"/>
    <x v="4"/>
    <s v="2"/>
    <s v="7"/>
    <s v="2024-07-30"/>
    <d v="1899-12-30T20:54:46"/>
    <x v="0"/>
  </r>
  <r>
    <s v="20"/>
    <s v="card"/>
    <n v="27.92"/>
    <x v="3"/>
    <x v="2"/>
    <x v="4"/>
    <x v="4"/>
    <s v="2"/>
    <s v="7"/>
    <s v="2024-07-30"/>
    <d v="1899-12-30T20:57:02"/>
    <x v="0"/>
  </r>
  <r>
    <s v="21"/>
    <s v="card"/>
    <n v="32.82"/>
    <x v="0"/>
    <x v="2"/>
    <x v="4"/>
    <x v="4"/>
    <s v="2"/>
    <s v="7"/>
    <s v="2024-07-30"/>
    <d v="1899-12-30T21:33:19"/>
    <x v="0"/>
  </r>
  <r>
    <s v="22"/>
    <s v="card"/>
    <n v="23.02"/>
    <x v="2"/>
    <x v="2"/>
    <x v="4"/>
    <x v="4"/>
    <s v="2"/>
    <s v="7"/>
    <s v="2024-07-30"/>
    <d v="1899-12-30T22:15:21"/>
    <x v="0"/>
  </r>
  <r>
    <s v="22"/>
    <s v="card"/>
    <n v="32.82"/>
    <x v="7"/>
    <x v="2"/>
    <x v="4"/>
    <x v="4"/>
    <s v="2"/>
    <s v="7"/>
    <s v="2024-07-30"/>
    <d v="1899-12-30T22:16:19"/>
    <x v="0"/>
  </r>
  <r>
    <s v="7"/>
    <s v="card"/>
    <n v="27.92"/>
    <x v="3"/>
    <x v="0"/>
    <x v="5"/>
    <x v="4"/>
    <s v="3"/>
    <s v="7"/>
    <s v="2024-07-31"/>
    <d v="1899-12-30T07:59:52"/>
    <x v="0"/>
  </r>
  <r>
    <s v="8"/>
    <s v="card"/>
    <n v="27.92"/>
    <x v="3"/>
    <x v="0"/>
    <x v="5"/>
    <x v="4"/>
    <s v="3"/>
    <s v="7"/>
    <s v="2024-07-31"/>
    <d v="1899-12-30T08:37:42"/>
    <x v="0"/>
  </r>
  <r>
    <s v="8"/>
    <s v="card"/>
    <n v="27.92"/>
    <x v="3"/>
    <x v="0"/>
    <x v="5"/>
    <x v="4"/>
    <s v="3"/>
    <s v="7"/>
    <s v="2024-07-31"/>
    <d v="1899-12-30T08:38:38"/>
    <x v="0"/>
  </r>
  <r>
    <s v="9"/>
    <s v="card"/>
    <n v="23.02"/>
    <x v="2"/>
    <x v="0"/>
    <x v="5"/>
    <x v="4"/>
    <s v="3"/>
    <s v="7"/>
    <s v="2024-07-31"/>
    <d v="1899-12-30T09:54:45"/>
    <x v="0"/>
  </r>
  <r>
    <s v="9"/>
    <s v="card"/>
    <n v="23.02"/>
    <x v="2"/>
    <x v="0"/>
    <x v="5"/>
    <x v="4"/>
    <s v="3"/>
    <s v="7"/>
    <s v="2024-07-31"/>
    <d v="1899-12-30T09:55:45"/>
    <x v="0"/>
  </r>
  <r>
    <s v="9"/>
    <s v="card"/>
    <n v="27.92"/>
    <x v="3"/>
    <x v="0"/>
    <x v="5"/>
    <x v="4"/>
    <s v="3"/>
    <s v="7"/>
    <s v="2024-07-31"/>
    <d v="1899-12-30T09:58:16"/>
    <x v="0"/>
  </r>
  <r>
    <s v="13"/>
    <s v="card"/>
    <n v="32.82"/>
    <x v="4"/>
    <x v="1"/>
    <x v="5"/>
    <x v="4"/>
    <s v="3"/>
    <s v="7"/>
    <s v="2024-07-31"/>
    <d v="1899-12-30T13:11:43"/>
    <x v="0"/>
  </r>
  <r>
    <s v="13"/>
    <s v="card"/>
    <n v="32.82"/>
    <x v="0"/>
    <x v="1"/>
    <x v="5"/>
    <x v="4"/>
    <s v="3"/>
    <s v="7"/>
    <s v="2024-07-31"/>
    <d v="1899-12-30T13:14:00"/>
    <x v="0"/>
  </r>
  <r>
    <s v="13"/>
    <s v="card"/>
    <n v="27.92"/>
    <x v="3"/>
    <x v="1"/>
    <x v="5"/>
    <x v="4"/>
    <s v="3"/>
    <s v="7"/>
    <s v="2024-07-31"/>
    <d v="1899-12-30T13:24:49"/>
    <x v="0"/>
  </r>
  <r>
    <s v="17"/>
    <s v="card"/>
    <n v="23.02"/>
    <x v="5"/>
    <x v="2"/>
    <x v="5"/>
    <x v="4"/>
    <s v="3"/>
    <s v="7"/>
    <s v="2024-07-31"/>
    <d v="1899-12-30T17:48:07"/>
    <x v="0"/>
  </r>
  <r>
    <s v="18"/>
    <s v="card"/>
    <n v="32.82"/>
    <x v="0"/>
    <x v="2"/>
    <x v="5"/>
    <x v="4"/>
    <s v="3"/>
    <s v="7"/>
    <s v="2024-07-31"/>
    <d v="1899-12-30T18:04:15"/>
    <x v="0"/>
  </r>
  <r>
    <s v="19"/>
    <s v="card"/>
    <n v="23.02"/>
    <x v="5"/>
    <x v="2"/>
    <x v="5"/>
    <x v="4"/>
    <s v="3"/>
    <s v="7"/>
    <s v="2024-07-31"/>
    <d v="1899-12-30T19:22:39"/>
    <x v="0"/>
  </r>
  <r>
    <s v="19"/>
    <s v="card"/>
    <n v="32.82"/>
    <x v="0"/>
    <x v="2"/>
    <x v="5"/>
    <x v="4"/>
    <s v="3"/>
    <s v="7"/>
    <s v="2024-07-31"/>
    <d v="1899-12-30T19:28:45"/>
    <x v="0"/>
  </r>
  <r>
    <s v="20"/>
    <s v="card"/>
    <n v="32.82"/>
    <x v="4"/>
    <x v="2"/>
    <x v="5"/>
    <x v="4"/>
    <s v="3"/>
    <s v="7"/>
    <s v="2024-07-31"/>
    <d v="1899-12-30T20:46:42"/>
    <x v="0"/>
  </r>
  <r>
    <s v="20"/>
    <s v="card"/>
    <n v="23.02"/>
    <x v="5"/>
    <x v="2"/>
    <x v="5"/>
    <x v="4"/>
    <s v="3"/>
    <s v="7"/>
    <s v="2024-07-31"/>
    <d v="1899-12-30T20:50:07"/>
    <x v="0"/>
  </r>
  <r>
    <s v="20"/>
    <s v="card"/>
    <n v="32.82"/>
    <x v="0"/>
    <x v="2"/>
    <x v="5"/>
    <x v="4"/>
    <s v="3"/>
    <s v="7"/>
    <s v="2024-07-31"/>
    <d v="1899-12-30T20:51:10"/>
    <x v="0"/>
  </r>
  <r>
    <s v="20"/>
    <s v="card"/>
    <n v="32.82"/>
    <x v="7"/>
    <x v="2"/>
    <x v="5"/>
    <x v="4"/>
    <s v="3"/>
    <s v="7"/>
    <s v="2024-07-31"/>
    <d v="1899-12-30T20:52:15"/>
    <x v="0"/>
  </r>
  <r>
    <s v="20"/>
    <s v="card"/>
    <n v="23.02"/>
    <x v="5"/>
    <x v="2"/>
    <x v="5"/>
    <x v="4"/>
    <s v="3"/>
    <s v="7"/>
    <s v="2024-07-31"/>
    <d v="1899-12-30T20:53:35"/>
    <x v="0"/>
  </r>
  <r>
    <s v="20"/>
    <s v="card"/>
    <n v="27.92"/>
    <x v="3"/>
    <x v="2"/>
    <x v="5"/>
    <x v="4"/>
    <s v="3"/>
    <s v="7"/>
    <s v="2024-07-31"/>
    <d v="1899-12-30T20:59:25"/>
    <x v="0"/>
  </r>
  <r>
    <s v="21"/>
    <s v="card"/>
    <n v="32.82"/>
    <x v="0"/>
    <x v="2"/>
    <x v="5"/>
    <x v="4"/>
    <s v="3"/>
    <s v="7"/>
    <s v="2024-07-31"/>
    <d v="1899-12-30T21:26:26"/>
    <x v="0"/>
  </r>
  <r>
    <s v="21"/>
    <s v="card"/>
    <n v="32.82"/>
    <x v="0"/>
    <x v="2"/>
    <x v="5"/>
    <x v="4"/>
    <s v="3"/>
    <s v="7"/>
    <s v="2024-07-31"/>
    <d v="1899-12-30T21:54:12"/>
    <x v="0"/>
  </r>
  <r>
    <s v="21"/>
    <s v="card"/>
    <n v="32.82"/>
    <x v="0"/>
    <x v="2"/>
    <x v="5"/>
    <x v="4"/>
    <s v="3"/>
    <s v="7"/>
    <s v="2024-07-31"/>
    <d v="1899-12-30T21:55:17"/>
    <x v="0"/>
  </r>
  <r>
    <s v="7"/>
    <s v="card"/>
    <n v="27.92"/>
    <x v="3"/>
    <x v="0"/>
    <x v="6"/>
    <x v="5"/>
    <s v="4"/>
    <s v="8"/>
    <s v="2024-08-01"/>
    <d v="1899-12-30T07:31:00"/>
    <x v="0"/>
  </r>
  <r>
    <s v="9"/>
    <s v="card"/>
    <n v="27.92"/>
    <x v="3"/>
    <x v="0"/>
    <x v="6"/>
    <x v="5"/>
    <s v="4"/>
    <s v="8"/>
    <s v="2024-08-01"/>
    <d v="1899-12-30T09:25:20"/>
    <x v="0"/>
  </r>
  <r>
    <s v="11"/>
    <s v="card"/>
    <n v="27.92"/>
    <x v="3"/>
    <x v="0"/>
    <x v="6"/>
    <x v="5"/>
    <s v="4"/>
    <s v="8"/>
    <s v="2024-08-01"/>
    <d v="1899-12-30T11:04:14"/>
    <x v="0"/>
  </r>
  <r>
    <s v="11"/>
    <s v="card"/>
    <n v="27.92"/>
    <x v="3"/>
    <x v="0"/>
    <x v="6"/>
    <x v="5"/>
    <s v="4"/>
    <s v="8"/>
    <s v="2024-08-01"/>
    <d v="1899-12-30T11:22:46"/>
    <x v="0"/>
  </r>
  <r>
    <s v="13"/>
    <s v="card"/>
    <n v="23.02"/>
    <x v="5"/>
    <x v="1"/>
    <x v="6"/>
    <x v="5"/>
    <s v="4"/>
    <s v="8"/>
    <s v="2024-08-01"/>
    <d v="1899-12-30T13:22:47"/>
    <x v="0"/>
  </r>
  <r>
    <s v="13"/>
    <s v="card"/>
    <n v="32.82"/>
    <x v="7"/>
    <x v="1"/>
    <x v="6"/>
    <x v="5"/>
    <s v="4"/>
    <s v="8"/>
    <s v="2024-08-01"/>
    <d v="1899-12-30T13:23:37"/>
    <x v="0"/>
  </r>
  <r>
    <s v="13"/>
    <s v="card"/>
    <n v="32.82"/>
    <x v="7"/>
    <x v="1"/>
    <x v="6"/>
    <x v="5"/>
    <s v="4"/>
    <s v="8"/>
    <s v="2024-08-01"/>
    <d v="1899-12-30T13:49:07"/>
    <x v="0"/>
  </r>
  <r>
    <s v="15"/>
    <s v="card"/>
    <n v="27.92"/>
    <x v="3"/>
    <x v="1"/>
    <x v="6"/>
    <x v="5"/>
    <s v="4"/>
    <s v="8"/>
    <s v="2024-08-01"/>
    <d v="1899-12-30T15:43:44"/>
    <x v="0"/>
  </r>
  <r>
    <s v="16"/>
    <s v="card"/>
    <n v="27.92"/>
    <x v="3"/>
    <x v="1"/>
    <x v="6"/>
    <x v="5"/>
    <s v="4"/>
    <s v="8"/>
    <s v="2024-08-01"/>
    <d v="1899-12-30T16:24:01"/>
    <x v="0"/>
  </r>
  <r>
    <s v="16"/>
    <s v="card"/>
    <n v="23.02"/>
    <x v="2"/>
    <x v="1"/>
    <x v="6"/>
    <x v="5"/>
    <s v="4"/>
    <s v="8"/>
    <s v="2024-08-01"/>
    <d v="1899-12-30T16:26:07"/>
    <x v="0"/>
  </r>
  <r>
    <s v="17"/>
    <s v="card"/>
    <n v="23.02"/>
    <x v="2"/>
    <x v="2"/>
    <x v="6"/>
    <x v="5"/>
    <s v="4"/>
    <s v="8"/>
    <s v="2024-08-01"/>
    <d v="1899-12-30T17:23:35"/>
    <x v="0"/>
  </r>
  <r>
    <s v="20"/>
    <s v="card"/>
    <n v="32.82"/>
    <x v="7"/>
    <x v="2"/>
    <x v="6"/>
    <x v="5"/>
    <s v="4"/>
    <s v="8"/>
    <s v="2024-08-01"/>
    <d v="1899-12-30T20:41:28"/>
    <x v="0"/>
  </r>
  <r>
    <s v="9"/>
    <s v="card"/>
    <n v="27.92"/>
    <x v="3"/>
    <x v="0"/>
    <x v="0"/>
    <x v="5"/>
    <s v="5"/>
    <s v="8"/>
    <s v="2024-08-02"/>
    <d v="1899-12-30T09:01:54"/>
    <x v="0"/>
  </r>
  <r>
    <s v="9"/>
    <s v="card"/>
    <n v="27.92"/>
    <x v="3"/>
    <x v="0"/>
    <x v="0"/>
    <x v="5"/>
    <s v="5"/>
    <s v="8"/>
    <s v="2024-08-02"/>
    <d v="1899-12-30T09:35:03"/>
    <x v="0"/>
  </r>
  <r>
    <s v="11"/>
    <s v="card"/>
    <n v="23.02"/>
    <x v="5"/>
    <x v="0"/>
    <x v="0"/>
    <x v="5"/>
    <s v="5"/>
    <s v="8"/>
    <s v="2024-08-02"/>
    <d v="1899-12-30T11:09:19"/>
    <x v="0"/>
  </r>
  <r>
    <s v="18"/>
    <s v="card"/>
    <n v="27.92"/>
    <x v="3"/>
    <x v="2"/>
    <x v="0"/>
    <x v="5"/>
    <s v="5"/>
    <s v="8"/>
    <s v="2024-08-02"/>
    <d v="1899-12-30T18:08:35"/>
    <x v="0"/>
  </r>
  <r>
    <s v="21"/>
    <s v="card"/>
    <n v="32.82"/>
    <x v="0"/>
    <x v="2"/>
    <x v="0"/>
    <x v="5"/>
    <s v="5"/>
    <s v="8"/>
    <s v="2024-08-02"/>
    <d v="1899-12-30T21:23:04"/>
    <x v="0"/>
  </r>
  <r>
    <s v="8"/>
    <s v="card"/>
    <n v="27.92"/>
    <x v="3"/>
    <x v="0"/>
    <x v="1"/>
    <x v="5"/>
    <s v="6"/>
    <s v="8"/>
    <s v="2024-08-03"/>
    <d v="1899-12-30T08:53:47"/>
    <x v="0"/>
  </r>
  <r>
    <s v="9"/>
    <s v="card"/>
    <n v="27.92"/>
    <x v="3"/>
    <x v="0"/>
    <x v="1"/>
    <x v="5"/>
    <s v="6"/>
    <s v="8"/>
    <s v="2024-08-03"/>
    <d v="1899-12-30T09:37:19"/>
    <x v="0"/>
  </r>
  <r>
    <s v="9"/>
    <s v="card"/>
    <n v="27.92"/>
    <x v="3"/>
    <x v="0"/>
    <x v="1"/>
    <x v="5"/>
    <s v="6"/>
    <s v="8"/>
    <s v="2024-08-03"/>
    <d v="1899-12-30T09:38:41"/>
    <x v="0"/>
  </r>
  <r>
    <s v="10"/>
    <s v="card"/>
    <n v="27.92"/>
    <x v="3"/>
    <x v="0"/>
    <x v="1"/>
    <x v="5"/>
    <s v="6"/>
    <s v="8"/>
    <s v="2024-08-03"/>
    <d v="1899-12-30T10:12:26"/>
    <x v="0"/>
  </r>
  <r>
    <s v="11"/>
    <s v="card"/>
    <n v="23.02"/>
    <x v="5"/>
    <x v="0"/>
    <x v="1"/>
    <x v="5"/>
    <s v="6"/>
    <s v="8"/>
    <s v="2024-08-03"/>
    <d v="1899-12-30T11:20:27"/>
    <x v="0"/>
  </r>
  <r>
    <s v="11"/>
    <s v="card"/>
    <n v="23.02"/>
    <x v="5"/>
    <x v="0"/>
    <x v="1"/>
    <x v="5"/>
    <s v="6"/>
    <s v="8"/>
    <s v="2024-08-03"/>
    <d v="1899-12-30T11:21:22"/>
    <x v="0"/>
  </r>
  <r>
    <s v="11"/>
    <s v="card"/>
    <n v="18.12"/>
    <x v="6"/>
    <x v="0"/>
    <x v="1"/>
    <x v="5"/>
    <s v="6"/>
    <s v="8"/>
    <s v="2024-08-03"/>
    <d v="1899-12-30T11:56:37"/>
    <x v="0"/>
  </r>
  <r>
    <s v="11"/>
    <s v="card"/>
    <n v="27.92"/>
    <x v="3"/>
    <x v="0"/>
    <x v="1"/>
    <x v="5"/>
    <s v="6"/>
    <s v="8"/>
    <s v="2024-08-03"/>
    <d v="1899-12-30T11:57:31"/>
    <x v="0"/>
  </r>
  <r>
    <s v="12"/>
    <s v="card"/>
    <n v="27.92"/>
    <x v="3"/>
    <x v="1"/>
    <x v="1"/>
    <x v="5"/>
    <s v="6"/>
    <s v="8"/>
    <s v="2024-08-03"/>
    <d v="1899-12-30T12:03:36"/>
    <x v="0"/>
  </r>
  <r>
    <s v="16"/>
    <s v="card"/>
    <n v="27.92"/>
    <x v="3"/>
    <x v="1"/>
    <x v="1"/>
    <x v="5"/>
    <s v="6"/>
    <s v="8"/>
    <s v="2024-08-03"/>
    <d v="1899-12-30T16:54:00"/>
    <x v="0"/>
  </r>
  <r>
    <s v="18"/>
    <s v="card"/>
    <n v="32.82"/>
    <x v="7"/>
    <x v="2"/>
    <x v="1"/>
    <x v="5"/>
    <s v="6"/>
    <s v="8"/>
    <s v="2024-08-03"/>
    <d v="1899-12-30T18:38:42"/>
    <x v="0"/>
  </r>
  <r>
    <s v="21"/>
    <s v="card"/>
    <n v="32.82"/>
    <x v="0"/>
    <x v="2"/>
    <x v="1"/>
    <x v="5"/>
    <s v="6"/>
    <s v="8"/>
    <s v="2024-08-03"/>
    <d v="1899-12-30T21:30:49"/>
    <x v="0"/>
  </r>
  <r>
    <s v="21"/>
    <s v="card"/>
    <n v="32.82"/>
    <x v="0"/>
    <x v="2"/>
    <x v="1"/>
    <x v="5"/>
    <s v="6"/>
    <s v="8"/>
    <s v="2024-08-03"/>
    <d v="1899-12-30T21:33:06"/>
    <x v="0"/>
  </r>
  <r>
    <s v="8"/>
    <s v="card"/>
    <n v="32.82"/>
    <x v="7"/>
    <x v="0"/>
    <x v="2"/>
    <x v="5"/>
    <s v="7"/>
    <s v="8"/>
    <s v="2024-08-04"/>
    <d v="1899-12-30T08:18:37"/>
    <x v="0"/>
  </r>
  <r>
    <s v="10"/>
    <s v="card"/>
    <n v="27.92"/>
    <x v="3"/>
    <x v="0"/>
    <x v="2"/>
    <x v="5"/>
    <s v="7"/>
    <s v="8"/>
    <s v="2024-08-04"/>
    <d v="1899-12-30T10:37:51"/>
    <x v="0"/>
  </r>
  <r>
    <s v="11"/>
    <s v="card"/>
    <n v="32.82"/>
    <x v="7"/>
    <x v="0"/>
    <x v="2"/>
    <x v="5"/>
    <s v="7"/>
    <s v="8"/>
    <s v="2024-08-04"/>
    <d v="1899-12-30T11:50:55"/>
    <x v="0"/>
  </r>
  <r>
    <s v="11"/>
    <s v="card"/>
    <n v="27.92"/>
    <x v="3"/>
    <x v="0"/>
    <x v="2"/>
    <x v="5"/>
    <s v="7"/>
    <s v="8"/>
    <s v="2024-08-04"/>
    <d v="1899-12-30T11:52:33"/>
    <x v="0"/>
  </r>
  <r>
    <s v="15"/>
    <s v="card"/>
    <n v="32.82"/>
    <x v="7"/>
    <x v="1"/>
    <x v="2"/>
    <x v="5"/>
    <s v="7"/>
    <s v="8"/>
    <s v="2024-08-04"/>
    <d v="1899-12-30T15:33:52"/>
    <x v="0"/>
  </r>
  <r>
    <s v="15"/>
    <s v="card"/>
    <n v="32.82"/>
    <x v="7"/>
    <x v="1"/>
    <x v="2"/>
    <x v="5"/>
    <s v="7"/>
    <s v="8"/>
    <s v="2024-08-04"/>
    <d v="1899-12-30T15:35:06"/>
    <x v="0"/>
  </r>
  <r>
    <s v="8"/>
    <s v="card"/>
    <n v="23.02"/>
    <x v="5"/>
    <x v="0"/>
    <x v="3"/>
    <x v="5"/>
    <s v="1"/>
    <s v="8"/>
    <s v="2024-08-05"/>
    <d v="1899-12-30T08:50:06"/>
    <x v="0"/>
  </r>
  <r>
    <s v="9"/>
    <s v="card"/>
    <n v="27.92"/>
    <x v="3"/>
    <x v="0"/>
    <x v="3"/>
    <x v="5"/>
    <s v="1"/>
    <s v="8"/>
    <s v="2024-08-05"/>
    <d v="1899-12-30T09:19:19"/>
    <x v="0"/>
  </r>
  <r>
    <s v="11"/>
    <s v="card"/>
    <n v="23.02"/>
    <x v="5"/>
    <x v="0"/>
    <x v="3"/>
    <x v="5"/>
    <s v="1"/>
    <s v="8"/>
    <s v="2024-08-05"/>
    <d v="1899-12-30T11:20:47"/>
    <x v="0"/>
  </r>
  <r>
    <s v="13"/>
    <s v="card"/>
    <n v="32.82"/>
    <x v="7"/>
    <x v="1"/>
    <x v="3"/>
    <x v="5"/>
    <s v="1"/>
    <s v="8"/>
    <s v="2024-08-05"/>
    <d v="1899-12-30T13:45:22"/>
    <x v="0"/>
  </r>
  <r>
    <s v="16"/>
    <s v="card"/>
    <n v="32.82"/>
    <x v="0"/>
    <x v="1"/>
    <x v="3"/>
    <x v="5"/>
    <s v="1"/>
    <s v="8"/>
    <s v="2024-08-05"/>
    <d v="1899-12-30T16:05:58"/>
    <x v="0"/>
  </r>
  <r>
    <s v="16"/>
    <s v="card"/>
    <n v="32.82"/>
    <x v="0"/>
    <x v="1"/>
    <x v="3"/>
    <x v="5"/>
    <s v="1"/>
    <s v="8"/>
    <s v="2024-08-05"/>
    <d v="1899-12-30T16:07:19"/>
    <x v="0"/>
  </r>
  <r>
    <s v="17"/>
    <s v="card"/>
    <n v="32.82"/>
    <x v="0"/>
    <x v="2"/>
    <x v="3"/>
    <x v="5"/>
    <s v="1"/>
    <s v="8"/>
    <s v="2024-08-05"/>
    <d v="1899-12-30T17:44:25"/>
    <x v="0"/>
  </r>
  <r>
    <s v="17"/>
    <s v="card"/>
    <n v="27.92"/>
    <x v="3"/>
    <x v="2"/>
    <x v="3"/>
    <x v="5"/>
    <s v="1"/>
    <s v="8"/>
    <s v="2024-08-05"/>
    <d v="1899-12-30T17:45:32"/>
    <x v="0"/>
  </r>
  <r>
    <s v="19"/>
    <s v="card"/>
    <n v="32.82"/>
    <x v="0"/>
    <x v="2"/>
    <x v="3"/>
    <x v="5"/>
    <s v="1"/>
    <s v="8"/>
    <s v="2024-08-05"/>
    <d v="1899-12-30T19:20:03"/>
    <x v="0"/>
  </r>
  <r>
    <s v="19"/>
    <s v="card"/>
    <n v="32.82"/>
    <x v="0"/>
    <x v="2"/>
    <x v="3"/>
    <x v="5"/>
    <s v="1"/>
    <s v="8"/>
    <s v="2024-08-05"/>
    <d v="1899-12-30T19:34:51"/>
    <x v="0"/>
  </r>
  <r>
    <s v="20"/>
    <s v="card"/>
    <n v="32.82"/>
    <x v="4"/>
    <x v="2"/>
    <x v="3"/>
    <x v="5"/>
    <s v="1"/>
    <s v="8"/>
    <s v="2024-08-05"/>
    <d v="1899-12-30T20:49:31"/>
    <x v="0"/>
  </r>
  <r>
    <s v="20"/>
    <s v="card"/>
    <n v="32.82"/>
    <x v="4"/>
    <x v="2"/>
    <x v="3"/>
    <x v="5"/>
    <s v="1"/>
    <s v="8"/>
    <s v="2024-08-05"/>
    <d v="1899-12-30T20:50:22"/>
    <x v="0"/>
  </r>
  <r>
    <s v="22"/>
    <s v="card"/>
    <n v="27.92"/>
    <x v="3"/>
    <x v="2"/>
    <x v="3"/>
    <x v="5"/>
    <s v="1"/>
    <s v="8"/>
    <s v="2024-08-05"/>
    <d v="1899-12-30T22:43:48"/>
    <x v="0"/>
  </r>
  <r>
    <s v="10"/>
    <s v="card"/>
    <n v="23.02"/>
    <x v="5"/>
    <x v="0"/>
    <x v="4"/>
    <x v="5"/>
    <s v="2"/>
    <s v="8"/>
    <s v="2024-08-06"/>
    <d v="1899-12-30T10:21:03"/>
    <x v="0"/>
  </r>
  <r>
    <s v="10"/>
    <s v="card"/>
    <n v="32.82"/>
    <x v="1"/>
    <x v="0"/>
    <x v="4"/>
    <x v="5"/>
    <s v="2"/>
    <s v="8"/>
    <s v="2024-08-06"/>
    <d v="1899-12-30T10:32:32"/>
    <x v="0"/>
  </r>
  <r>
    <s v="17"/>
    <s v="card"/>
    <n v="32.82"/>
    <x v="7"/>
    <x v="2"/>
    <x v="4"/>
    <x v="5"/>
    <s v="2"/>
    <s v="8"/>
    <s v="2024-08-06"/>
    <d v="1899-12-30T17:40:49"/>
    <x v="0"/>
  </r>
  <r>
    <s v="17"/>
    <s v="card"/>
    <n v="32.82"/>
    <x v="0"/>
    <x v="2"/>
    <x v="4"/>
    <x v="5"/>
    <s v="2"/>
    <s v="8"/>
    <s v="2024-08-06"/>
    <d v="1899-12-30T17:42:53"/>
    <x v="0"/>
  </r>
  <r>
    <s v="17"/>
    <s v="card"/>
    <n v="32.82"/>
    <x v="4"/>
    <x v="2"/>
    <x v="4"/>
    <x v="5"/>
    <s v="2"/>
    <s v="8"/>
    <s v="2024-08-06"/>
    <d v="1899-12-30T17:44:05"/>
    <x v="0"/>
  </r>
  <r>
    <s v="19"/>
    <s v="card"/>
    <n v="32.82"/>
    <x v="0"/>
    <x v="2"/>
    <x v="4"/>
    <x v="5"/>
    <s v="2"/>
    <s v="8"/>
    <s v="2024-08-06"/>
    <d v="1899-12-30T19:04:05"/>
    <x v="0"/>
  </r>
  <r>
    <s v="19"/>
    <s v="card"/>
    <n v="27.92"/>
    <x v="3"/>
    <x v="2"/>
    <x v="4"/>
    <x v="5"/>
    <s v="2"/>
    <s v="8"/>
    <s v="2024-08-06"/>
    <d v="1899-12-30T19:05:23"/>
    <x v="0"/>
  </r>
  <r>
    <s v="20"/>
    <s v="card"/>
    <n v="32.82"/>
    <x v="0"/>
    <x v="2"/>
    <x v="4"/>
    <x v="5"/>
    <s v="2"/>
    <s v="8"/>
    <s v="2024-08-06"/>
    <d v="1899-12-30T20:04:27"/>
    <x v="0"/>
  </r>
  <r>
    <s v="8"/>
    <s v="card"/>
    <n v="27.92"/>
    <x v="3"/>
    <x v="0"/>
    <x v="5"/>
    <x v="5"/>
    <s v="3"/>
    <s v="8"/>
    <s v="2024-08-07"/>
    <d v="1899-12-30T08:55:48"/>
    <x v="0"/>
  </r>
  <r>
    <s v="12"/>
    <s v="card"/>
    <n v="23.02"/>
    <x v="2"/>
    <x v="1"/>
    <x v="5"/>
    <x v="5"/>
    <s v="3"/>
    <s v="8"/>
    <s v="2024-08-07"/>
    <d v="1899-12-30T12:12:27"/>
    <x v="0"/>
  </r>
  <r>
    <s v="12"/>
    <s v="card"/>
    <n v="23.02"/>
    <x v="2"/>
    <x v="1"/>
    <x v="5"/>
    <x v="5"/>
    <s v="3"/>
    <s v="8"/>
    <s v="2024-08-07"/>
    <d v="1899-12-30T12:13:41"/>
    <x v="0"/>
  </r>
  <r>
    <s v="13"/>
    <s v="card"/>
    <n v="18.12"/>
    <x v="6"/>
    <x v="1"/>
    <x v="5"/>
    <x v="5"/>
    <s v="3"/>
    <s v="8"/>
    <s v="2024-08-07"/>
    <d v="1899-12-30T13:11:16"/>
    <x v="0"/>
  </r>
  <r>
    <s v="16"/>
    <s v="card"/>
    <n v="23.02"/>
    <x v="2"/>
    <x v="1"/>
    <x v="5"/>
    <x v="5"/>
    <s v="3"/>
    <s v="8"/>
    <s v="2024-08-07"/>
    <d v="1899-12-30T16:19:02"/>
    <x v="0"/>
  </r>
  <r>
    <s v="19"/>
    <s v="card"/>
    <n v="32.82"/>
    <x v="0"/>
    <x v="2"/>
    <x v="5"/>
    <x v="5"/>
    <s v="3"/>
    <s v="8"/>
    <s v="2024-08-07"/>
    <d v="1899-12-30T19:36:23"/>
    <x v="0"/>
  </r>
  <r>
    <s v="20"/>
    <s v="card"/>
    <n v="32.82"/>
    <x v="4"/>
    <x v="2"/>
    <x v="5"/>
    <x v="5"/>
    <s v="3"/>
    <s v="8"/>
    <s v="2024-08-07"/>
    <d v="1899-12-30T20:40:09"/>
    <x v="0"/>
  </r>
  <r>
    <s v="21"/>
    <s v="card"/>
    <n v="32.82"/>
    <x v="7"/>
    <x v="2"/>
    <x v="5"/>
    <x v="5"/>
    <s v="3"/>
    <s v="8"/>
    <s v="2024-08-07"/>
    <d v="1899-12-30T21:18:12"/>
    <x v="0"/>
  </r>
  <r>
    <s v="22"/>
    <s v="card"/>
    <n v="32.82"/>
    <x v="0"/>
    <x v="2"/>
    <x v="5"/>
    <x v="5"/>
    <s v="3"/>
    <s v="8"/>
    <s v="2024-08-07"/>
    <d v="1899-12-30T22:28:57"/>
    <x v="0"/>
  </r>
  <r>
    <s v="22"/>
    <s v="card"/>
    <n v="32.82"/>
    <x v="0"/>
    <x v="2"/>
    <x v="5"/>
    <x v="5"/>
    <s v="3"/>
    <s v="8"/>
    <s v="2024-08-07"/>
    <d v="1899-12-30T22:32:16"/>
    <x v="0"/>
  </r>
  <r>
    <s v="8"/>
    <s v="card"/>
    <n v="18.12"/>
    <x v="6"/>
    <x v="0"/>
    <x v="6"/>
    <x v="5"/>
    <s v="4"/>
    <s v="8"/>
    <s v="2024-08-08"/>
    <d v="1899-12-30T08:46:36"/>
    <x v="0"/>
  </r>
  <r>
    <s v="8"/>
    <s v="card"/>
    <n v="23.02"/>
    <x v="5"/>
    <x v="0"/>
    <x v="6"/>
    <x v="5"/>
    <s v="4"/>
    <s v="8"/>
    <s v="2024-08-08"/>
    <d v="1899-12-30T08:47:29"/>
    <x v="0"/>
  </r>
  <r>
    <s v="12"/>
    <s v="card"/>
    <n v="27.92"/>
    <x v="3"/>
    <x v="1"/>
    <x v="6"/>
    <x v="5"/>
    <s v="4"/>
    <s v="8"/>
    <s v="2024-08-08"/>
    <d v="1899-12-30T12:27:05"/>
    <x v="0"/>
  </r>
  <r>
    <s v="12"/>
    <s v="card"/>
    <n v="23.02"/>
    <x v="5"/>
    <x v="1"/>
    <x v="6"/>
    <x v="5"/>
    <s v="4"/>
    <s v="8"/>
    <s v="2024-08-08"/>
    <d v="1899-12-30T12:43:20"/>
    <x v="0"/>
  </r>
  <r>
    <s v="12"/>
    <s v="card"/>
    <n v="23.02"/>
    <x v="5"/>
    <x v="1"/>
    <x v="6"/>
    <x v="5"/>
    <s v="4"/>
    <s v="8"/>
    <s v="2024-08-08"/>
    <d v="1899-12-30T12:44:15"/>
    <x v="0"/>
  </r>
  <r>
    <s v="16"/>
    <s v="card"/>
    <n v="32.82"/>
    <x v="7"/>
    <x v="1"/>
    <x v="6"/>
    <x v="5"/>
    <s v="4"/>
    <s v="8"/>
    <s v="2024-08-08"/>
    <d v="1899-12-30T16:57:53"/>
    <x v="0"/>
  </r>
  <r>
    <s v="17"/>
    <s v="card"/>
    <n v="32.82"/>
    <x v="7"/>
    <x v="2"/>
    <x v="6"/>
    <x v="5"/>
    <s v="4"/>
    <s v="8"/>
    <s v="2024-08-08"/>
    <d v="1899-12-30T17:17:52"/>
    <x v="0"/>
  </r>
  <r>
    <s v="21"/>
    <s v="card"/>
    <n v="27.92"/>
    <x v="3"/>
    <x v="2"/>
    <x v="6"/>
    <x v="5"/>
    <s v="4"/>
    <s v="8"/>
    <s v="2024-08-08"/>
    <d v="1899-12-30T21:25:59"/>
    <x v="0"/>
  </r>
  <r>
    <s v="7"/>
    <s v="card"/>
    <n v="32.82"/>
    <x v="0"/>
    <x v="0"/>
    <x v="0"/>
    <x v="5"/>
    <s v="5"/>
    <s v="8"/>
    <s v="2024-08-09"/>
    <d v="1899-12-30T07:35:22"/>
    <x v="0"/>
  </r>
  <r>
    <s v="9"/>
    <s v="card"/>
    <n v="23.02"/>
    <x v="2"/>
    <x v="0"/>
    <x v="0"/>
    <x v="5"/>
    <s v="5"/>
    <s v="8"/>
    <s v="2024-08-09"/>
    <d v="1899-12-30T09:53:35"/>
    <x v="0"/>
  </r>
  <r>
    <s v="10"/>
    <s v="card"/>
    <n v="23.02"/>
    <x v="5"/>
    <x v="0"/>
    <x v="0"/>
    <x v="5"/>
    <s v="5"/>
    <s v="8"/>
    <s v="2024-08-09"/>
    <d v="1899-12-30T10:13:08"/>
    <x v="0"/>
  </r>
  <r>
    <s v="10"/>
    <s v="card"/>
    <n v="27.92"/>
    <x v="3"/>
    <x v="0"/>
    <x v="0"/>
    <x v="5"/>
    <s v="5"/>
    <s v="8"/>
    <s v="2024-08-09"/>
    <d v="1899-12-30T10:26:47"/>
    <x v="0"/>
  </r>
  <r>
    <s v="11"/>
    <s v="card"/>
    <n v="32.82"/>
    <x v="0"/>
    <x v="0"/>
    <x v="0"/>
    <x v="5"/>
    <s v="5"/>
    <s v="8"/>
    <s v="2024-08-09"/>
    <d v="1899-12-30T11:28:09"/>
    <x v="0"/>
  </r>
  <r>
    <s v="11"/>
    <s v="card"/>
    <n v="23.02"/>
    <x v="2"/>
    <x v="0"/>
    <x v="0"/>
    <x v="5"/>
    <s v="5"/>
    <s v="8"/>
    <s v="2024-08-09"/>
    <d v="1899-12-30T11:29:49"/>
    <x v="0"/>
  </r>
  <r>
    <s v="18"/>
    <s v="card"/>
    <n v="23.02"/>
    <x v="2"/>
    <x v="2"/>
    <x v="0"/>
    <x v="5"/>
    <s v="5"/>
    <s v="8"/>
    <s v="2024-08-09"/>
    <d v="1899-12-30T18:56:28"/>
    <x v="0"/>
  </r>
  <r>
    <s v="19"/>
    <s v="card"/>
    <n v="32.82"/>
    <x v="1"/>
    <x v="2"/>
    <x v="0"/>
    <x v="5"/>
    <s v="5"/>
    <s v="8"/>
    <s v="2024-08-09"/>
    <d v="1899-12-30T19:03:07"/>
    <x v="0"/>
  </r>
  <r>
    <s v="8"/>
    <s v="card"/>
    <n v="32.82"/>
    <x v="7"/>
    <x v="0"/>
    <x v="1"/>
    <x v="5"/>
    <s v="6"/>
    <s v="8"/>
    <s v="2024-08-10"/>
    <d v="1899-12-30T08:36:45"/>
    <x v="0"/>
  </r>
  <r>
    <s v="8"/>
    <s v="card"/>
    <n v="27.92"/>
    <x v="3"/>
    <x v="0"/>
    <x v="1"/>
    <x v="5"/>
    <s v="6"/>
    <s v="8"/>
    <s v="2024-08-10"/>
    <d v="1899-12-30T08:37:57"/>
    <x v="0"/>
  </r>
  <r>
    <s v="8"/>
    <s v="card"/>
    <n v="23.02"/>
    <x v="5"/>
    <x v="0"/>
    <x v="1"/>
    <x v="5"/>
    <s v="6"/>
    <s v="8"/>
    <s v="2024-08-10"/>
    <d v="1899-12-30T08:45:09"/>
    <x v="0"/>
  </r>
  <r>
    <s v="11"/>
    <s v="card"/>
    <n v="23.02"/>
    <x v="5"/>
    <x v="0"/>
    <x v="1"/>
    <x v="5"/>
    <s v="6"/>
    <s v="8"/>
    <s v="2024-08-10"/>
    <d v="1899-12-30T11:52:34"/>
    <x v="0"/>
  </r>
  <r>
    <s v="11"/>
    <s v="card"/>
    <n v="23.02"/>
    <x v="2"/>
    <x v="0"/>
    <x v="1"/>
    <x v="5"/>
    <s v="6"/>
    <s v="8"/>
    <s v="2024-08-10"/>
    <d v="1899-12-30T11:54:24"/>
    <x v="0"/>
  </r>
  <r>
    <s v="12"/>
    <s v="card"/>
    <n v="32.82"/>
    <x v="0"/>
    <x v="1"/>
    <x v="1"/>
    <x v="5"/>
    <s v="6"/>
    <s v="8"/>
    <s v="2024-08-10"/>
    <d v="1899-12-30T12:15:11"/>
    <x v="0"/>
  </r>
  <r>
    <s v="12"/>
    <s v="card"/>
    <n v="27.92"/>
    <x v="3"/>
    <x v="1"/>
    <x v="1"/>
    <x v="5"/>
    <s v="6"/>
    <s v="8"/>
    <s v="2024-08-10"/>
    <d v="1899-12-30T12:33:12"/>
    <x v="0"/>
  </r>
  <r>
    <s v="16"/>
    <s v="card"/>
    <n v="32.82"/>
    <x v="0"/>
    <x v="1"/>
    <x v="1"/>
    <x v="5"/>
    <s v="6"/>
    <s v="8"/>
    <s v="2024-08-10"/>
    <d v="1899-12-30T16:06:12"/>
    <x v="0"/>
  </r>
  <r>
    <s v="21"/>
    <s v="card"/>
    <n v="32.82"/>
    <x v="4"/>
    <x v="2"/>
    <x v="1"/>
    <x v="5"/>
    <s v="6"/>
    <s v="8"/>
    <s v="2024-08-10"/>
    <d v="1899-12-30T21:16:49"/>
    <x v="0"/>
  </r>
  <r>
    <s v="21"/>
    <s v="card"/>
    <n v="32.82"/>
    <x v="4"/>
    <x v="2"/>
    <x v="1"/>
    <x v="5"/>
    <s v="6"/>
    <s v="8"/>
    <s v="2024-08-10"/>
    <d v="1899-12-30T21:17:41"/>
    <x v="0"/>
  </r>
  <r>
    <s v="21"/>
    <s v="card"/>
    <n v="32.82"/>
    <x v="4"/>
    <x v="2"/>
    <x v="1"/>
    <x v="5"/>
    <s v="6"/>
    <s v="8"/>
    <s v="2024-08-10"/>
    <d v="1899-12-30T21:37:42"/>
    <x v="0"/>
  </r>
  <r>
    <s v="9"/>
    <s v="card"/>
    <n v="32.82"/>
    <x v="0"/>
    <x v="0"/>
    <x v="2"/>
    <x v="5"/>
    <s v="7"/>
    <s v="8"/>
    <s v="2024-08-11"/>
    <d v="1899-12-30T09:52:37"/>
    <x v="0"/>
  </r>
  <r>
    <s v="9"/>
    <s v="card"/>
    <n v="32.82"/>
    <x v="0"/>
    <x v="0"/>
    <x v="2"/>
    <x v="5"/>
    <s v="7"/>
    <s v="8"/>
    <s v="2024-08-11"/>
    <d v="1899-12-30T09:53:44"/>
    <x v="0"/>
  </r>
  <r>
    <s v="10"/>
    <s v="card"/>
    <n v="27.92"/>
    <x v="3"/>
    <x v="0"/>
    <x v="2"/>
    <x v="5"/>
    <s v="7"/>
    <s v="8"/>
    <s v="2024-08-11"/>
    <d v="1899-12-30T10:17:24"/>
    <x v="0"/>
  </r>
  <r>
    <s v="11"/>
    <s v="card"/>
    <n v="32.82"/>
    <x v="7"/>
    <x v="0"/>
    <x v="2"/>
    <x v="5"/>
    <s v="7"/>
    <s v="8"/>
    <s v="2024-08-11"/>
    <d v="1899-12-30T11:56:41"/>
    <x v="0"/>
  </r>
  <r>
    <s v="11"/>
    <s v="card"/>
    <n v="27.92"/>
    <x v="3"/>
    <x v="0"/>
    <x v="2"/>
    <x v="5"/>
    <s v="7"/>
    <s v="8"/>
    <s v="2024-08-11"/>
    <d v="1899-12-30T11:57:41"/>
    <x v="0"/>
  </r>
  <r>
    <s v="12"/>
    <s v="card"/>
    <n v="23.02"/>
    <x v="5"/>
    <x v="1"/>
    <x v="2"/>
    <x v="5"/>
    <s v="7"/>
    <s v="8"/>
    <s v="2024-08-11"/>
    <d v="1899-12-30T12:20:20"/>
    <x v="0"/>
  </r>
  <r>
    <s v="15"/>
    <s v="card"/>
    <n v="32.82"/>
    <x v="0"/>
    <x v="1"/>
    <x v="2"/>
    <x v="5"/>
    <s v="7"/>
    <s v="8"/>
    <s v="2024-08-11"/>
    <d v="1899-12-30T15:53:52"/>
    <x v="0"/>
  </r>
  <r>
    <s v="15"/>
    <s v="card"/>
    <n v="27.92"/>
    <x v="3"/>
    <x v="1"/>
    <x v="2"/>
    <x v="5"/>
    <s v="7"/>
    <s v="8"/>
    <s v="2024-08-11"/>
    <d v="1899-12-30T15:55:15"/>
    <x v="0"/>
  </r>
  <r>
    <s v="15"/>
    <s v="card"/>
    <n v="32.82"/>
    <x v="4"/>
    <x v="1"/>
    <x v="2"/>
    <x v="5"/>
    <s v="7"/>
    <s v="8"/>
    <s v="2024-08-11"/>
    <d v="1899-12-30T15:56:28"/>
    <x v="0"/>
  </r>
  <r>
    <s v="16"/>
    <s v="card"/>
    <n v="32.82"/>
    <x v="7"/>
    <x v="1"/>
    <x v="2"/>
    <x v="5"/>
    <s v="7"/>
    <s v="8"/>
    <s v="2024-08-11"/>
    <d v="1899-12-30T16:27:35"/>
    <x v="0"/>
  </r>
  <r>
    <s v="16"/>
    <s v="card"/>
    <n v="18.12"/>
    <x v="6"/>
    <x v="1"/>
    <x v="2"/>
    <x v="5"/>
    <s v="7"/>
    <s v="8"/>
    <s v="2024-08-11"/>
    <d v="1899-12-30T16:28:38"/>
    <x v="0"/>
  </r>
  <r>
    <s v="21"/>
    <s v="card"/>
    <n v="23.02"/>
    <x v="5"/>
    <x v="2"/>
    <x v="2"/>
    <x v="5"/>
    <s v="7"/>
    <s v="8"/>
    <s v="2024-08-11"/>
    <d v="1899-12-30T21:30:33"/>
    <x v="0"/>
  </r>
  <r>
    <s v="21"/>
    <s v="card"/>
    <n v="32.82"/>
    <x v="0"/>
    <x v="2"/>
    <x v="2"/>
    <x v="5"/>
    <s v="7"/>
    <s v="8"/>
    <s v="2024-08-11"/>
    <d v="1899-12-30T21:41:09"/>
    <x v="0"/>
  </r>
  <r>
    <s v="21"/>
    <s v="card"/>
    <n v="32.82"/>
    <x v="0"/>
    <x v="2"/>
    <x v="2"/>
    <x v="5"/>
    <s v="7"/>
    <s v="8"/>
    <s v="2024-08-11"/>
    <d v="1899-12-30T21:43:10"/>
    <x v="0"/>
  </r>
  <r>
    <s v="22"/>
    <s v="card"/>
    <n v="32.82"/>
    <x v="7"/>
    <x v="2"/>
    <x v="2"/>
    <x v="5"/>
    <s v="7"/>
    <s v="8"/>
    <s v="2024-08-11"/>
    <d v="1899-12-30T22:39:30"/>
    <x v="0"/>
  </r>
  <r>
    <s v="8"/>
    <s v="card"/>
    <n v="32.82"/>
    <x v="1"/>
    <x v="0"/>
    <x v="3"/>
    <x v="5"/>
    <s v="1"/>
    <s v="8"/>
    <s v="2024-08-12"/>
    <d v="1899-12-30T08:26:19"/>
    <x v="0"/>
  </r>
  <r>
    <s v="11"/>
    <s v="card"/>
    <n v="27.92"/>
    <x v="3"/>
    <x v="0"/>
    <x v="3"/>
    <x v="5"/>
    <s v="1"/>
    <s v="8"/>
    <s v="2024-08-12"/>
    <d v="1899-12-30T11:15:05"/>
    <x v="0"/>
  </r>
  <r>
    <s v="11"/>
    <s v="card"/>
    <n v="23.02"/>
    <x v="2"/>
    <x v="0"/>
    <x v="3"/>
    <x v="5"/>
    <s v="1"/>
    <s v="8"/>
    <s v="2024-08-12"/>
    <d v="1899-12-30T11:19:30"/>
    <x v="0"/>
  </r>
  <r>
    <s v="11"/>
    <s v="card"/>
    <n v="32.82"/>
    <x v="0"/>
    <x v="0"/>
    <x v="3"/>
    <x v="5"/>
    <s v="1"/>
    <s v="8"/>
    <s v="2024-08-12"/>
    <d v="1899-12-30T11:20:24"/>
    <x v="0"/>
  </r>
  <r>
    <s v="11"/>
    <s v="card"/>
    <n v="32.82"/>
    <x v="0"/>
    <x v="0"/>
    <x v="3"/>
    <x v="5"/>
    <s v="1"/>
    <s v="8"/>
    <s v="2024-08-12"/>
    <d v="1899-12-30T11:44:28"/>
    <x v="0"/>
  </r>
  <r>
    <s v="14"/>
    <s v="card"/>
    <n v="18.12"/>
    <x v="6"/>
    <x v="1"/>
    <x v="3"/>
    <x v="5"/>
    <s v="1"/>
    <s v="8"/>
    <s v="2024-08-12"/>
    <d v="1899-12-30T14:04:03"/>
    <x v="0"/>
  </r>
  <r>
    <s v="14"/>
    <s v="card"/>
    <n v="27.92"/>
    <x v="3"/>
    <x v="1"/>
    <x v="3"/>
    <x v="5"/>
    <s v="1"/>
    <s v="8"/>
    <s v="2024-08-12"/>
    <d v="1899-12-30T14:05:07"/>
    <x v="0"/>
  </r>
  <r>
    <s v="15"/>
    <s v="card"/>
    <n v="27.92"/>
    <x v="3"/>
    <x v="1"/>
    <x v="3"/>
    <x v="5"/>
    <s v="1"/>
    <s v="8"/>
    <s v="2024-08-12"/>
    <d v="1899-12-30T15:33:33"/>
    <x v="0"/>
  </r>
  <r>
    <s v="18"/>
    <s v="card"/>
    <n v="27.92"/>
    <x v="3"/>
    <x v="2"/>
    <x v="3"/>
    <x v="5"/>
    <s v="1"/>
    <s v="8"/>
    <s v="2024-08-12"/>
    <d v="1899-12-30T18:05:05"/>
    <x v="0"/>
  </r>
  <r>
    <s v="21"/>
    <s v="card"/>
    <n v="27.92"/>
    <x v="3"/>
    <x v="2"/>
    <x v="3"/>
    <x v="5"/>
    <s v="1"/>
    <s v="8"/>
    <s v="2024-08-12"/>
    <d v="1899-12-30T21:25:49"/>
    <x v="0"/>
  </r>
  <r>
    <s v="21"/>
    <s v="card"/>
    <n v="32.82"/>
    <x v="0"/>
    <x v="2"/>
    <x v="3"/>
    <x v="5"/>
    <s v="1"/>
    <s v="8"/>
    <s v="2024-08-12"/>
    <d v="1899-12-30T21:37:38"/>
    <x v="0"/>
  </r>
  <r>
    <s v="22"/>
    <s v="card"/>
    <n v="32.82"/>
    <x v="7"/>
    <x v="2"/>
    <x v="3"/>
    <x v="5"/>
    <s v="1"/>
    <s v="8"/>
    <s v="2024-08-12"/>
    <d v="1899-12-30T22:58:20"/>
    <x v="0"/>
  </r>
  <r>
    <s v="22"/>
    <s v="card"/>
    <n v="32.82"/>
    <x v="7"/>
    <x v="2"/>
    <x v="3"/>
    <x v="5"/>
    <s v="1"/>
    <s v="8"/>
    <s v="2024-08-12"/>
    <d v="1899-12-30T22:59:19"/>
    <x v="0"/>
  </r>
  <r>
    <s v="8"/>
    <s v="card"/>
    <n v="27.92"/>
    <x v="3"/>
    <x v="0"/>
    <x v="4"/>
    <x v="5"/>
    <s v="2"/>
    <s v="8"/>
    <s v="2024-08-13"/>
    <d v="1899-12-30T08:44:30"/>
    <x v="0"/>
  </r>
  <r>
    <s v="9"/>
    <s v="card"/>
    <n v="27.92"/>
    <x v="3"/>
    <x v="0"/>
    <x v="4"/>
    <x v="5"/>
    <s v="2"/>
    <s v="8"/>
    <s v="2024-08-13"/>
    <d v="1899-12-30T09:14:22"/>
    <x v="0"/>
  </r>
  <r>
    <s v="9"/>
    <s v="card"/>
    <n v="27.92"/>
    <x v="3"/>
    <x v="0"/>
    <x v="4"/>
    <x v="5"/>
    <s v="2"/>
    <s v="8"/>
    <s v="2024-08-13"/>
    <d v="1899-12-30T09:45:56"/>
    <x v="0"/>
  </r>
  <r>
    <s v="10"/>
    <s v="card"/>
    <n v="23.02"/>
    <x v="5"/>
    <x v="0"/>
    <x v="4"/>
    <x v="5"/>
    <s v="2"/>
    <s v="8"/>
    <s v="2024-08-13"/>
    <d v="1899-12-30T10:42:09"/>
    <x v="0"/>
  </r>
  <r>
    <s v="11"/>
    <s v="card"/>
    <n v="32.82"/>
    <x v="0"/>
    <x v="0"/>
    <x v="4"/>
    <x v="5"/>
    <s v="2"/>
    <s v="8"/>
    <s v="2024-08-13"/>
    <d v="1899-12-30T11:59:48"/>
    <x v="0"/>
  </r>
  <r>
    <s v="13"/>
    <s v="card"/>
    <n v="27.92"/>
    <x v="3"/>
    <x v="1"/>
    <x v="4"/>
    <x v="5"/>
    <s v="2"/>
    <s v="8"/>
    <s v="2024-08-13"/>
    <d v="1899-12-30T13:01:41"/>
    <x v="0"/>
  </r>
  <r>
    <s v="14"/>
    <s v="card"/>
    <n v="32.82"/>
    <x v="0"/>
    <x v="1"/>
    <x v="4"/>
    <x v="5"/>
    <s v="2"/>
    <s v="8"/>
    <s v="2024-08-13"/>
    <d v="1899-12-30T14:45:40"/>
    <x v="0"/>
  </r>
  <r>
    <s v="15"/>
    <s v="card"/>
    <n v="32.82"/>
    <x v="7"/>
    <x v="1"/>
    <x v="4"/>
    <x v="5"/>
    <s v="2"/>
    <s v="8"/>
    <s v="2024-08-13"/>
    <d v="1899-12-30T15:47:57"/>
    <x v="0"/>
  </r>
  <r>
    <s v="15"/>
    <s v="card"/>
    <n v="27.92"/>
    <x v="3"/>
    <x v="1"/>
    <x v="4"/>
    <x v="5"/>
    <s v="2"/>
    <s v="8"/>
    <s v="2024-08-13"/>
    <d v="1899-12-30T15:55:30"/>
    <x v="0"/>
  </r>
  <r>
    <s v="20"/>
    <s v="card"/>
    <n v="32.82"/>
    <x v="0"/>
    <x v="2"/>
    <x v="4"/>
    <x v="5"/>
    <s v="2"/>
    <s v="8"/>
    <s v="2024-08-13"/>
    <d v="1899-12-30T20:29:35"/>
    <x v="0"/>
  </r>
  <r>
    <s v="20"/>
    <s v="card"/>
    <n v="32.82"/>
    <x v="4"/>
    <x v="2"/>
    <x v="4"/>
    <x v="5"/>
    <s v="2"/>
    <s v="8"/>
    <s v="2024-08-13"/>
    <d v="1899-12-30T20:30:37"/>
    <x v="0"/>
  </r>
  <r>
    <s v="20"/>
    <s v="card"/>
    <n v="32.82"/>
    <x v="7"/>
    <x v="2"/>
    <x v="4"/>
    <x v="5"/>
    <s v="2"/>
    <s v="8"/>
    <s v="2024-08-13"/>
    <d v="1899-12-30T20:44:23"/>
    <x v="0"/>
  </r>
  <r>
    <s v="21"/>
    <s v="card"/>
    <n v="23.02"/>
    <x v="5"/>
    <x v="2"/>
    <x v="4"/>
    <x v="5"/>
    <s v="2"/>
    <s v="8"/>
    <s v="2024-08-13"/>
    <d v="1899-12-30T21:00:45"/>
    <x v="0"/>
  </r>
  <r>
    <s v="7"/>
    <s v="card"/>
    <n v="32.82"/>
    <x v="0"/>
    <x v="0"/>
    <x v="5"/>
    <x v="5"/>
    <s v="3"/>
    <s v="8"/>
    <s v="2024-08-14"/>
    <d v="1899-12-30T07:35:48"/>
    <x v="0"/>
  </r>
  <r>
    <s v="7"/>
    <s v="card"/>
    <n v="32.82"/>
    <x v="7"/>
    <x v="0"/>
    <x v="5"/>
    <x v="5"/>
    <s v="3"/>
    <s v="8"/>
    <s v="2024-08-14"/>
    <d v="1899-12-30T07:36:56"/>
    <x v="0"/>
  </r>
  <r>
    <s v="10"/>
    <s v="card"/>
    <n v="23.02"/>
    <x v="5"/>
    <x v="0"/>
    <x v="5"/>
    <x v="5"/>
    <s v="3"/>
    <s v="8"/>
    <s v="2024-08-14"/>
    <d v="1899-12-30T10:09:29"/>
    <x v="0"/>
  </r>
  <r>
    <s v="11"/>
    <s v="card"/>
    <n v="18.12"/>
    <x v="6"/>
    <x v="0"/>
    <x v="5"/>
    <x v="5"/>
    <s v="3"/>
    <s v="8"/>
    <s v="2024-08-14"/>
    <d v="1899-12-30T11:39:08"/>
    <x v="0"/>
  </r>
  <r>
    <s v="12"/>
    <s v="card"/>
    <n v="23.02"/>
    <x v="2"/>
    <x v="1"/>
    <x v="5"/>
    <x v="5"/>
    <s v="3"/>
    <s v="8"/>
    <s v="2024-08-14"/>
    <d v="1899-12-30T12:49:17"/>
    <x v="0"/>
  </r>
  <r>
    <s v="12"/>
    <s v="card"/>
    <n v="23.02"/>
    <x v="2"/>
    <x v="1"/>
    <x v="5"/>
    <x v="5"/>
    <s v="3"/>
    <s v="8"/>
    <s v="2024-08-14"/>
    <d v="1899-12-30T12:51:05"/>
    <x v="0"/>
  </r>
  <r>
    <s v="15"/>
    <s v="card"/>
    <n v="32.82"/>
    <x v="0"/>
    <x v="1"/>
    <x v="5"/>
    <x v="5"/>
    <s v="3"/>
    <s v="8"/>
    <s v="2024-08-14"/>
    <d v="1899-12-30T15:21:27"/>
    <x v="0"/>
  </r>
  <r>
    <s v="17"/>
    <s v="card"/>
    <n v="23.02"/>
    <x v="2"/>
    <x v="2"/>
    <x v="5"/>
    <x v="5"/>
    <s v="3"/>
    <s v="8"/>
    <s v="2024-08-14"/>
    <d v="1899-12-30T17:24:23"/>
    <x v="0"/>
  </r>
  <r>
    <s v="18"/>
    <s v="card"/>
    <n v="23.02"/>
    <x v="5"/>
    <x v="2"/>
    <x v="5"/>
    <x v="5"/>
    <s v="3"/>
    <s v="8"/>
    <s v="2024-08-14"/>
    <d v="1899-12-30T18:10:04"/>
    <x v="0"/>
  </r>
  <r>
    <s v="18"/>
    <s v="card"/>
    <n v="27.92"/>
    <x v="3"/>
    <x v="2"/>
    <x v="5"/>
    <x v="5"/>
    <s v="3"/>
    <s v="8"/>
    <s v="2024-08-14"/>
    <d v="1899-12-30T18:59:18"/>
    <x v="0"/>
  </r>
  <r>
    <s v="19"/>
    <s v="card"/>
    <n v="32.82"/>
    <x v="0"/>
    <x v="2"/>
    <x v="5"/>
    <x v="5"/>
    <s v="3"/>
    <s v="8"/>
    <s v="2024-08-14"/>
    <d v="1899-12-30T19:34:52"/>
    <x v="0"/>
  </r>
  <r>
    <s v="19"/>
    <s v="card"/>
    <n v="23.02"/>
    <x v="5"/>
    <x v="2"/>
    <x v="5"/>
    <x v="5"/>
    <s v="3"/>
    <s v="8"/>
    <s v="2024-08-14"/>
    <d v="1899-12-30T19:35:49"/>
    <x v="0"/>
  </r>
  <r>
    <s v="21"/>
    <s v="card"/>
    <n v="32.82"/>
    <x v="0"/>
    <x v="2"/>
    <x v="5"/>
    <x v="5"/>
    <s v="3"/>
    <s v="8"/>
    <s v="2024-08-14"/>
    <d v="1899-12-30T21:41:33"/>
    <x v="0"/>
  </r>
  <r>
    <s v="9"/>
    <s v="card"/>
    <n v="23.02"/>
    <x v="5"/>
    <x v="0"/>
    <x v="6"/>
    <x v="5"/>
    <s v="4"/>
    <s v="8"/>
    <s v="2024-08-15"/>
    <d v="1899-12-30T09:36:11"/>
    <x v="0"/>
  </r>
  <r>
    <s v="9"/>
    <s v="card"/>
    <n v="32.82"/>
    <x v="7"/>
    <x v="0"/>
    <x v="6"/>
    <x v="5"/>
    <s v="4"/>
    <s v="8"/>
    <s v="2024-08-15"/>
    <d v="1899-12-30T09:37:02"/>
    <x v="0"/>
  </r>
  <r>
    <s v="9"/>
    <s v="card"/>
    <n v="32.82"/>
    <x v="1"/>
    <x v="0"/>
    <x v="6"/>
    <x v="5"/>
    <s v="4"/>
    <s v="8"/>
    <s v="2024-08-15"/>
    <d v="1899-12-30T09:38:05"/>
    <x v="0"/>
  </r>
  <r>
    <s v="9"/>
    <s v="card"/>
    <n v="32.82"/>
    <x v="0"/>
    <x v="0"/>
    <x v="6"/>
    <x v="5"/>
    <s v="4"/>
    <s v="8"/>
    <s v="2024-08-15"/>
    <d v="1899-12-30T09:38:50"/>
    <x v="0"/>
  </r>
  <r>
    <s v="12"/>
    <s v="card"/>
    <n v="32.82"/>
    <x v="0"/>
    <x v="1"/>
    <x v="6"/>
    <x v="5"/>
    <s v="4"/>
    <s v="8"/>
    <s v="2024-08-15"/>
    <d v="1899-12-30T12:38:38"/>
    <x v="0"/>
  </r>
  <r>
    <s v="13"/>
    <s v="card"/>
    <n v="32.82"/>
    <x v="0"/>
    <x v="1"/>
    <x v="6"/>
    <x v="5"/>
    <s v="4"/>
    <s v="8"/>
    <s v="2024-08-15"/>
    <d v="1899-12-30T13:48:14"/>
    <x v="0"/>
  </r>
  <r>
    <s v="14"/>
    <s v="card"/>
    <n v="23.02"/>
    <x v="2"/>
    <x v="1"/>
    <x v="6"/>
    <x v="5"/>
    <s v="4"/>
    <s v="8"/>
    <s v="2024-08-15"/>
    <d v="1899-12-30T14:17:48"/>
    <x v="0"/>
  </r>
  <r>
    <s v="14"/>
    <s v="card"/>
    <n v="18.12"/>
    <x v="6"/>
    <x v="1"/>
    <x v="6"/>
    <x v="5"/>
    <s v="4"/>
    <s v="8"/>
    <s v="2024-08-15"/>
    <d v="1899-12-30T14:18:51"/>
    <x v="0"/>
  </r>
  <r>
    <s v="17"/>
    <s v="card"/>
    <n v="27.92"/>
    <x v="3"/>
    <x v="2"/>
    <x v="6"/>
    <x v="5"/>
    <s v="4"/>
    <s v="8"/>
    <s v="2024-08-15"/>
    <d v="1899-12-30T17:53:52"/>
    <x v="0"/>
  </r>
  <r>
    <s v="19"/>
    <s v="card"/>
    <n v="32.82"/>
    <x v="1"/>
    <x v="2"/>
    <x v="6"/>
    <x v="5"/>
    <s v="4"/>
    <s v="8"/>
    <s v="2024-08-15"/>
    <d v="1899-12-30T19:10:58"/>
    <x v="0"/>
  </r>
  <r>
    <s v="19"/>
    <s v="card"/>
    <n v="27.92"/>
    <x v="3"/>
    <x v="2"/>
    <x v="6"/>
    <x v="5"/>
    <s v="4"/>
    <s v="8"/>
    <s v="2024-08-15"/>
    <d v="1899-12-30T19:11:54"/>
    <x v="0"/>
  </r>
  <r>
    <s v="19"/>
    <s v="card"/>
    <n v="27.92"/>
    <x v="3"/>
    <x v="2"/>
    <x v="6"/>
    <x v="5"/>
    <s v="4"/>
    <s v="8"/>
    <s v="2024-08-15"/>
    <d v="1899-12-30T19:41:30"/>
    <x v="0"/>
  </r>
  <r>
    <s v="19"/>
    <s v="card"/>
    <n v="23.02"/>
    <x v="2"/>
    <x v="2"/>
    <x v="6"/>
    <x v="5"/>
    <s v="4"/>
    <s v="8"/>
    <s v="2024-08-15"/>
    <d v="1899-12-30T19:42:38"/>
    <x v="0"/>
  </r>
  <r>
    <s v="20"/>
    <s v="card"/>
    <n v="32.82"/>
    <x v="7"/>
    <x v="2"/>
    <x v="6"/>
    <x v="5"/>
    <s v="4"/>
    <s v="8"/>
    <s v="2024-08-15"/>
    <d v="1899-12-30T20:40:42"/>
    <x v="0"/>
  </r>
  <r>
    <s v="21"/>
    <s v="card"/>
    <n v="18.12"/>
    <x v="6"/>
    <x v="2"/>
    <x v="6"/>
    <x v="5"/>
    <s v="4"/>
    <s v="8"/>
    <s v="2024-08-15"/>
    <d v="1899-12-30T21:35:20"/>
    <x v="0"/>
  </r>
  <r>
    <s v="21"/>
    <s v="card"/>
    <n v="27.92"/>
    <x v="3"/>
    <x v="2"/>
    <x v="6"/>
    <x v="5"/>
    <s v="4"/>
    <s v="8"/>
    <s v="2024-08-15"/>
    <d v="1899-12-30T21:36:11"/>
    <x v="0"/>
  </r>
  <r>
    <s v="12"/>
    <s v="card"/>
    <n v="32.82"/>
    <x v="0"/>
    <x v="1"/>
    <x v="0"/>
    <x v="5"/>
    <s v="5"/>
    <s v="8"/>
    <s v="2024-08-16"/>
    <d v="1899-12-30T12:29:17"/>
    <x v="0"/>
  </r>
  <r>
    <s v="12"/>
    <s v="card"/>
    <n v="23.02"/>
    <x v="2"/>
    <x v="1"/>
    <x v="0"/>
    <x v="5"/>
    <s v="5"/>
    <s v="8"/>
    <s v="2024-08-16"/>
    <d v="1899-12-30T12:54:17"/>
    <x v="0"/>
  </r>
  <r>
    <s v="13"/>
    <s v="card"/>
    <n v="27.92"/>
    <x v="3"/>
    <x v="1"/>
    <x v="0"/>
    <x v="5"/>
    <s v="5"/>
    <s v="8"/>
    <s v="2024-08-16"/>
    <d v="1899-12-30T13:36:13"/>
    <x v="0"/>
  </r>
  <r>
    <s v="15"/>
    <s v="card"/>
    <n v="18.12"/>
    <x v="6"/>
    <x v="1"/>
    <x v="0"/>
    <x v="5"/>
    <s v="5"/>
    <s v="8"/>
    <s v="2024-08-16"/>
    <d v="1899-12-30T15:18:52"/>
    <x v="0"/>
  </r>
  <r>
    <s v="15"/>
    <s v="card"/>
    <n v="18.12"/>
    <x v="6"/>
    <x v="1"/>
    <x v="0"/>
    <x v="5"/>
    <s v="5"/>
    <s v="8"/>
    <s v="2024-08-16"/>
    <d v="1899-12-30T15:19:39"/>
    <x v="0"/>
  </r>
  <r>
    <s v="9"/>
    <s v="card"/>
    <n v="27.92"/>
    <x v="3"/>
    <x v="0"/>
    <x v="1"/>
    <x v="5"/>
    <s v="6"/>
    <s v="8"/>
    <s v="2024-08-17"/>
    <d v="1899-12-30T09:16:53"/>
    <x v="0"/>
  </r>
  <r>
    <s v="9"/>
    <s v="card"/>
    <n v="32.82"/>
    <x v="7"/>
    <x v="0"/>
    <x v="1"/>
    <x v="5"/>
    <s v="6"/>
    <s v="8"/>
    <s v="2024-08-17"/>
    <d v="1899-12-30T09:18:09"/>
    <x v="0"/>
  </r>
  <r>
    <s v="10"/>
    <s v="card"/>
    <n v="27.92"/>
    <x v="3"/>
    <x v="0"/>
    <x v="1"/>
    <x v="5"/>
    <s v="6"/>
    <s v="8"/>
    <s v="2024-08-17"/>
    <d v="1899-12-30T10:53:41"/>
    <x v="0"/>
  </r>
  <r>
    <s v="11"/>
    <s v="card"/>
    <n v="23.02"/>
    <x v="5"/>
    <x v="0"/>
    <x v="1"/>
    <x v="5"/>
    <s v="6"/>
    <s v="8"/>
    <s v="2024-08-17"/>
    <d v="1899-12-30T11:58:42"/>
    <x v="0"/>
  </r>
  <r>
    <s v="11"/>
    <s v="card"/>
    <n v="23.02"/>
    <x v="5"/>
    <x v="0"/>
    <x v="1"/>
    <x v="5"/>
    <s v="6"/>
    <s v="8"/>
    <s v="2024-08-17"/>
    <d v="1899-12-30T11:59:28"/>
    <x v="0"/>
  </r>
  <r>
    <s v="13"/>
    <s v="card"/>
    <n v="27.92"/>
    <x v="3"/>
    <x v="1"/>
    <x v="1"/>
    <x v="5"/>
    <s v="6"/>
    <s v="8"/>
    <s v="2024-08-17"/>
    <d v="1899-12-30T13:18:40"/>
    <x v="0"/>
  </r>
  <r>
    <s v="16"/>
    <s v="card"/>
    <n v="23.02"/>
    <x v="5"/>
    <x v="1"/>
    <x v="1"/>
    <x v="5"/>
    <s v="6"/>
    <s v="8"/>
    <s v="2024-08-17"/>
    <d v="1899-12-30T16:31:55"/>
    <x v="0"/>
  </r>
  <r>
    <s v="16"/>
    <s v="card"/>
    <n v="32.82"/>
    <x v="0"/>
    <x v="1"/>
    <x v="1"/>
    <x v="5"/>
    <s v="6"/>
    <s v="8"/>
    <s v="2024-08-17"/>
    <d v="1899-12-30T16:33:49"/>
    <x v="0"/>
  </r>
  <r>
    <s v="18"/>
    <s v="card"/>
    <n v="32.82"/>
    <x v="7"/>
    <x v="2"/>
    <x v="1"/>
    <x v="5"/>
    <s v="6"/>
    <s v="8"/>
    <s v="2024-08-17"/>
    <d v="1899-12-30T18:48:59"/>
    <x v="0"/>
  </r>
  <r>
    <s v="21"/>
    <s v="card"/>
    <n v="27.92"/>
    <x v="3"/>
    <x v="2"/>
    <x v="1"/>
    <x v="5"/>
    <s v="6"/>
    <s v="8"/>
    <s v="2024-08-17"/>
    <d v="1899-12-30T21:18:57"/>
    <x v="0"/>
  </r>
  <r>
    <s v="22"/>
    <s v="card"/>
    <n v="32.82"/>
    <x v="0"/>
    <x v="2"/>
    <x v="1"/>
    <x v="5"/>
    <s v="6"/>
    <s v="8"/>
    <s v="2024-08-17"/>
    <d v="1899-12-30T22:42:39"/>
    <x v="0"/>
  </r>
  <r>
    <s v="8"/>
    <s v="card"/>
    <n v="32.82"/>
    <x v="7"/>
    <x v="0"/>
    <x v="2"/>
    <x v="5"/>
    <s v="7"/>
    <s v="8"/>
    <s v="2024-08-18"/>
    <d v="1899-12-30T08:09:43"/>
    <x v="0"/>
  </r>
  <r>
    <s v="8"/>
    <s v="card"/>
    <n v="32.82"/>
    <x v="7"/>
    <x v="0"/>
    <x v="2"/>
    <x v="5"/>
    <s v="7"/>
    <s v="8"/>
    <s v="2024-08-18"/>
    <d v="1899-12-30T08:32:06"/>
    <x v="0"/>
  </r>
  <r>
    <s v="8"/>
    <s v="card"/>
    <n v="23.02"/>
    <x v="5"/>
    <x v="0"/>
    <x v="2"/>
    <x v="5"/>
    <s v="7"/>
    <s v="8"/>
    <s v="2024-08-18"/>
    <d v="1899-12-30T08:41:06"/>
    <x v="0"/>
  </r>
  <r>
    <s v="8"/>
    <s v="card"/>
    <n v="27.92"/>
    <x v="3"/>
    <x v="0"/>
    <x v="2"/>
    <x v="5"/>
    <s v="7"/>
    <s v="8"/>
    <s v="2024-08-18"/>
    <d v="1899-12-30T08:56:01"/>
    <x v="0"/>
  </r>
  <r>
    <s v="12"/>
    <s v="card"/>
    <n v="32.82"/>
    <x v="7"/>
    <x v="1"/>
    <x v="2"/>
    <x v="5"/>
    <s v="7"/>
    <s v="8"/>
    <s v="2024-08-18"/>
    <d v="1899-12-30T12:31:41"/>
    <x v="0"/>
  </r>
  <r>
    <s v="14"/>
    <s v="card"/>
    <n v="27.92"/>
    <x v="3"/>
    <x v="1"/>
    <x v="2"/>
    <x v="5"/>
    <s v="7"/>
    <s v="8"/>
    <s v="2024-08-18"/>
    <d v="1899-12-30T14:30:22"/>
    <x v="0"/>
  </r>
  <r>
    <s v="18"/>
    <s v="card"/>
    <n v="27.92"/>
    <x v="3"/>
    <x v="2"/>
    <x v="2"/>
    <x v="5"/>
    <s v="7"/>
    <s v="8"/>
    <s v="2024-08-18"/>
    <d v="1899-12-30T18:24:11"/>
    <x v="0"/>
  </r>
  <r>
    <s v="18"/>
    <s v="card"/>
    <n v="27.92"/>
    <x v="3"/>
    <x v="2"/>
    <x v="2"/>
    <x v="5"/>
    <s v="7"/>
    <s v="8"/>
    <s v="2024-08-18"/>
    <d v="1899-12-30T18:26:04"/>
    <x v="0"/>
  </r>
  <r>
    <s v="18"/>
    <s v="card"/>
    <n v="23.02"/>
    <x v="2"/>
    <x v="2"/>
    <x v="2"/>
    <x v="5"/>
    <s v="7"/>
    <s v="8"/>
    <s v="2024-08-18"/>
    <d v="1899-12-30T18:27:18"/>
    <x v="0"/>
  </r>
  <r>
    <s v="18"/>
    <s v="card"/>
    <n v="23.02"/>
    <x v="2"/>
    <x v="2"/>
    <x v="2"/>
    <x v="5"/>
    <s v="7"/>
    <s v="8"/>
    <s v="2024-08-18"/>
    <d v="1899-12-30T18:28:13"/>
    <x v="0"/>
  </r>
  <r>
    <s v="15"/>
    <s v="card"/>
    <n v="27.92"/>
    <x v="3"/>
    <x v="1"/>
    <x v="3"/>
    <x v="5"/>
    <s v="1"/>
    <s v="8"/>
    <s v="2024-08-19"/>
    <d v="1899-12-30T15:09:49"/>
    <x v="0"/>
  </r>
  <r>
    <s v="15"/>
    <s v="card"/>
    <n v="27.92"/>
    <x v="3"/>
    <x v="1"/>
    <x v="3"/>
    <x v="5"/>
    <s v="1"/>
    <s v="8"/>
    <s v="2024-08-19"/>
    <d v="1899-12-30T15:10:51"/>
    <x v="0"/>
  </r>
  <r>
    <s v="21"/>
    <s v="card"/>
    <n v="32.82"/>
    <x v="0"/>
    <x v="2"/>
    <x v="3"/>
    <x v="5"/>
    <s v="1"/>
    <s v="8"/>
    <s v="2024-08-19"/>
    <d v="1899-12-30T21:21:12"/>
    <x v="0"/>
  </r>
  <r>
    <s v="21"/>
    <s v="card"/>
    <n v="32.82"/>
    <x v="4"/>
    <x v="2"/>
    <x v="3"/>
    <x v="5"/>
    <s v="1"/>
    <s v="8"/>
    <s v="2024-08-19"/>
    <d v="1899-12-30T21:31:57"/>
    <x v="0"/>
  </r>
  <r>
    <s v="8"/>
    <s v="card"/>
    <n v="23.02"/>
    <x v="5"/>
    <x v="0"/>
    <x v="4"/>
    <x v="5"/>
    <s v="2"/>
    <s v="8"/>
    <s v="2024-08-20"/>
    <d v="1899-12-30T08:27:16"/>
    <x v="0"/>
  </r>
  <r>
    <s v="8"/>
    <s v="card"/>
    <n v="32.82"/>
    <x v="0"/>
    <x v="0"/>
    <x v="4"/>
    <x v="5"/>
    <s v="2"/>
    <s v="8"/>
    <s v="2024-08-20"/>
    <d v="1899-12-30T08:29:15"/>
    <x v="0"/>
  </r>
  <r>
    <s v="8"/>
    <s v="card"/>
    <n v="18.12"/>
    <x v="6"/>
    <x v="0"/>
    <x v="4"/>
    <x v="5"/>
    <s v="2"/>
    <s v="8"/>
    <s v="2024-08-20"/>
    <d v="1899-12-30T08:49:47"/>
    <x v="0"/>
  </r>
  <r>
    <s v="8"/>
    <s v="card"/>
    <n v="23.02"/>
    <x v="5"/>
    <x v="0"/>
    <x v="4"/>
    <x v="5"/>
    <s v="2"/>
    <s v="8"/>
    <s v="2024-08-20"/>
    <d v="1899-12-30T08:50:36"/>
    <x v="0"/>
  </r>
  <r>
    <s v="9"/>
    <s v="card"/>
    <n v="27.92"/>
    <x v="3"/>
    <x v="0"/>
    <x v="4"/>
    <x v="5"/>
    <s v="2"/>
    <s v="8"/>
    <s v="2024-08-20"/>
    <d v="1899-12-30T09:14:55"/>
    <x v="0"/>
  </r>
  <r>
    <s v="11"/>
    <s v="card"/>
    <n v="23.02"/>
    <x v="2"/>
    <x v="0"/>
    <x v="4"/>
    <x v="5"/>
    <s v="2"/>
    <s v="8"/>
    <s v="2024-08-20"/>
    <d v="1899-12-30T11:09:56"/>
    <x v="0"/>
  </r>
  <r>
    <s v="11"/>
    <s v="card"/>
    <n v="23.02"/>
    <x v="2"/>
    <x v="0"/>
    <x v="4"/>
    <x v="5"/>
    <s v="2"/>
    <s v="8"/>
    <s v="2024-08-20"/>
    <d v="1899-12-30T11:11:39"/>
    <x v="0"/>
  </r>
  <r>
    <s v="11"/>
    <s v="card"/>
    <n v="23.02"/>
    <x v="2"/>
    <x v="0"/>
    <x v="4"/>
    <x v="5"/>
    <s v="2"/>
    <s v="8"/>
    <s v="2024-08-20"/>
    <d v="1899-12-30T11:12:31"/>
    <x v="0"/>
  </r>
  <r>
    <s v="11"/>
    <s v="card"/>
    <n v="32.82"/>
    <x v="0"/>
    <x v="0"/>
    <x v="4"/>
    <x v="5"/>
    <s v="2"/>
    <s v="8"/>
    <s v="2024-08-20"/>
    <d v="1899-12-30T11:42:20"/>
    <x v="0"/>
  </r>
  <r>
    <s v="20"/>
    <s v="card"/>
    <n v="32.82"/>
    <x v="0"/>
    <x v="2"/>
    <x v="4"/>
    <x v="5"/>
    <s v="2"/>
    <s v="8"/>
    <s v="2024-08-20"/>
    <d v="1899-12-30T20:42:41"/>
    <x v="0"/>
  </r>
  <r>
    <s v="20"/>
    <s v="card"/>
    <n v="32.82"/>
    <x v="0"/>
    <x v="2"/>
    <x v="4"/>
    <x v="5"/>
    <s v="2"/>
    <s v="8"/>
    <s v="2024-08-20"/>
    <d v="1899-12-30T20:44:15"/>
    <x v="0"/>
  </r>
  <r>
    <s v="20"/>
    <s v="card"/>
    <n v="32.82"/>
    <x v="0"/>
    <x v="2"/>
    <x v="4"/>
    <x v="5"/>
    <s v="2"/>
    <s v="8"/>
    <s v="2024-08-20"/>
    <d v="1899-12-30T20:45:12"/>
    <x v="0"/>
  </r>
  <r>
    <s v="20"/>
    <s v="card"/>
    <n v="32.82"/>
    <x v="0"/>
    <x v="2"/>
    <x v="4"/>
    <x v="5"/>
    <s v="2"/>
    <s v="8"/>
    <s v="2024-08-20"/>
    <d v="1899-12-30T20:46:04"/>
    <x v="0"/>
  </r>
  <r>
    <s v="7"/>
    <s v="card"/>
    <n v="27.92"/>
    <x v="3"/>
    <x v="0"/>
    <x v="5"/>
    <x v="5"/>
    <s v="3"/>
    <s v="8"/>
    <s v="2024-08-21"/>
    <d v="1899-12-30T07:59:13"/>
    <x v="0"/>
  </r>
  <r>
    <s v="8"/>
    <s v="card"/>
    <n v="23.02"/>
    <x v="5"/>
    <x v="0"/>
    <x v="5"/>
    <x v="5"/>
    <s v="3"/>
    <s v="8"/>
    <s v="2024-08-21"/>
    <d v="1899-12-30T08:40:27"/>
    <x v="0"/>
  </r>
  <r>
    <s v="10"/>
    <s v="card"/>
    <n v="23.02"/>
    <x v="2"/>
    <x v="0"/>
    <x v="5"/>
    <x v="5"/>
    <s v="3"/>
    <s v="8"/>
    <s v="2024-08-21"/>
    <d v="1899-12-30T10:13:32"/>
    <x v="0"/>
  </r>
  <r>
    <s v="10"/>
    <s v="card"/>
    <n v="27.92"/>
    <x v="3"/>
    <x v="0"/>
    <x v="5"/>
    <x v="5"/>
    <s v="3"/>
    <s v="8"/>
    <s v="2024-08-21"/>
    <d v="1899-12-30T10:38:45"/>
    <x v="0"/>
  </r>
  <r>
    <s v="11"/>
    <s v="card"/>
    <n v="23.02"/>
    <x v="5"/>
    <x v="0"/>
    <x v="5"/>
    <x v="5"/>
    <s v="3"/>
    <s v="8"/>
    <s v="2024-08-21"/>
    <d v="1899-12-30T11:51:41"/>
    <x v="0"/>
  </r>
  <r>
    <s v="13"/>
    <s v="card"/>
    <n v="32.82"/>
    <x v="0"/>
    <x v="1"/>
    <x v="5"/>
    <x v="5"/>
    <s v="3"/>
    <s v="8"/>
    <s v="2024-08-21"/>
    <d v="1899-12-30T13:17:11"/>
    <x v="0"/>
  </r>
  <r>
    <s v="19"/>
    <s v="card"/>
    <n v="32.82"/>
    <x v="0"/>
    <x v="2"/>
    <x v="5"/>
    <x v="5"/>
    <s v="3"/>
    <s v="8"/>
    <s v="2024-08-21"/>
    <d v="1899-12-30T19:42:04"/>
    <x v="0"/>
  </r>
  <r>
    <s v="9"/>
    <s v="card"/>
    <n v="23.02"/>
    <x v="5"/>
    <x v="0"/>
    <x v="6"/>
    <x v="5"/>
    <s v="4"/>
    <s v="8"/>
    <s v="2024-08-22"/>
    <d v="1899-12-30T09:22:26"/>
    <x v="0"/>
  </r>
  <r>
    <s v="10"/>
    <s v="card"/>
    <n v="27.92"/>
    <x v="3"/>
    <x v="0"/>
    <x v="6"/>
    <x v="5"/>
    <s v="4"/>
    <s v="8"/>
    <s v="2024-08-22"/>
    <d v="1899-12-30T10:09:23"/>
    <x v="0"/>
  </r>
  <r>
    <s v="10"/>
    <s v="card"/>
    <n v="27.92"/>
    <x v="3"/>
    <x v="0"/>
    <x v="6"/>
    <x v="5"/>
    <s v="4"/>
    <s v="8"/>
    <s v="2024-08-22"/>
    <d v="1899-12-30T10:47:59"/>
    <x v="0"/>
  </r>
  <r>
    <s v="14"/>
    <s v="card"/>
    <n v="32.82"/>
    <x v="0"/>
    <x v="1"/>
    <x v="6"/>
    <x v="5"/>
    <s v="4"/>
    <s v="8"/>
    <s v="2024-08-22"/>
    <d v="1899-12-30T14:16:12"/>
    <x v="0"/>
  </r>
  <r>
    <s v="14"/>
    <s v="card"/>
    <n v="32.82"/>
    <x v="0"/>
    <x v="1"/>
    <x v="6"/>
    <x v="5"/>
    <s v="4"/>
    <s v="8"/>
    <s v="2024-08-22"/>
    <d v="1899-12-30T14:26:58"/>
    <x v="0"/>
  </r>
  <r>
    <s v="15"/>
    <s v="card"/>
    <n v="32.82"/>
    <x v="7"/>
    <x v="1"/>
    <x v="6"/>
    <x v="5"/>
    <s v="4"/>
    <s v="8"/>
    <s v="2024-08-22"/>
    <d v="1899-12-30T15:07:07"/>
    <x v="0"/>
  </r>
  <r>
    <s v="15"/>
    <s v="card"/>
    <n v="23.02"/>
    <x v="2"/>
    <x v="1"/>
    <x v="6"/>
    <x v="5"/>
    <s v="4"/>
    <s v="8"/>
    <s v="2024-08-22"/>
    <d v="1899-12-30T15:27:27"/>
    <x v="0"/>
  </r>
  <r>
    <s v="7"/>
    <s v="card"/>
    <n v="32.82"/>
    <x v="0"/>
    <x v="0"/>
    <x v="0"/>
    <x v="5"/>
    <s v="5"/>
    <s v="8"/>
    <s v="2024-08-23"/>
    <d v="1899-12-30T07:43:16"/>
    <x v="0"/>
  </r>
  <r>
    <s v="8"/>
    <s v="card"/>
    <n v="23.02"/>
    <x v="5"/>
    <x v="0"/>
    <x v="0"/>
    <x v="5"/>
    <s v="5"/>
    <s v="8"/>
    <s v="2024-08-23"/>
    <d v="1899-12-30T08:21:48"/>
    <x v="0"/>
  </r>
  <r>
    <s v="8"/>
    <s v="card"/>
    <n v="32.82"/>
    <x v="0"/>
    <x v="0"/>
    <x v="0"/>
    <x v="5"/>
    <s v="5"/>
    <s v="8"/>
    <s v="2024-08-23"/>
    <d v="1899-12-30T08:22:57"/>
    <x v="0"/>
  </r>
  <r>
    <s v="8"/>
    <s v="card"/>
    <n v="23.02"/>
    <x v="2"/>
    <x v="0"/>
    <x v="0"/>
    <x v="5"/>
    <s v="5"/>
    <s v="8"/>
    <s v="2024-08-23"/>
    <d v="1899-12-30T08:33:39"/>
    <x v="0"/>
  </r>
  <r>
    <s v="8"/>
    <s v="card"/>
    <n v="23.02"/>
    <x v="2"/>
    <x v="0"/>
    <x v="0"/>
    <x v="5"/>
    <s v="5"/>
    <s v="8"/>
    <s v="2024-08-23"/>
    <d v="1899-12-30T08:34:35"/>
    <x v="0"/>
  </r>
  <r>
    <s v="9"/>
    <s v="card"/>
    <n v="27.92"/>
    <x v="3"/>
    <x v="0"/>
    <x v="0"/>
    <x v="5"/>
    <s v="5"/>
    <s v="8"/>
    <s v="2024-08-23"/>
    <d v="1899-12-30T09:14:52"/>
    <x v="0"/>
  </r>
  <r>
    <s v="10"/>
    <s v="card"/>
    <n v="32.82"/>
    <x v="4"/>
    <x v="0"/>
    <x v="0"/>
    <x v="5"/>
    <s v="5"/>
    <s v="8"/>
    <s v="2024-08-23"/>
    <d v="1899-12-30T10:10:59"/>
    <x v="0"/>
  </r>
  <r>
    <s v="10"/>
    <s v="card"/>
    <n v="23.02"/>
    <x v="2"/>
    <x v="0"/>
    <x v="0"/>
    <x v="5"/>
    <s v="5"/>
    <s v="8"/>
    <s v="2024-08-23"/>
    <d v="1899-12-30T10:11:55"/>
    <x v="0"/>
  </r>
  <r>
    <s v="10"/>
    <s v="card"/>
    <n v="23.02"/>
    <x v="5"/>
    <x v="0"/>
    <x v="0"/>
    <x v="5"/>
    <s v="5"/>
    <s v="8"/>
    <s v="2024-08-23"/>
    <d v="1899-12-30T10:39:12"/>
    <x v="0"/>
  </r>
  <r>
    <s v="11"/>
    <s v="card"/>
    <n v="32.82"/>
    <x v="1"/>
    <x v="0"/>
    <x v="0"/>
    <x v="5"/>
    <s v="5"/>
    <s v="8"/>
    <s v="2024-08-23"/>
    <d v="1899-12-30T11:12:59"/>
    <x v="0"/>
  </r>
  <r>
    <s v="13"/>
    <s v="card"/>
    <n v="23.02"/>
    <x v="2"/>
    <x v="1"/>
    <x v="0"/>
    <x v="5"/>
    <s v="5"/>
    <s v="8"/>
    <s v="2024-08-23"/>
    <d v="1899-12-30T13:24:55"/>
    <x v="0"/>
  </r>
  <r>
    <s v="15"/>
    <s v="card"/>
    <n v="23.02"/>
    <x v="2"/>
    <x v="1"/>
    <x v="0"/>
    <x v="5"/>
    <s v="5"/>
    <s v="8"/>
    <s v="2024-08-23"/>
    <d v="1899-12-30T15:28:53"/>
    <x v="0"/>
  </r>
  <r>
    <s v="19"/>
    <s v="card"/>
    <n v="32.82"/>
    <x v="0"/>
    <x v="2"/>
    <x v="0"/>
    <x v="5"/>
    <s v="5"/>
    <s v="8"/>
    <s v="2024-08-23"/>
    <d v="1899-12-30T19:48:03"/>
    <x v="0"/>
  </r>
  <r>
    <s v="8"/>
    <s v="card"/>
    <n v="23.02"/>
    <x v="5"/>
    <x v="0"/>
    <x v="1"/>
    <x v="5"/>
    <s v="6"/>
    <s v="8"/>
    <s v="2024-08-24"/>
    <d v="1899-12-30T08:13:42"/>
    <x v="0"/>
  </r>
  <r>
    <s v="8"/>
    <s v="card"/>
    <n v="23.02"/>
    <x v="5"/>
    <x v="0"/>
    <x v="1"/>
    <x v="5"/>
    <s v="6"/>
    <s v="8"/>
    <s v="2024-08-24"/>
    <d v="1899-12-30T08:14:48"/>
    <x v="0"/>
  </r>
  <r>
    <s v="8"/>
    <s v="card"/>
    <n v="23.02"/>
    <x v="5"/>
    <x v="0"/>
    <x v="1"/>
    <x v="5"/>
    <s v="6"/>
    <s v="8"/>
    <s v="2024-08-24"/>
    <d v="1899-12-30T08:44:12"/>
    <x v="0"/>
  </r>
  <r>
    <s v="10"/>
    <s v="card"/>
    <n v="18.12"/>
    <x v="6"/>
    <x v="0"/>
    <x v="1"/>
    <x v="5"/>
    <s v="6"/>
    <s v="8"/>
    <s v="2024-08-24"/>
    <d v="1899-12-30T10:18:09"/>
    <x v="0"/>
  </r>
  <r>
    <s v="10"/>
    <s v="card"/>
    <n v="18.12"/>
    <x v="6"/>
    <x v="0"/>
    <x v="1"/>
    <x v="5"/>
    <s v="6"/>
    <s v="8"/>
    <s v="2024-08-24"/>
    <d v="1899-12-30T10:18:52"/>
    <x v="0"/>
  </r>
  <r>
    <s v="10"/>
    <s v="card"/>
    <n v="23.02"/>
    <x v="2"/>
    <x v="0"/>
    <x v="1"/>
    <x v="5"/>
    <s v="6"/>
    <s v="8"/>
    <s v="2024-08-24"/>
    <d v="1899-12-30T10:19:49"/>
    <x v="0"/>
  </r>
  <r>
    <s v="8"/>
    <s v="card"/>
    <n v="23.02"/>
    <x v="5"/>
    <x v="0"/>
    <x v="2"/>
    <x v="5"/>
    <s v="7"/>
    <s v="8"/>
    <s v="2024-08-25"/>
    <d v="1899-12-30T08:14:37"/>
    <x v="0"/>
  </r>
  <r>
    <s v="8"/>
    <s v="card"/>
    <n v="23.02"/>
    <x v="2"/>
    <x v="0"/>
    <x v="2"/>
    <x v="5"/>
    <s v="7"/>
    <s v="8"/>
    <s v="2024-08-25"/>
    <d v="1899-12-30T08:26:28"/>
    <x v="0"/>
  </r>
  <r>
    <s v="8"/>
    <s v="card"/>
    <n v="23.02"/>
    <x v="2"/>
    <x v="0"/>
    <x v="2"/>
    <x v="5"/>
    <s v="7"/>
    <s v="8"/>
    <s v="2024-08-25"/>
    <d v="1899-12-30T08:27:36"/>
    <x v="0"/>
  </r>
  <r>
    <s v="9"/>
    <s v="card"/>
    <n v="32.82"/>
    <x v="7"/>
    <x v="0"/>
    <x v="2"/>
    <x v="5"/>
    <s v="7"/>
    <s v="8"/>
    <s v="2024-08-25"/>
    <d v="1899-12-30T09:24:22"/>
    <x v="0"/>
  </r>
  <r>
    <s v="12"/>
    <s v="card"/>
    <n v="32.82"/>
    <x v="7"/>
    <x v="1"/>
    <x v="2"/>
    <x v="5"/>
    <s v="7"/>
    <s v="8"/>
    <s v="2024-08-25"/>
    <d v="1899-12-30T12:41:43"/>
    <x v="0"/>
  </r>
  <r>
    <s v="14"/>
    <s v="card"/>
    <n v="32.82"/>
    <x v="0"/>
    <x v="1"/>
    <x v="2"/>
    <x v="5"/>
    <s v="7"/>
    <s v="8"/>
    <s v="2024-08-25"/>
    <d v="1899-12-30T14:53:03"/>
    <x v="0"/>
  </r>
  <r>
    <s v="8"/>
    <s v="card"/>
    <n v="23.02"/>
    <x v="5"/>
    <x v="0"/>
    <x v="3"/>
    <x v="5"/>
    <s v="1"/>
    <s v="8"/>
    <s v="2024-08-26"/>
    <d v="1899-12-30T08:11:47"/>
    <x v="0"/>
  </r>
  <r>
    <s v="8"/>
    <s v="card"/>
    <n v="23.02"/>
    <x v="2"/>
    <x v="0"/>
    <x v="3"/>
    <x v="5"/>
    <s v="1"/>
    <s v="8"/>
    <s v="2024-08-26"/>
    <d v="1899-12-30T08:16:10"/>
    <x v="0"/>
  </r>
  <r>
    <s v="8"/>
    <s v="card"/>
    <n v="23.02"/>
    <x v="2"/>
    <x v="0"/>
    <x v="3"/>
    <x v="5"/>
    <s v="1"/>
    <s v="8"/>
    <s v="2024-08-26"/>
    <d v="1899-12-30T08:17:23"/>
    <x v="0"/>
  </r>
  <r>
    <s v="9"/>
    <s v="card"/>
    <n v="27.92"/>
    <x v="3"/>
    <x v="0"/>
    <x v="3"/>
    <x v="5"/>
    <s v="1"/>
    <s v="8"/>
    <s v="2024-08-26"/>
    <d v="1899-12-30T09:21:37"/>
    <x v="0"/>
  </r>
  <r>
    <s v="10"/>
    <s v="card"/>
    <n v="32.82"/>
    <x v="0"/>
    <x v="0"/>
    <x v="3"/>
    <x v="5"/>
    <s v="1"/>
    <s v="8"/>
    <s v="2024-08-26"/>
    <d v="1899-12-30T10:37:44"/>
    <x v="0"/>
  </r>
  <r>
    <s v="10"/>
    <s v="card"/>
    <n v="32.82"/>
    <x v="7"/>
    <x v="0"/>
    <x v="3"/>
    <x v="5"/>
    <s v="1"/>
    <s v="8"/>
    <s v="2024-08-26"/>
    <d v="1899-12-30T10:38:49"/>
    <x v="0"/>
  </r>
  <r>
    <s v="12"/>
    <s v="card"/>
    <n v="23.02"/>
    <x v="2"/>
    <x v="1"/>
    <x v="3"/>
    <x v="5"/>
    <s v="1"/>
    <s v="8"/>
    <s v="2024-08-26"/>
    <d v="1899-12-30T12:45:13"/>
    <x v="0"/>
  </r>
  <r>
    <s v="12"/>
    <s v="card"/>
    <n v="23.02"/>
    <x v="2"/>
    <x v="1"/>
    <x v="3"/>
    <x v="5"/>
    <s v="1"/>
    <s v="8"/>
    <s v="2024-08-26"/>
    <d v="1899-12-30T12:46:24"/>
    <x v="0"/>
  </r>
  <r>
    <s v="18"/>
    <s v="card"/>
    <n v="27.92"/>
    <x v="3"/>
    <x v="2"/>
    <x v="3"/>
    <x v="5"/>
    <s v="1"/>
    <s v="8"/>
    <s v="2024-08-26"/>
    <d v="1899-12-30T18:53:28"/>
    <x v="0"/>
  </r>
  <r>
    <s v="18"/>
    <s v="card"/>
    <n v="32.82"/>
    <x v="0"/>
    <x v="2"/>
    <x v="3"/>
    <x v="5"/>
    <s v="1"/>
    <s v="8"/>
    <s v="2024-08-26"/>
    <d v="1899-12-30T18:54:31"/>
    <x v="0"/>
  </r>
  <r>
    <s v="22"/>
    <s v="card"/>
    <n v="27.92"/>
    <x v="3"/>
    <x v="2"/>
    <x v="3"/>
    <x v="5"/>
    <s v="1"/>
    <s v="8"/>
    <s v="2024-08-26"/>
    <d v="1899-12-30T22:55:40"/>
    <x v="0"/>
  </r>
  <r>
    <s v="10"/>
    <s v="card"/>
    <n v="32.82"/>
    <x v="0"/>
    <x v="0"/>
    <x v="4"/>
    <x v="5"/>
    <s v="2"/>
    <s v="8"/>
    <s v="2024-08-27"/>
    <d v="1899-12-30T10:04:05"/>
    <x v="0"/>
  </r>
  <r>
    <s v="12"/>
    <s v="card"/>
    <n v="27.92"/>
    <x v="3"/>
    <x v="1"/>
    <x v="5"/>
    <x v="5"/>
    <s v="3"/>
    <s v="8"/>
    <s v="2024-08-28"/>
    <d v="1899-12-30T12:08:19"/>
    <x v="0"/>
  </r>
  <r>
    <s v="12"/>
    <s v="card"/>
    <n v="32.82"/>
    <x v="7"/>
    <x v="1"/>
    <x v="5"/>
    <x v="5"/>
    <s v="3"/>
    <s v="8"/>
    <s v="2024-08-28"/>
    <d v="1899-12-30T12:10:04"/>
    <x v="0"/>
  </r>
  <r>
    <s v="12"/>
    <s v="card"/>
    <n v="23.02"/>
    <x v="2"/>
    <x v="1"/>
    <x v="5"/>
    <x v="5"/>
    <s v="3"/>
    <s v="8"/>
    <s v="2024-08-28"/>
    <d v="1899-12-30T12:35:07"/>
    <x v="0"/>
  </r>
  <r>
    <s v="13"/>
    <s v="card"/>
    <n v="27.92"/>
    <x v="3"/>
    <x v="1"/>
    <x v="5"/>
    <x v="5"/>
    <s v="3"/>
    <s v="8"/>
    <s v="2024-08-28"/>
    <d v="1899-12-30T13:48:35"/>
    <x v="0"/>
  </r>
  <r>
    <s v="7"/>
    <s v="card"/>
    <n v="23.02"/>
    <x v="2"/>
    <x v="0"/>
    <x v="6"/>
    <x v="5"/>
    <s v="4"/>
    <s v="8"/>
    <s v="2024-08-29"/>
    <d v="1899-12-30T07:29:30"/>
    <x v="0"/>
  </r>
  <r>
    <s v="17"/>
    <s v="card"/>
    <n v="32.82"/>
    <x v="0"/>
    <x v="2"/>
    <x v="0"/>
    <x v="5"/>
    <s v="5"/>
    <s v="8"/>
    <s v="2024-08-30"/>
    <d v="1899-12-30T17:13:30"/>
    <x v="0"/>
  </r>
  <r>
    <s v="17"/>
    <s v="card"/>
    <n v="27.92"/>
    <x v="3"/>
    <x v="2"/>
    <x v="0"/>
    <x v="5"/>
    <s v="5"/>
    <s v="8"/>
    <s v="2024-08-30"/>
    <d v="1899-12-30T17:14:33"/>
    <x v="0"/>
  </r>
  <r>
    <s v="17"/>
    <s v="card"/>
    <n v="27.92"/>
    <x v="3"/>
    <x v="2"/>
    <x v="0"/>
    <x v="5"/>
    <s v="5"/>
    <s v="8"/>
    <s v="2024-08-30"/>
    <d v="1899-12-30T17:15:35"/>
    <x v="0"/>
  </r>
  <r>
    <s v="9"/>
    <s v="card"/>
    <n v="23.02"/>
    <x v="5"/>
    <x v="0"/>
    <x v="1"/>
    <x v="5"/>
    <s v="6"/>
    <s v="8"/>
    <s v="2024-08-31"/>
    <d v="1899-12-30T09:08:32"/>
    <x v="0"/>
  </r>
  <r>
    <s v="10"/>
    <s v="card"/>
    <n v="27.92"/>
    <x v="3"/>
    <x v="0"/>
    <x v="1"/>
    <x v="5"/>
    <s v="6"/>
    <s v="8"/>
    <s v="2024-08-31"/>
    <d v="1899-12-30T10:02:08"/>
    <x v="0"/>
  </r>
  <r>
    <s v="10"/>
    <s v="card"/>
    <n v="18.12"/>
    <x v="6"/>
    <x v="0"/>
    <x v="1"/>
    <x v="5"/>
    <s v="6"/>
    <s v="8"/>
    <s v="2024-08-31"/>
    <d v="1899-12-30T10:22:27"/>
    <x v="0"/>
  </r>
  <r>
    <s v="11"/>
    <s v="card"/>
    <n v="27.92"/>
    <x v="3"/>
    <x v="0"/>
    <x v="1"/>
    <x v="5"/>
    <s v="6"/>
    <s v="8"/>
    <s v="2024-08-31"/>
    <d v="1899-12-30T11:29:55"/>
    <x v="0"/>
  </r>
  <r>
    <s v="11"/>
    <s v="card"/>
    <n v="23.02"/>
    <x v="5"/>
    <x v="0"/>
    <x v="1"/>
    <x v="5"/>
    <s v="6"/>
    <s v="8"/>
    <s v="2024-08-31"/>
    <d v="1899-12-30T11:33:40"/>
    <x v="0"/>
  </r>
  <r>
    <s v="11"/>
    <s v="card"/>
    <n v="23.02"/>
    <x v="5"/>
    <x v="0"/>
    <x v="1"/>
    <x v="5"/>
    <s v="6"/>
    <s v="8"/>
    <s v="2024-08-31"/>
    <d v="1899-12-30T11:34:33"/>
    <x v="0"/>
  </r>
  <r>
    <s v="9"/>
    <s v="card"/>
    <n v="23.02"/>
    <x v="5"/>
    <x v="0"/>
    <x v="2"/>
    <x v="6"/>
    <s v="7"/>
    <s v="9"/>
    <s v="2024-09-01"/>
    <d v="1899-12-30T09:34:15"/>
    <x v="0"/>
  </r>
  <r>
    <s v="12"/>
    <s v="card"/>
    <n v="32.82"/>
    <x v="7"/>
    <x v="1"/>
    <x v="2"/>
    <x v="6"/>
    <s v="7"/>
    <s v="9"/>
    <s v="2024-09-01"/>
    <d v="1899-12-30T12:11:25"/>
    <x v="0"/>
  </r>
  <r>
    <s v="12"/>
    <s v="card"/>
    <n v="27.92"/>
    <x v="3"/>
    <x v="1"/>
    <x v="2"/>
    <x v="6"/>
    <s v="7"/>
    <s v="9"/>
    <s v="2024-09-01"/>
    <d v="1899-12-30T12:30:09"/>
    <x v="0"/>
  </r>
  <r>
    <s v="12"/>
    <s v="card"/>
    <n v="23.02"/>
    <x v="2"/>
    <x v="1"/>
    <x v="2"/>
    <x v="6"/>
    <s v="7"/>
    <s v="9"/>
    <s v="2024-09-01"/>
    <d v="1899-12-30T12:32:22"/>
    <x v="0"/>
  </r>
  <r>
    <s v="12"/>
    <s v="card"/>
    <n v="27.92"/>
    <x v="3"/>
    <x v="1"/>
    <x v="2"/>
    <x v="6"/>
    <s v="7"/>
    <s v="9"/>
    <s v="2024-09-01"/>
    <d v="1899-12-30T12:50:17"/>
    <x v="0"/>
  </r>
  <r>
    <s v="13"/>
    <s v="card"/>
    <n v="32.82"/>
    <x v="0"/>
    <x v="1"/>
    <x v="2"/>
    <x v="6"/>
    <s v="7"/>
    <s v="9"/>
    <s v="2024-09-01"/>
    <d v="1899-12-30T13:57:34"/>
    <x v="0"/>
  </r>
  <r>
    <s v="14"/>
    <s v="card"/>
    <n v="27.92"/>
    <x v="3"/>
    <x v="1"/>
    <x v="2"/>
    <x v="6"/>
    <s v="7"/>
    <s v="9"/>
    <s v="2024-09-01"/>
    <d v="1899-12-30T14:44:04"/>
    <x v="0"/>
  </r>
  <r>
    <s v="17"/>
    <s v="card"/>
    <n v="32.82"/>
    <x v="0"/>
    <x v="2"/>
    <x v="2"/>
    <x v="6"/>
    <s v="7"/>
    <s v="9"/>
    <s v="2024-09-01"/>
    <d v="1899-12-30T17:20:46"/>
    <x v="0"/>
  </r>
  <r>
    <s v="17"/>
    <s v="card"/>
    <n v="32.82"/>
    <x v="0"/>
    <x v="2"/>
    <x v="2"/>
    <x v="6"/>
    <s v="7"/>
    <s v="9"/>
    <s v="2024-09-01"/>
    <d v="1899-12-30T17:23:14"/>
    <x v="0"/>
  </r>
  <r>
    <s v="17"/>
    <s v="card"/>
    <n v="32.82"/>
    <x v="0"/>
    <x v="2"/>
    <x v="2"/>
    <x v="6"/>
    <s v="7"/>
    <s v="9"/>
    <s v="2024-09-01"/>
    <d v="1899-12-30T17:24:50"/>
    <x v="0"/>
  </r>
  <r>
    <s v="8"/>
    <s v="card"/>
    <n v="32.82"/>
    <x v="0"/>
    <x v="0"/>
    <x v="3"/>
    <x v="6"/>
    <s v="1"/>
    <s v="9"/>
    <s v="2024-09-02"/>
    <d v="1899-12-30T08:24:40"/>
    <x v="0"/>
  </r>
  <r>
    <s v="8"/>
    <s v="card"/>
    <n v="27.92"/>
    <x v="3"/>
    <x v="0"/>
    <x v="3"/>
    <x v="6"/>
    <s v="1"/>
    <s v="9"/>
    <s v="2024-09-02"/>
    <d v="1899-12-30T08:50:18"/>
    <x v="0"/>
  </r>
  <r>
    <s v="8"/>
    <s v="card"/>
    <n v="32.82"/>
    <x v="0"/>
    <x v="0"/>
    <x v="3"/>
    <x v="6"/>
    <s v="1"/>
    <s v="9"/>
    <s v="2024-09-02"/>
    <d v="1899-12-30T08:51:33"/>
    <x v="0"/>
  </r>
  <r>
    <s v="14"/>
    <s v="card"/>
    <n v="27.92"/>
    <x v="3"/>
    <x v="1"/>
    <x v="3"/>
    <x v="6"/>
    <s v="1"/>
    <s v="9"/>
    <s v="2024-09-02"/>
    <d v="1899-12-30T14:58:47"/>
    <x v="0"/>
  </r>
  <r>
    <s v="20"/>
    <s v="card"/>
    <n v="32.82"/>
    <x v="7"/>
    <x v="2"/>
    <x v="3"/>
    <x v="6"/>
    <s v="1"/>
    <s v="9"/>
    <s v="2024-09-02"/>
    <d v="1899-12-30T20:09:44"/>
    <x v="0"/>
  </r>
  <r>
    <s v="20"/>
    <s v="card"/>
    <n v="32.82"/>
    <x v="4"/>
    <x v="2"/>
    <x v="3"/>
    <x v="6"/>
    <s v="1"/>
    <s v="9"/>
    <s v="2024-09-02"/>
    <d v="1899-12-30T20:11:18"/>
    <x v="0"/>
  </r>
  <r>
    <s v="20"/>
    <s v="card"/>
    <n v="23.02"/>
    <x v="2"/>
    <x v="2"/>
    <x v="3"/>
    <x v="6"/>
    <s v="1"/>
    <s v="9"/>
    <s v="2024-09-02"/>
    <d v="1899-12-30T20:52:32"/>
    <x v="0"/>
  </r>
  <r>
    <s v="20"/>
    <s v="card"/>
    <n v="23.02"/>
    <x v="2"/>
    <x v="2"/>
    <x v="3"/>
    <x v="6"/>
    <s v="1"/>
    <s v="9"/>
    <s v="2024-09-02"/>
    <d v="1899-12-30T20:53:29"/>
    <x v="0"/>
  </r>
  <r>
    <s v="8"/>
    <s v="card"/>
    <n v="32.82"/>
    <x v="4"/>
    <x v="0"/>
    <x v="4"/>
    <x v="6"/>
    <s v="2"/>
    <s v="9"/>
    <s v="2024-09-03"/>
    <d v="1899-12-30T08:22:15"/>
    <x v="0"/>
  </r>
  <r>
    <s v="8"/>
    <s v="card"/>
    <n v="32.82"/>
    <x v="7"/>
    <x v="0"/>
    <x v="4"/>
    <x v="6"/>
    <s v="2"/>
    <s v="9"/>
    <s v="2024-09-03"/>
    <d v="1899-12-30T08:28:12"/>
    <x v="0"/>
  </r>
  <r>
    <s v="8"/>
    <s v="card"/>
    <n v="32.82"/>
    <x v="0"/>
    <x v="0"/>
    <x v="4"/>
    <x v="6"/>
    <s v="2"/>
    <s v="9"/>
    <s v="2024-09-03"/>
    <d v="1899-12-30T08:41:12"/>
    <x v="0"/>
  </r>
  <r>
    <s v="9"/>
    <s v="card"/>
    <n v="27.92"/>
    <x v="3"/>
    <x v="0"/>
    <x v="4"/>
    <x v="6"/>
    <s v="2"/>
    <s v="9"/>
    <s v="2024-09-03"/>
    <d v="1899-12-30T09:03:12"/>
    <x v="0"/>
  </r>
  <r>
    <s v="9"/>
    <s v="card"/>
    <n v="32.82"/>
    <x v="7"/>
    <x v="0"/>
    <x v="4"/>
    <x v="6"/>
    <s v="2"/>
    <s v="9"/>
    <s v="2024-09-03"/>
    <d v="1899-12-30T09:04:12"/>
    <x v="0"/>
  </r>
  <r>
    <s v="9"/>
    <s v="card"/>
    <n v="32.82"/>
    <x v="4"/>
    <x v="0"/>
    <x v="4"/>
    <x v="6"/>
    <s v="2"/>
    <s v="9"/>
    <s v="2024-09-03"/>
    <d v="1899-12-30T09:12:48"/>
    <x v="0"/>
  </r>
  <r>
    <s v="9"/>
    <s v="card"/>
    <n v="32.82"/>
    <x v="4"/>
    <x v="0"/>
    <x v="4"/>
    <x v="6"/>
    <s v="2"/>
    <s v="9"/>
    <s v="2024-09-03"/>
    <d v="1899-12-30T09:13:34"/>
    <x v="0"/>
  </r>
  <r>
    <s v="9"/>
    <s v="card"/>
    <n v="27.92"/>
    <x v="3"/>
    <x v="0"/>
    <x v="4"/>
    <x v="6"/>
    <s v="2"/>
    <s v="9"/>
    <s v="2024-09-03"/>
    <d v="1899-12-30T09:17:02"/>
    <x v="0"/>
  </r>
  <r>
    <s v="9"/>
    <s v="card"/>
    <n v="27.92"/>
    <x v="3"/>
    <x v="0"/>
    <x v="4"/>
    <x v="6"/>
    <s v="2"/>
    <s v="9"/>
    <s v="2024-09-03"/>
    <d v="1899-12-30T09:20:17"/>
    <x v="0"/>
  </r>
  <r>
    <s v="9"/>
    <s v="card"/>
    <n v="32.82"/>
    <x v="0"/>
    <x v="0"/>
    <x v="4"/>
    <x v="6"/>
    <s v="2"/>
    <s v="9"/>
    <s v="2024-09-03"/>
    <d v="1899-12-30T09:37:52"/>
    <x v="0"/>
  </r>
  <r>
    <s v="9"/>
    <s v="card"/>
    <n v="32.82"/>
    <x v="4"/>
    <x v="0"/>
    <x v="4"/>
    <x v="6"/>
    <s v="2"/>
    <s v="9"/>
    <s v="2024-09-03"/>
    <d v="1899-12-30T09:38:56"/>
    <x v="0"/>
  </r>
  <r>
    <s v="12"/>
    <s v="card"/>
    <n v="23.02"/>
    <x v="5"/>
    <x v="1"/>
    <x v="4"/>
    <x v="6"/>
    <s v="2"/>
    <s v="9"/>
    <s v="2024-09-03"/>
    <d v="1899-12-30T12:56:53"/>
    <x v="0"/>
  </r>
  <r>
    <s v="14"/>
    <s v="card"/>
    <n v="27.92"/>
    <x v="3"/>
    <x v="1"/>
    <x v="4"/>
    <x v="6"/>
    <s v="2"/>
    <s v="9"/>
    <s v="2024-09-03"/>
    <d v="1899-12-30T14:14:52"/>
    <x v="0"/>
  </r>
  <r>
    <s v="14"/>
    <s v="card"/>
    <n v="27.92"/>
    <x v="3"/>
    <x v="1"/>
    <x v="4"/>
    <x v="6"/>
    <s v="2"/>
    <s v="9"/>
    <s v="2024-09-03"/>
    <d v="1899-12-30T14:16:17"/>
    <x v="0"/>
  </r>
  <r>
    <s v="18"/>
    <s v="card"/>
    <n v="27.92"/>
    <x v="3"/>
    <x v="2"/>
    <x v="4"/>
    <x v="6"/>
    <s v="2"/>
    <s v="9"/>
    <s v="2024-09-03"/>
    <d v="1899-12-30T18:48:35"/>
    <x v="0"/>
  </r>
  <r>
    <s v="19"/>
    <s v="card"/>
    <n v="32.82"/>
    <x v="0"/>
    <x v="2"/>
    <x v="4"/>
    <x v="6"/>
    <s v="2"/>
    <s v="9"/>
    <s v="2024-09-03"/>
    <d v="1899-12-30T19:11:12"/>
    <x v="0"/>
  </r>
  <r>
    <s v="19"/>
    <s v="card"/>
    <n v="27.92"/>
    <x v="3"/>
    <x v="2"/>
    <x v="4"/>
    <x v="6"/>
    <s v="2"/>
    <s v="9"/>
    <s v="2024-09-03"/>
    <d v="1899-12-30T19:17:14"/>
    <x v="0"/>
  </r>
  <r>
    <s v="11"/>
    <s v="card"/>
    <n v="27.92"/>
    <x v="3"/>
    <x v="0"/>
    <x v="5"/>
    <x v="6"/>
    <s v="3"/>
    <s v="9"/>
    <s v="2024-09-04"/>
    <d v="1899-12-30T11:11:22"/>
    <x v="0"/>
  </r>
  <r>
    <s v="11"/>
    <s v="card"/>
    <n v="32.82"/>
    <x v="0"/>
    <x v="0"/>
    <x v="5"/>
    <x v="6"/>
    <s v="3"/>
    <s v="9"/>
    <s v="2024-09-04"/>
    <d v="1899-12-30T11:33:37"/>
    <x v="0"/>
  </r>
  <r>
    <s v="11"/>
    <s v="card"/>
    <n v="23.02"/>
    <x v="2"/>
    <x v="0"/>
    <x v="5"/>
    <x v="6"/>
    <s v="3"/>
    <s v="9"/>
    <s v="2024-09-04"/>
    <d v="1899-12-30T11:48:04"/>
    <x v="0"/>
  </r>
  <r>
    <s v="11"/>
    <s v="card"/>
    <n v="27.92"/>
    <x v="3"/>
    <x v="0"/>
    <x v="5"/>
    <x v="6"/>
    <s v="3"/>
    <s v="9"/>
    <s v="2024-09-04"/>
    <d v="1899-12-30T11:55:34"/>
    <x v="0"/>
  </r>
  <r>
    <s v="12"/>
    <s v="card"/>
    <n v="32.82"/>
    <x v="0"/>
    <x v="1"/>
    <x v="5"/>
    <x v="6"/>
    <s v="3"/>
    <s v="9"/>
    <s v="2024-09-04"/>
    <d v="1899-12-30T12:53:31"/>
    <x v="0"/>
  </r>
  <r>
    <s v="13"/>
    <s v="card"/>
    <n v="32.82"/>
    <x v="0"/>
    <x v="1"/>
    <x v="5"/>
    <x v="6"/>
    <s v="3"/>
    <s v="9"/>
    <s v="2024-09-04"/>
    <d v="1899-12-30T13:03:51"/>
    <x v="0"/>
  </r>
  <r>
    <s v="13"/>
    <s v="card"/>
    <n v="27.92"/>
    <x v="3"/>
    <x v="1"/>
    <x v="5"/>
    <x v="6"/>
    <s v="3"/>
    <s v="9"/>
    <s v="2024-09-04"/>
    <d v="1899-12-30T13:05:16"/>
    <x v="0"/>
  </r>
  <r>
    <s v="18"/>
    <s v="card"/>
    <n v="32.82"/>
    <x v="7"/>
    <x v="2"/>
    <x v="5"/>
    <x v="6"/>
    <s v="3"/>
    <s v="9"/>
    <s v="2024-09-04"/>
    <d v="1899-12-30T18:03:47"/>
    <x v="0"/>
  </r>
  <r>
    <s v="19"/>
    <s v="card"/>
    <n v="27.92"/>
    <x v="3"/>
    <x v="2"/>
    <x v="5"/>
    <x v="6"/>
    <s v="3"/>
    <s v="9"/>
    <s v="2024-09-04"/>
    <d v="1899-12-30T19:41:42"/>
    <x v="0"/>
  </r>
  <r>
    <s v="21"/>
    <s v="card"/>
    <n v="32.82"/>
    <x v="0"/>
    <x v="2"/>
    <x v="5"/>
    <x v="6"/>
    <s v="3"/>
    <s v="9"/>
    <s v="2024-09-04"/>
    <d v="1899-12-30T21:19:36"/>
    <x v="0"/>
  </r>
  <r>
    <s v="9"/>
    <s v="card"/>
    <n v="27.92"/>
    <x v="3"/>
    <x v="0"/>
    <x v="6"/>
    <x v="6"/>
    <s v="4"/>
    <s v="9"/>
    <s v="2024-09-05"/>
    <d v="1899-12-30T09:31:17"/>
    <x v="0"/>
  </r>
  <r>
    <s v="10"/>
    <s v="card"/>
    <n v="27.92"/>
    <x v="3"/>
    <x v="0"/>
    <x v="6"/>
    <x v="6"/>
    <s v="4"/>
    <s v="9"/>
    <s v="2024-09-05"/>
    <d v="1899-12-30T10:28:56"/>
    <x v="0"/>
  </r>
  <r>
    <s v="11"/>
    <s v="card"/>
    <n v="23.02"/>
    <x v="2"/>
    <x v="0"/>
    <x v="6"/>
    <x v="6"/>
    <s v="4"/>
    <s v="9"/>
    <s v="2024-09-05"/>
    <d v="1899-12-30T11:06:31"/>
    <x v="0"/>
  </r>
  <r>
    <s v="14"/>
    <s v="card"/>
    <n v="32.82"/>
    <x v="0"/>
    <x v="1"/>
    <x v="6"/>
    <x v="6"/>
    <s v="4"/>
    <s v="9"/>
    <s v="2024-09-05"/>
    <d v="1899-12-30T14:00:28"/>
    <x v="0"/>
  </r>
  <r>
    <s v="15"/>
    <s v="card"/>
    <n v="32.82"/>
    <x v="0"/>
    <x v="1"/>
    <x v="6"/>
    <x v="6"/>
    <s v="4"/>
    <s v="9"/>
    <s v="2024-09-05"/>
    <d v="1899-12-30T15:25:12"/>
    <x v="0"/>
  </r>
  <r>
    <s v="16"/>
    <s v="card"/>
    <n v="23.02"/>
    <x v="2"/>
    <x v="1"/>
    <x v="6"/>
    <x v="6"/>
    <s v="4"/>
    <s v="9"/>
    <s v="2024-09-05"/>
    <d v="1899-12-30T16:38:50"/>
    <x v="0"/>
  </r>
  <r>
    <s v="16"/>
    <s v="card"/>
    <n v="27.92"/>
    <x v="3"/>
    <x v="1"/>
    <x v="6"/>
    <x v="6"/>
    <s v="4"/>
    <s v="9"/>
    <s v="2024-09-05"/>
    <d v="1899-12-30T16:40:00"/>
    <x v="0"/>
  </r>
  <r>
    <s v="17"/>
    <s v="card"/>
    <n v="32.82"/>
    <x v="7"/>
    <x v="2"/>
    <x v="6"/>
    <x v="6"/>
    <s v="4"/>
    <s v="9"/>
    <s v="2024-09-05"/>
    <d v="1899-12-30T17:04:29"/>
    <x v="0"/>
  </r>
  <r>
    <s v="17"/>
    <s v="card"/>
    <n v="32.82"/>
    <x v="7"/>
    <x v="2"/>
    <x v="6"/>
    <x v="6"/>
    <s v="4"/>
    <s v="9"/>
    <s v="2024-09-05"/>
    <d v="1899-12-30T17:05:32"/>
    <x v="0"/>
  </r>
  <r>
    <s v="20"/>
    <s v="card"/>
    <n v="32.82"/>
    <x v="7"/>
    <x v="2"/>
    <x v="6"/>
    <x v="6"/>
    <s v="4"/>
    <s v="9"/>
    <s v="2024-09-05"/>
    <d v="1899-12-30T20:30:15"/>
    <x v="0"/>
  </r>
  <r>
    <s v="20"/>
    <s v="card"/>
    <n v="23.02"/>
    <x v="2"/>
    <x v="2"/>
    <x v="6"/>
    <x v="6"/>
    <s v="4"/>
    <s v="9"/>
    <s v="2024-09-05"/>
    <d v="1899-12-30T20:54:24"/>
    <x v="0"/>
  </r>
  <r>
    <s v="20"/>
    <s v="card"/>
    <n v="32.82"/>
    <x v="7"/>
    <x v="2"/>
    <x v="6"/>
    <x v="6"/>
    <s v="4"/>
    <s v="9"/>
    <s v="2024-09-05"/>
    <d v="1899-12-30T20:55:31"/>
    <x v="0"/>
  </r>
  <r>
    <s v="21"/>
    <s v="card"/>
    <n v="27.92"/>
    <x v="3"/>
    <x v="2"/>
    <x v="6"/>
    <x v="6"/>
    <s v="4"/>
    <s v="9"/>
    <s v="2024-09-05"/>
    <d v="1899-12-30T21:26:29"/>
    <x v="0"/>
  </r>
  <r>
    <s v="21"/>
    <s v="card"/>
    <n v="27.92"/>
    <x v="3"/>
    <x v="2"/>
    <x v="6"/>
    <x v="6"/>
    <s v="4"/>
    <s v="9"/>
    <s v="2024-09-05"/>
    <d v="1899-12-30T21:27:30"/>
    <x v="0"/>
  </r>
  <r>
    <s v="8"/>
    <s v="card"/>
    <n v="32.82"/>
    <x v="7"/>
    <x v="0"/>
    <x v="0"/>
    <x v="6"/>
    <s v="5"/>
    <s v="9"/>
    <s v="2024-09-06"/>
    <d v="1899-12-30T08:25:34"/>
    <x v="0"/>
  </r>
  <r>
    <s v="8"/>
    <s v="card"/>
    <n v="32.82"/>
    <x v="0"/>
    <x v="0"/>
    <x v="0"/>
    <x v="6"/>
    <s v="5"/>
    <s v="9"/>
    <s v="2024-09-06"/>
    <d v="1899-12-30T08:34:47"/>
    <x v="0"/>
  </r>
  <r>
    <s v="8"/>
    <s v="card"/>
    <n v="23.02"/>
    <x v="2"/>
    <x v="0"/>
    <x v="0"/>
    <x v="6"/>
    <s v="5"/>
    <s v="9"/>
    <s v="2024-09-06"/>
    <d v="1899-12-30T08:54:42"/>
    <x v="0"/>
  </r>
  <r>
    <s v="9"/>
    <s v="card"/>
    <n v="18.12"/>
    <x v="6"/>
    <x v="0"/>
    <x v="0"/>
    <x v="6"/>
    <s v="5"/>
    <s v="9"/>
    <s v="2024-09-06"/>
    <d v="1899-12-30T09:50:40"/>
    <x v="0"/>
  </r>
  <r>
    <s v="9"/>
    <s v="card"/>
    <n v="32.82"/>
    <x v="0"/>
    <x v="0"/>
    <x v="0"/>
    <x v="6"/>
    <s v="5"/>
    <s v="9"/>
    <s v="2024-09-06"/>
    <d v="1899-12-30T09:51:52"/>
    <x v="0"/>
  </r>
  <r>
    <s v="10"/>
    <s v="card"/>
    <n v="32.82"/>
    <x v="1"/>
    <x v="0"/>
    <x v="0"/>
    <x v="6"/>
    <s v="5"/>
    <s v="9"/>
    <s v="2024-09-06"/>
    <d v="1899-12-30T10:30:06"/>
    <x v="0"/>
  </r>
  <r>
    <s v="11"/>
    <s v="card"/>
    <n v="18.12"/>
    <x v="6"/>
    <x v="0"/>
    <x v="0"/>
    <x v="6"/>
    <s v="5"/>
    <s v="9"/>
    <s v="2024-09-06"/>
    <d v="1899-12-30T11:23:25"/>
    <x v="0"/>
  </r>
  <r>
    <s v="11"/>
    <s v="card"/>
    <n v="18.12"/>
    <x v="6"/>
    <x v="0"/>
    <x v="0"/>
    <x v="6"/>
    <s v="5"/>
    <s v="9"/>
    <s v="2024-09-06"/>
    <d v="1899-12-30T11:24:29"/>
    <x v="0"/>
  </r>
  <r>
    <s v="20"/>
    <s v="card"/>
    <n v="32.82"/>
    <x v="0"/>
    <x v="2"/>
    <x v="0"/>
    <x v="6"/>
    <s v="5"/>
    <s v="9"/>
    <s v="2024-09-06"/>
    <d v="1899-12-30T20:00:12"/>
    <x v="0"/>
  </r>
  <r>
    <s v="21"/>
    <s v="card"/>
    <n v="32.82"/>
    <x v="0"/>
    <x v="2"/>
    <x v="0"/>
    <x v="6"/>
    <s v="5"/>
    <s v="9"/>
    <s v="2024-09-06"/>
    <d v="1899-12-30T21:09:31"/>
    <x v="0"/>
  </r>
  <r>
    <s v="8"/>
    <s v="card"/>
    <n v="32.82"/>
    <x v="0"/>
    <x v="0"/>
    <x v="1"/>
    <x v="6"/>
    <s v="6"/>
    <s v="9"/>
    <s v="2024-09-07"/>
    <d v="1899-12-30T08:48:57"/>
    <x v="0"/>
  </r>
  <r>
    <s v="9"/>
    <s v="card"/>
    <n v="23.02"/>
    <x v="5"/>
    <x v="0"/>
    <x v="1"/>
    <x v="6"/>
    <s v="6"/>
    <s v="9"/>
    <s v="2024-09-07"/>
    <d v="1899-12-30T09:52:03"/>
    <x v="0"/>
  </r>
  <r>
    <s v="9"/>
    <s v="card"/>
    <n v="23.02"/>
    <x v="5"/>
    <x v="0"/>
    <x v="1"/>
    <x v="6"/>
    <s v="6"/>
    <s v="9"/>
    <s v="2024-09-07"/>
    <d v="1899-12-30T09:53:04"/>
    <x v="0"/>
  </r>
  <r>
    <s v="9"/>
    <s v="card"/>
    <n v="23.02"/>
    <x v="5"/>
    <x v="0"/>
    <x v="1"/>
    <x v="6"/>
    <s v="6"/>
    <s v="9"/>
    <s v="2024-09-07"/>
    <d v="1899-12-30T09:54:42"/>
    <x v="0"/>
  </r>
  <r>
    <s v="9"/>
    <s v="card"/>
    <n v="27.92"/>
    <x v="3"/>
    <x v="0"/>
    <x v="1"/>
    <x v="6"/>
    <s v="6"/>
    <s v="9"/>
    <s v="2024-09-07"/>
    <d v="1899-12-30T09:57:48"/>
    <x v="0"/>
  </r>
  <r>
    <s v="9"/>
    <s v="card"/>
    <n v="27.92"/>
    <x v="3"/>
    <x v="0"/>
    <x v="1"/>
    <x v="6"/>
    <s v="6"/>
    <s v="9"/>
    <s v="2024-09-07"/>
    <d v="1899-12-30T09:59:02"/>
    <x v="0"/>
  </r>
  <r>
    <s v="10"/>
    <s v="card"/>
    <n v="23.02"/>
    <x v="5"/>
    <x v="0"/>
    <x v="1"/>
    <x v="6"/>
    <s v="6"/>
    <s v="9"/>
    <s v="2024-09-07"/>
    <d v="1899-12-30T10:00:20"/>
    <x v="0"/>
  </r>
  <r>
    <s v="10"/>
    <s v="card"/>
    <n v="23.02"/>
    <x v="2"/>
    <x v="0"/>
    <x v="1"/>
    <x v="6"/>
    <s v="6"/>
    <s v="9"/>
    <s v="2024-09-07"/>
    <d v="1899-12-30T10:22:45"/>
    <x v="0"/>
  </r>
  <r>
    <s v="10"/>
    <s v="card"/>
    <n v="18.12"/>
    <x v="6"/>
    <x v="0"/>
    <x v="1"/>
    <x v="6"/>
    <s v="6"/>
    <s v="9"/>
    <s v="2024-09-07"/>
    <d v="1899-12-30T10:37:52"/>
    <x v="0"/>
  </r>
  <r>
    <s v="10"/>
    <s v="card"/>
    <n v="18.12"/>
    <x v="6"/>
    <x v="0"/>
    <x v="1"/>
    <x v="6"/>
    <s v="6"/>
    <s v="9"/>
    <s v="2024-09-07"/>
    <d v="1899-12-30T10:40:13"/>
    <x v="0"/>
  </r>
  <r>
    <s v="10"/>
    <s v="card"/>
    <n v="32.82"/>
    <x v="0"/>
    <x v="0"/>
    <x v="1"/>
    <x v="6"/>
    <s v="6"/>
    <s v="9"/>
    <s v="2024-09-07"/>
    <d v="1899-12-30T10:53:32"/>
    <x v="0"/>
  </r>
  <r>
    <s v="11"/>
    <s v="card"/>
    <n v="27.92"/>
    <x v="3"/>
    <x v="0"/>
    <x v="1"/>
    <x v="6"/>
    <s v="6"/>
    <s v="9"/>
    <s v="2024-09-07"/>
    <d v="1899-12-30T11:18:57"/>
    <x v="0"/>
  </r>
  <r>
    <s v="11"/>
    <s v="card"/>
    <n v="23.02"/>
    <x v="2"/>
    <x v="0"/>
    <x v="1"/>
    <x v="6"/>
    <s v="6"/>
    <s v="9"/>
    <s v="2024-09-07"/>
    <d v="1899-12-30T11:20:00"/>
    <x v="0"/>
  </r>
  <r>
    <s v="11"/>
    <s v="card"/>
    <n v="18.12"/>
    <x v="6"/>
    <x v="0"/>
    <x v="1"/>
    <x v="6"/>
    <s v="6"/>
    <s v="9"/>
    <s v="2024-09-07"/>
    <d v="1899-12-30T11:20:57"/>
    <x v="0"/>
  </r>
  <r>
    <s v="15"/>
    <s v="card"/>
    <n v="32.82"/>
    <x v="0"/>
    <x v="1"/>
    <x v="1"/>
    <x v="6"/>
    <s v="6"/>
    <s v="9"/>
    <s v="2024-09-07"/>
    <d v="1899-12-30T15:55:09"/>
    <x v="0"/>
  </r>
  <r>
    <s v="16"/>
    <s v="card"/>
    <n v="23.02"/>
    <x v="2"/>
    <x v="1"/>
    <x v="1"/>
    <x v="6"/>
    <s v="6"/>
    <s v="9"/>
    <s v="2024-09-07"/>
    <d v="1899-12-30T16:20:01"/>
    <x v="0"/>
  </r>
  <r>
    <s v="16"/>
    <s v="card"/>
    <n v="18.12"/>
    <x v="6"/>
    <x v="1"/>
    <x v="1"/>
    <x v="6"/>
    <s v="6"/>
    <s v="9"/>
    <s v="2024-09-07"/>
    <d v="1899-12-30T16:20:59"/>
    <x v="0"/>
  </r>
  <r>
    <s v="19"/>
    <s v="card"/>
    <n v="32.82"/>
    <x v="4"/>
    <x v="2"/>
    <x v="1"/>
    <x v="6"/>
    <s v="6"/>
    <s v="9"/>
    <s v="2024-09-07"/>
    <d v="1899-12-30T19:35:05"/>
    <x v="0"/>
  </r>
  <r>
    <s v="19"/>
    <s v="card"/>
    <n v="32.82"/>
    <x v="0"/>
    <x v="2"/>
    <x v="1"/>
    <x v="6"/>
    <s v="6"/>
    <s v="9"/>
    <s v="2024-09-07"/>
    <d v="1899-12-30T19:36:05"/>
    <x v="0"/>
  </r>
  <r>
    <s v="19"/>
    <s v="card"/>
    <n v="32.82"/>
    <x v="0"/>
    <x v="2"/>
    <x v="1"/>
    <x v="6"/>
    <s v="6"/>
    <s v="9"/>
    <s v="2024-09-07"/>
    <d v="1899-12-30T19:37:16"/>
    <x v="0"/>
  </r>
  <r>
    <s v="20"/>
    <s v="card"/>
    <n v="32.82"/>
    <x v="0"/>
    <x v="2"/>
    <x v="1"/>
    <x v="6"/>
    <s v="6"/>
    <s v="9"/>
    <s v="2024-09-07"/>
    <d v="1899-12-30T20:13:52"/>
    <x v="0"/>
  </r>
  <r>
    <s v="20"/>
    <s v="card"/>
    <n v="32.82"/>
    <x v="0"/>
    <x v="2"/>
    <x v="1"/>
    <x v="6"/>
    <s v="6"/>
    <s v="9"/>
    <s v="2024-09-07"/>
    <d v="1899-12-30T20:14:59"/>
    <x v="0"/>
  </r>
  <r>
    <s v="8"/>
    <s v="card"/>
    <n v="23.02"/>
    <x v="5"/>
    <x v="0"/>
    <x v="2"/>
    <x v="6"/>
    <s v="7"/>
    <s v="9"/>
    <s v="2024-09-08"/>
    <d v="1899-12-30T08:15:41"/>
    <x v="0"/>
  </r>
  <r>
    <s v="9"/>
    <s v="card"/>
    <n v="23.02"/>
    <x v="5"/>
    <x v="0"/>
    <x v="2"/>
    <x v="6"/>
    <s v="7"/>
    <s v="9"/>
    <s v="2024-09-08"/>
    <d v="1899-12-30T09:18:17"/>
    <x v="0"/>
  </r>
  <r>
    <s v="9"/>
    <s v="card"/>
    <n v="23.02"/>
    <x v="5"/>
    <x v="0"/>
    <x v="2"/>
    <x v="6"/>
    <s v="7"/>
    <s v="9"/>
    <s v="2024-09-08"/>
    <d v="1899-12-30T09:19:12"/>
    <x v="0"/>
  </r>
  <r>
    <s v="10"/>
    <s v="card"/>
    <n v="23.02"/>
    <x v="5"/>
    <x v="0"/>
    <x v="2"/>
    <x v="6"/>
    <s v="7"/>
    <s v="9"/>
    <s v="2024-09-08"/>
    <d v="1899-12-30T10:05:56"/>
    <x v="0"/>
  </r>
  <r>
    <s v="12"/>
    <s v="card"/>
    <n v="23.02"/>
    <x v="5"/>
    <x v="1"/>
    <x v="2"/>
    <x v="6"/>
    <s v="7"/>
    <s v="9"/>
    <s v="2024-09-08"/>
    <d v="1899-12-30T12:43:28"/>
    <x v="0"/>
  </r>
  <r>
    <s v="20"/>
    <s v="card"/>
    <n v="23.02"/>
    <x v="2"/>
    <x v="2"/>
    <x v="2"/>
    <x v="6"/>
    <s v="7"/>
    <s v="9"/>
    <s v="2024-09-08"/>
    <d v="1899-12-30T20:13:33"/>
    <x v="0"/>
  </r>
  <r>
    <s v="7"/>
    <s v="card"/>
    <n v="32.82"/>
    <x v="0"/>
    <x v="0"/>
    <x v="3"/>
    <x v="6"/>
    <s v="1"/>
    <s v="9"/>
    <s v="2024-09-09"/>
    <d v="1899-12-30T07:51:14"/>
    <x v="0"/>
  </r>
  <r>
    <s v="7"/>
    <s v="card"/>
    <n v="32.82"/>
    <x v="7"/>
    <x v="0"/>
    <x v="3"/>
    <x v="6"/>
    <s v="1"/>
    <s v="9"/>
    <s v="2024-09-09"/>
    <d v="1899-12-30T07:53:52"/>
    <x v="0"/>
  </r>
  <r>
    <s v="7"/>
    <s v="card"/>
    <n v="27.92"/>
    <x v="3"/>
    <x v="0"/>
    <x v="3"/>
    <x v="6"/>
    <s v="1"/>
    <s v="9"/>
    <s v="2024-09-09"/>
    <d v="1899-12-30T07:55:22"/>
    <x v="0"/>
  </r>
  <r>
    <s v="7"/>
    <s v="card"/>
    <n v="32.82"/>
    <x v="0"/>
    <x v="0"/>
    <x v="3"/>
    <x v="6"/>
    <s v="1"/>
    <s v="9"/>
    <s v="2024-09-09"/>
    <d v="1899-12-30T07:56:38"/>
    <x v="0"/>
  </r>
  <r>
    <s v="9"/>
    <s v="card"/>
    <n v="32.82"/>
    <x v="0"/>
    <x v="0"/>
    <x v="3"/>
    <x v="6"/>
    <s v="1"/>
    <s v="9"/>
    <s v="2024-09-09"/>
    <d v="1899-12-30T09:49:51"/>
    <x v="0"/>
  </r>
  <r>
    <s v="9"/>
    <s v="card"/>
    <n v="32.82"/>
    <x v="1"/>
    <x v="0"/>
    <x v="3"/>
    <x v="6"/>
    <s v="1"/>
    <s v="9"/>
    <s v="2024-09-09"/>
    <d v="1899-12-30T09:50:52"/>
    <x v="0"/>
  </r>
  <r>
    <s v="9"/>
    <s v="card"/>
    <n v="32.82"/>
    <x v="0"/>
    <x v="0"/>
    <x v="3"/>
    <x v="6"/>
    <s v="1"/>
    <s v="9"/>
    <s v="2024-09-09"/>
    <d v="1899-12-30T09:59:11"/>
    <x v="0"/>
  </r>
  <r>
    <s v="11"/>
    <s v="card"/>
    <n v="27.92"/>
    <x v="3"/>
    <x v="0"/>
    <x v="3"/>
    <x v="6"/>
    <s v="1"/>
    <s v="9"/>
    <s v="2024-09-09"/>
    <d v="1899-12-30T11:11:36"/>
    <x v="0"/>
  </r>
  <r>
    <s v="11"/>
    <s v="card"/>
    <n v="27.92"/>
    <x v="3"/>
    <x v="0"/>
    <x v="3"/>
    <x v="6"/>
    <s v="1"/>
    <s v="9"/>
    <s v="2024-09-09"/>
    <d v="1899-12-30T11:12:51"/>
    <x v="0"/>
  </r>
  <r>
    <s v="11"/>
    <s v="card"/>
    <n v="32.82"/>
    <x v="0"/>
    <x v="0"/>
    <x v="3"/>
    <x v="6"/>
    <s v="1"/>
    <s v="9"/>
    <s v="2024-09-09"/>
    <d v="1899-12-30T11:29:49"/>
    <x v="0"/>
  </r>
  <r>
    <s v="12"/>
    <s v="card"/>
    <n v="18.12"/>
    <x v="6"/>
    <x v="1"/>
    <x v="3"/>
    <x v="6"/>
    <s v="1"/>
    <s v="9"/>
    <s v="2024-09-09"/>
    <d v="1899-12-30T12:07:00"/>
    <x v="0"/>
  </r>
  <r>
    <s v="15"/>
    <s v="card"/>
    <n v="32.82"/>
    <x v="0"/>
    <x v="1"/>
    <x v="3"/>
    <x v="6"/>
    <s v="1"/>
    <s v="9"/>
    <s v="2024-09-09"/>
    <d v="1899-12-30T15:12:14"/>
    <x v="0"/>
  </r>
  <r>
    <s v="15"/>
    <s v="card"/>
    <n v="23.02"/>
    <x v="2"/>
    <x v="1"/>
    <x v="3"/>
    <x v="6"/>
    <s v="1"/>
    <s v="9"/>
    <s v="2024-09-09"/>
    <d v="1899-12-30T15:13:25"/>
    <x v="0"/>
  </r>
  <r>
    <s v="17"/>
    <s v="card"/>
    <n v="32.82"/>
    <x v="0"/>
    <x v="2"/>
    <x v="3"/>
    <x v="6"/>
    <s v="1"/>
    <s v="9"/>
    <s v="2024-09-09"/>
    <d v="1899-12-30T17:24:10"/>
    <x v="0"/>
  </r>
  <r>
    <s v="18"/>
    <s v="card"/>
    <n v="32.82"/>
    <x v="0"/>
    <x v="2"/>
    <x v="3"/>
    <x v="6"/>
    <s v="1"/>
    <s v="9"/>
    <s v="2024-09-09"/>
    <d v="1899-12-30T18:13:46"/>
    <x v="0"/>
  </r>
  <r>
    <s v="20"/>
    <s v="card"/>
    <n v="32.82"/>
    <x v="7"/>
    <x v="2"/>
    <x v="3"/>
    <x v="6"/>
    <s v="1"/>
    <s v="9"/>
    <s v="2024-09-09"/>
    <d v="1899-12-30T20:07:36"/>
    <x v="0"/>
  </r>
  <r>
    <s v="20"/>
    <s v="card"/>
    <n v="32.82"/>
    <x v="0"/>
    <x v="2"/>
    <x v="3"/>
    <x v="6"/>
    <s v="1"/>
    <s v="9"/>
    <s v="2024-09-09"/>
    <d v="1899-12-30T20:13:44"/>
    <x v="0"/>
  </r>
  <r>
    <s v="8"/>
    <s v="card"/>
    <n v="32.82"/>
    <x v="1"/>
    <x v="0"/>
    <x v="4"/>
    <x v="6"/>
    <s v="2"/>
    <s v="9"/>
    <s v="2024-09-10"/>
    <d v="1899-12-30T08:12:02"/>
    <x v="0"/>
  </r>
  <r>
    <s v="9"/>
    <s v="card"/>
    <n v="32.82"/>
    <x v="7"/>
    <x v="0"/>
    <x v="4"/>
    <x v="6"/>
    <s v="2"/>
    <s v="9"/>
    <s v="2024-09-10"/>
    <d v="1899-12-30T09:32:47"/>
    <x v="0"/>
  </r>
  <r>
    <s v="15"/>
    <s v="card"/>
    <n v="23.02"/>
    <x v="5"/>
    <x v="1"/>
    <x v="4"/>
    <x v="6"/>
    <s v="2"/>
    <s v="9"/>
    <s v="2024-09-10"/>
    <d v="1899-12-30T15:21:54"/>
    <x v="0"/>
  </r>
  <r>
    <s v="15"/>
    <s v="card"/>
    <n v="23.02"/>
    <x v="5"/>
    <x v="1"/>
    <x v="4"/>
    <x v="6"/>
    <s v="2"/>
    <s v="9"/>
    <s v="2024-09-10"/>
    <d v="1899-12-30T15:23:06"/>
    <x v="0"/>
  </r>
  <r>
    <s v="18"/>
    <s v="card"/>
    <n v="32.82"/>
    <x v="7"/>
    <x v="2"/>
    <x v="4"/>
    <x v="6"/>
    <s v="2"/>
    <s v="9"/>
    <s v="2024-09-10"/>
    <d v="1899-12-30T18:43:42"/>
    <x v="0"/>
  </r>
  <r>
    <s v="18"/>
    <s v="card"/>
    <n v="27.92"/>
    <x v="3"/>
    <x v="2"/>
    <x v="4"/>
    <x v="6"/>
    <s v="2"/>
    <s v="9"/>
    <s v="2024-09-10"/>
    <d v="1899-12-30T18:45:23"/>
    <x v="0"/>
  </r>
  <r>
    <s v="19"/>
    <s v="card"/>
    <n v="32.82"/>
    <x v="0"/>
    <x v="2"/>
    <x v="4"/>
    <x v="6"/>
    <s v="2"/>
    <s v="9"/>
    <s v="2024-09-10"/>
    <d v="1899-12-30T19:02:43"/>
    <x v="0"/>
  </r>
  <r>
    <s v="19"/>
    <s v="card"/>
    <n v="32.82"/>
    <x v="0"/>
    <x v="2"/>
    <x v="4"/>
    <x v="6"/>
    <s v="2"/>
    <s v="9"/>
    <s v="2024-09-10"/>
    <d v="1899-12-30T19:03:53"/>
    <x v="0"/>
  </r>
  <r>
    <s v="21"/>
    <s v="card"/>
    <n v="27.92"/>
    <x v="3"/>
    <x v="2"/>
    <x v="4"/>
    <x v="6"/>
    <s v="2"/>
    <s v="9"/>
    <s v="2024-09-10"/>
    <d v="1899-12-30T21:29:35"/>
    <x v="0"/>
  </r>
  <r>
    <s v="21"/>
    <s v="card"/>
    <n v="23.02"/>
    <x v="2"/>
    <x v="2"/>
    <x v="4"/>
    <x v="6"/>
    <s v="2"/>
    <s v="9"/>
    <s v="2024-09-10"/>
    <d v="1899-12-30T21:30:27"/>
    <x v="0"/>
  </r>
  <r>
    <s v="8"/>
    <s v="card"/>
    <n v="32.82"/>
    <x v="0"/>
    <x v="0"/>
    <x v="5"/>
    <x v="6"/>
    <s v="3"/>
    <s v="9"/>
    <s v="2024-09-11"/>
    <d v="1899-12-30T08:47:22"/>
    <x v="0"/>
  </r>
  <r>
    <s v="9"/>
    <s v="card"/>
    <n v="27.92"/>
    <x v="3"/>
    <x v="0"/>
    <x v="5"/>
    <x v="6"/>
    <s v="3"/>
    <s v="9"/>
    <s v="2024-09-11"/>
    <d v="1899-12-30T09:28:47"/>
    <x v="0"/>
  </r>
  <r>
    <s v="10"/>
    <s v="card"/>
    <n v="32.82"/>
    <x v="0"/>
    <x v="0"/>
    <x v="5"/>
    <x v="6"/>
    <s v="3"/>
    <s v="9"/>
    <s v="2024-09-11"/>
    <d v="1899-12-30T10:52:09"/>
    <x v="0"/>
  </r>
  <r>
    <s v="19"/>
    <s v="card"/>
    <n v="32.82"/>
    <x v="7"/>
    <x v="2"/>
    <x v="5"/>
    <x v="6"/>
    <s v="3"/>
    <s v="9"/>
    <s v="2024-09-11"/>
    <d v="1899-12-30T19:53:13"/>
    <x v="0"/>
  </r>
  <r>
    <s v="20"/>
    <s v="card"/>
    <n v="27.92"/>
    <x v="3"/>
    <x v="2"/>
    <x v="5"/>
    <x v="6"/>
    <s v="3"/>
    <s v="9"/>
    <s v="2024-09-11"/>
    <d v="1899-12-30T20:13:15"/>
    <x v="0"/>
  </r>
  <r>
    <s v="20"/>
    <s v="card"/>
    <n v="32.82"/>
    <x v="0"/>
    <x v="2"/>
    <x v="5"/>
    <x v="6"/>
    <s v="3"/>
    <s v="9"/>
    <s v="2024-09-11"/>
    <d v="1899-12-30T20:14:19"/>
    <x v="0"/>
  </r>
  <r>
    <s v="20"/>
    <s v="card"/>
    <n v="32.82"/>
    <x v="0"/>
    <x v="2"/>
    <x v="5"/>
    <x v="6"/>
    <s v="3"/>
    <s v="9"/>
    <s v="2024-09-11"/>
    <d v="1899-12-30T20:15:19"/>
    <x v="0"/>
  </r>
  <r>
    <s v="21"/>
    <s v="card"/>
    <n v="23.02"/>
    <x v="5"/>
    <x v="2"/>
    <x v="5"/>
    <x v="6"/>
    <s v="3"/>
    <s v="9"/>
    <s v="2024-09-11"/>
    <d v="1899-12-30T21:01:34"/>
    <x v="0"/>
  </r>
  <r>
    <s v="10"/>
    <s v="card"/>
    <n v="18.12"/>
    <x v="6"/>
    <x v="0"/>
    <x v="6"/>
    <x v="6"/>
    <s v="4"/>
    <s v="9"/>
    <s v="2024-09-12"/>
    <d v="1899-12-30T10:57:26"/>
    <x v="0"/>
  </r>
  <r>
    <s v="10"/>
    <s v="card"/>
    <n v="27.92"/>
    <x v="3"/>
    <x v="0"/>
    <x v="6"/>
    <x v="6"/>
    <s v="4"/>
    <s v="9"/>
    <s v="2024-09-12"/>
    <d v="1899-12-30T10:58:20"/>
    <x v="0"/>
  </r>
  <r>
    <s v="11"/>
    <s v="card"/>
    <n v="27.92"/>
    <x v="3"/>
    <x v="0"/>
    <x v="6"/>
    <x v="6"/>
    <s v="4"/>
    <s v="9"/>
    <s v="2024-09-12"/>
    <d v="1899-12-30T11:27:36"/>
    <x v="0"/>
  </r>
  <r>
    <s v="12"/>
    <s v="card"/>
    <n v="32.82"/>
    <x v="7"/>
    <x v="1"/>
    <x v="6"/>
    <x v="6"/>
    <s v="4"/>
    <s v="9"/>
    <s v="2024-09-12"/>
    <d v="1899-12-30T12:08:22"/>
    <x v="0"/>
  </r>
  <r>
    <s v="12"/>
    <s v="card"/>
    <n v="23.02"/>
    <x v="5"/>
    <x v="1"/>
    <x v="6"/>
    <x v="6"/>
    <s v="4"/>
    <s v="9"/>
    <s v="2024-09-12"/>
    <d v="1899-12-30T12:31:07"/>
    <x v="0"/>
  </r>
  <r>
    <s v="12"/>
    <s v="card"/>
    <n v="23.02"/>
    <x v="5"/>
    <x v="1"/>
    <x v="6"/>
    <x v="6"/>
    <s v="4"/>
    <s v="9"/>
    <s v="2024-09-12"/>
    <d v="1899-12-30T12:32:23"/>
    <x v="0"/>
  </r>
  <r>
    <s v="12"/>
    <s v="card"/>
    <n v="23.02"/>
    <x v="5"/>
    <x v="1"/>
    <x v="6"/>
    <x v="6"/>
    <s v="4"/>
    <s v="9"/>
    <s v="2024-09-12"/>
    <d v="1899-12-30T12:37:20"/>
    <x v="0"/>
  </r>
  <r>
    <s v="12"/>
    <s v="card"/>
    <n v="23.02"/>
    <x v="5"/>
    <x v="1"/>
    <x v="6"/>
    <x v="6"/>
    <s v="4"/>
    <s v="9"/>
    <s v="2024-09-12"/>
    <d v="1899-12-30T12:38:10"/>
    <x v="0"/>
  </r>
  <r>
    <s v="17"/>
    <s v="card"/>
    <n v="32.82"/>
    <x v="0"/>
    <x v="2"/>
    <x v="6"/>
    <x v="6"/>
    <s v="4"/>
    <s v="9"/>
    <s v="2024-09-12"/>
    <d v="1899-12-30T17:01:25"/>
    <x v="0"/>
  </r>
  <r>
    <s v="21"/>
    <s v="card"/>
    <n v="23.02"/>
    <x v="2"/>
    <x v="2"/>
    <x v="6"/>
    <x v="6"/>
    <s v="4"/>
    <s v="9"/>
    <s v="2024-09-12"/>
    <d v="1899-12-30T21:09:10"/>
    <x v="0"/>
  </r>
  <r>
    <s v="21"/>
    <s v="card"/>
    <n v="32.82"/>
    <x v="7"/>
    <x v="2"/>
    <x v="6"/>
    <x v="6"/>
    <s v="4"/>
    <s v="9"/>
    <s v="2024-09-12"/>
    <d v="1899-12-30T21:10:21"/>
    <x v="0"/>
  </r>
  <r>
    <s v="21"/>
    <s v="card"/>
    <n v="23.02"/>
    <x v="5"/>
    <x v="2"/>
    <x v="6"/>
    <x v="6"/>
    <s v="4"/>
    <s v="9"/>
    <s v="2024-09-12"/>
    <d v="1899-12-30T21:13:17"/>
    <x v="0"/>
  </r>
  <r>
    <s v="7"/>
    <s v="card"/>
    <n v="32.82"/>
    <x v="0"/>
    <x v="0"/>
    <x v="0"/>
    <x v="6"/>
    <s v="5"/>
    <s v="9"/>
    <s v="2024-09-13"/>
    <d v="1899-12-30T07:56:54"/>
    <x v="0"/>
  </r>
  <r>
    <s v="8"/>
    <s v="card"/>
    <n v="32.82"/>
    <x v="0"/>
    <x v="0"/>
    <x v="0"/>
    <x v="6"/>
    <s v="5"/>
    <s v="9"/>
    <s v="2024-09-13"/>
    <d v="1899-12-30T08:41:03"/>
    <x v="0"/>
  </r>
  <r>
    <s v="8"/>
    <s v="card"/>
    <n v="32.82"/>
    <x v="0"/>
    <x v="0"/>
    <x v="0"/>
    <x v="6"/>
    <s v="5"/>
    <s v="9"/>
    <s v="2024-09-13"/>
    <d v="1899-12-30T08:54:16"/>
    <x v="0"/>
  </r>
  <r>
    <s v="9"/>
    <s v="card"/>
    <n v="32.82"/>
    <x v="0"/>
    <x v="0"/>
    <x v="0"/>
    <x v="6"/>
    <s v="5"/>
    <s v="9"/>
    <s v="2024-09-13"/>
    <d v="1899-12-30T09:51:19"/>
    <x v="0"/>
  </r>
  <r>
    <s v="15"/>
    <s v="card"/>
    <n v="27.92"/>
    <x v="3"/>
    <x v="1"/>
    <x v="0"/>
    <x v="6"/>
    <s v="5"/>
    <s v="9"/>
    <s v="2024-09-13"/>
    <d v="1899-12-30T15:38:19"/>
    <x v="0"/>
  </r>
  <r>
    <s v="15"/>
    <s v="card"/>
    <n v="27.92"/>
    <x v="3"/>
    <x v="1"/>
    <x v="0"/>
    <x v="6"/>
    <s v="5"/>
    <s v="9"/>
    <s v="2024-09-13"/>
    <d v="1899-12-30T15:50:54"/>
    <x v="0"/>
  </r>
  <r>
    <s v="16"/>
    <s v="card"/>
    <n v="32.82"/>
    <x v="7"/>
    <x v="1"/>
    <x v="1"/>
    <x v="6"/>
    <s v="6"/>
    <s v="9"/>
    <s v="2024-09-14"/>
    <d v="1899-12-30T16:29:19"/>
    <x v="0"/>
  </r>
  <r>
    <s v="16"/>
    <s v="card"/>
    <n v="32.82"/>
    <x v="7"/>
    <x v="1"/>
    <x v="1"/>
    <x v="6"/>
    <s v="6"/>
    <s v="9"/>
    <s v="2024-09-14"/>
    <d v="1899-12-30T16:30:17"/>
    <x v="0"/>
  </r>
  <r>
    <s v="8"/>
    <s v="card"/>
    <n v="18.12"/>
    <x v="6"/>
    <x v="0"/>
    <x v="2"/>
    <x v="6"/>
    <s v="7"/>
    <s v="9"/>
    <s v="2024-09-15"/>
    <d v="1899-12-30T08:42:41"/>
    <x v="0"/>
  </r>
  <r>
    <s v="9"/>
    <s v="card"/>
    <n v="27.92"/>
    <x v="3"/>
    <x v="0"/>
    <x v="2"/>
    <x v="6"/>
    <s v="7"/>
    <s v="9"/>
    <s v="2024-09-15"/>
    <d v="1899-12-30T09:49:39"/>
    <x v="0"/>
  </r>
  <r>
    <s v="13"/>
    <s v="card"/>
    <n v="23.02"/>
    <x v="2"/>
    <x v="1"/>
    <x v="2"/>
    <x v="6"/>
    <s v="7"/>
    <s v="9"/>
    <s v="2024-09-15"/>
    <d v="1899-12-30T13:49:37"/>
    <x v="0"/>
  </r>
  <r>
    <s v="14"/>
    <s v="card"/>
    <n v="23.02"/>
    <x v="5"/>
    <x v="1"/>
    <x v="2"/>
    <x v="6"/>
    <s v="7"/>
    <s v="9"/>
    <s v="2024-09-15"/>
    <d v="1899-12-30T14:36:19"/>
    <x v="0"/>
  </r>
  <r>
    <s v="14"/>
    <s v="card"/>
    <n v="23.02"/>
    <x v="5"/>
    <x v="1"/>
    <x v="2"/>
    <x v="6"/>
    <s v="7"/>
    <s v="9"/>
    <s v="2024-09-15"/>
    <d v="1899-12-30T14:37:21"/>
    <x v="0"/>
  </r>
  <r>
    <s v="14"/>
    <s v="card"/>
    <n v="32.82"/>
    <x v="7"/>
    <x v="1"/>
    <x v="2"/>
    <x v="6"/>
    <s v="7"/>
    <s v="9"/>
    <s v="2024-09-15"/>
    <d v="1899-12-30T14:53:19"/>
    <x v="0"/>
  </r>
  <r>
    <s v="13"/>
    <s v="card"/>
    <n v="32.82"/>
    <x v="0"/>
    <x v="1"/>
    <x v="3"/>
    <x v="6"/>
    <s v="1"/>
    <s v="9"/>
    <s v="2024-09-16"/>
    <d v="1899-12-30T13:32:23"/>
    <x v="0"/>
  </r>
  <r>
    <s v="13"/>
    <s v="card"/>
    <n v="27.92"/>
    <x v="3"/>
    <x v="1"/>
    <x v="3"/>
    <x v="6"/>
    <s v="1"/>
    <s v="9"/>
    <s v="2024-09-16"/>
    <d v="1899-12-30T13:33:37"/>
    <x v="0"/>
  </r>
  <r>
    <s v="15"/>
    <s v="card"/>
    <n v="32.82"/>
    <x v="0"/>
    <x v="1"/>
    <x v="3"/>
    <x v="6"/>
    <s v="1"/>
    <s v="9"/>
    <s v="2024-09-16"/>
    <d v="1899-12-30T15:23:19"/>
    <x v="0"/>
  </r>
  <r>
    <s v="17"/>
    <s v="card"/>
    <n v="27.92"/>
    <x v="3"/>
    <x v="2"/>
    <x v="3"/>
    <x v="6"/>
    <s v="1"/>
    <s v="9"/>
    <s v="2024-09-16"/>
    <d v="1899-12-30T17:16:06"/>
    <x v="0"/>
  </r>
  <r>
    <s v="17"/>
    <s v="card"/>
    <n v="32.82"/>
    <x v="0"/>
    <x v="2"/>
    <x v="3"/>
    <x v="6"/>
    <s v="1"/>
    <s v="9"/>
    <s v="2024-09-16"/>
    <d v="1899-12-30T17:18:03"/>
    <x v="0"/>
  </r>
  <r>
    <s v="18"/>
    <s v="card"/>
    <n v="32.82"/>
    <x v="0"/>
    <x v="2"/>
    <x v="3"/>
    <x v="6"/>
    <s v="1"/>
    <s v="9"/>
    <s v="2024-09-16"/>
    <d v="1899-12-30T18:54:45"/>
    <x v="0"/>
  </r>
  <r>
    <s v="18"/>
    <s v="card"/>
    <n v="32.82"/>
    <x v="0"/>
    <x v="2"/>
    <x v="3"/>
    <x v="6"/>
    <s v="1"/>
    <s v="9"/>
    <s v="2024-09-16"/>
    <d v="1899-12-30T18:56:05"/>
    <x v="0"/>
  </r>
  <r>
    <s v="21"/>
    <s v="card"/>
    <n v="27.92"/>
    <x v="3"/>
    <x v="2"/>
    <x v="3"/>
    <x v="6"/>
    <s v="1"/>
    <s v="9"/>
    <s v="2024-09-16"/>
    <d v="1899-12-30T21:10:19"/>
    <x v="0"/>
  </r>
  <r>
    <s v="21"/>
    <s v="card"/>
    <n v="32.82"/>
    <x v="0"/>
    <x v="2"/>
    <x v="3"/>
    <x v="6"/>
    <s v="1"/>
    <s v="9"/>
    <s v="2024-09-16"/>
    <d v="1899-12-30T21:11:33"/>
    <x v="0"/>
  </r>
  <r>
    <s v="21"/>
    <s v="card"/>
    <n v="27.92"/>
    <x v="3"/>
    <x v="2"/>
    <x v="3"/>
    <x v="6"/>
    <s v="1"/>
    <s v="9"/>
    <s v="2024-09-16"/>
    <d v="1899-12-30T21:37:47"/>
    <x v="0"/>
  </r>
  <r>
    <s v="21"/>
    <s v="card"/>
    <n v="27.92"/>
    <x v="3"/>
    <x v="2"/>
    <x v="3"/>
    <x v="6"/>
    <s v="1"/>
    <s v="9"/>
    <s v="2024-09-16"/>
    <d v="1899-12-30T21:38:49"/>
    <x v="0"/>
  </r>
  <r>
    <s v="7"/>
    <s v="card"/>
    <n v="23.02"/>
    <x v="5"/>
    <x v="0"/>
    <x v="4"/>
    <x v="6"/>
    <s v="2"/>
    <s v="9"/>
    <s v="2024-09-17"/>
    <d v="1899-12-30T07:54:58"/>
    <x v="0"/>
  </r>
  <r>
    <s v="8"/>
    <s v="card"/>
    <n v="32.82"/>
    <x v="0"/>
    <x v="0"/>
    <x v="4"/>
    <x v="6"/>
    <s v="2"/>
    <s v="9"/>
    <s v="2024-09-17"/>
    <d v="1899-12-30T08:09:01"/>
    <x v="0"/>
  </r>
  <r>
    <s v="8"/>
    <s v="card"/>
    <n v="27.92"/>
    <x v="3"/>
    <x v="0"/>
    <x v="4"/>
    <x v="6"/>
    <s v="2"/>
    <s v="9"/>
    <s v="2024-09-17"/>
    <d v="1899-12-30T08:37:38"/>
    <x v="0"/>
  </r>
  <r>
    <s v="8"/>
    <s v="card"/>
    <n v="23.02"/>
    <x v="5"/>
    <x v="0"/>
    <x v="4"/>
    <x v="6"/>
    <s v="2"/>
    <s v="9"/>
    <s v="2024-09-17"/>
    <d v="1899-12-30T08:42:31"/>
    <x v="0"/>
  </r>
  <r>
    <s v="9"/>
    <s v="card"/>
    <n v="32.82"/>
    <x v="7"/>
    <x v="0"/>
    <x v="4"/>
    <x v="6"/>
    <s v="2"/>
    <s v="9"/>
    <s v="2024-09-17"/>
    <d v="1899-12-30T09:10:04"/>
    <x v="0"/>
  </r>
  <r>
    <s v="9"/>
    <s v="card"/>
    <n v="27.92"/>
    <x v="3"/>
    <x v="0"/>
    <x v="4"/>
    <x v="6"/>
    <s v="2"/>
    <s v="9"/>
    <s v="2024-09-17"/>
    <d v="1899-12-30T09:11:08"/>
    <x v="0"/>
  </r>
  <r>
    <s v="9"/>
    <s v="card"/>
    <n v="27.92"/>
    <x v="3"/>
    <x v="0"/>
    <x v="4"/>
    <x v="6"/>
    <s v="2"/>
    <s v="9"/>
    <s v="2024-09-17"/>
    <d v="1899-12-30T09:34:57"/>
    <x v="0"/>
  </r>
  <r>
    <s v="12"/>
    <s v="card"/>
    <n v="18.12"/>
    <x v="6"/>
    <x v="1"/>
    <x v="4"/>
    <x v="6"/>
    <s v="2"/>
    <s v="9"/>
    <s v="2024-09-17"/>
    <d v="1899-12-30T12:38:34"/>
    <x v="0"/>
  </r>
  <r>
    <s v="12"/>
    <s v="card"/>
    <n v="27.92"/>
    <x v="3"/>
    <x v="1"/>
    <x v="4"/>
    <x v="6"/>
    <s v="2"/>
    <s v="9"/>
    <s v="2024-09-17"/>
    <d v="1899-12-30T12:39:34"/>
    <x v="0"/>
  </r>
  <r>
    <s v="12"/>
    <s v="card"/>
    <n v="32.82"/>
    <x v="0"/>
    <x v="1"/>
    <x v="4"/>
    <x v="6"/>
    <s v="2"/>
    <s v="9"/>
    <s v="2024-09-17"/>
    <d v="1899-12-30T12:44:15"/>
    <x v="0"/>
  </r>
  <r>
    <s v="13"/>
    <s v="card"/>
    <n v="27.92"/>
    <x v="3"/>
    <x v="1"/>
    <x v="4"/>
    <x v="6"/>
    <s v="2"/>
    <s v="9"/>
    <s v="2024-09-17"/>
    <d v="1899-12-30T13:54:23"/>
    <x v="0"/>
  </r>
  <r>
    <s v="13"/>
    <s v="card"/>
    <n v="23.02"/>
    <x v="5"/>
    <x v="1"/>
    <x v="4"/>
    <x v="6"/>
    <s v="2"/>
    <s v="9"/>
    <s v="2024-09-17"/>
    <d v="1899-12-30T13:55:31"/>
    <x v="0"/>
  </r>
  <r>
    <s v="16"/>
    <s v="card"/>
    <n v="32.82"/>
    <x v="7"/>
    <x v="1"/>
    <x v="4"/>
    <x v="6"/>
    <s v="2"/>
    <s v="9"/>
    <s v="2024-09-17"/>
    <d v="1899-12-30T16:29:37"/>
    <x v="0"/>
  </r>
  <r>
    <s v="16"/>
    <s v="card"/>
    <n v="32.82"/>
    <x v="0"/>
    <x v="1"/>
    <x v="4"/>
    <x v="6"/>
    <s v="2"/>
    <s v="9"/>
    <s v="2024-09-17"/>
    <d v="1899-12-30T16:31:01"/>
    <x v="0"/>
  </r>
  <r>
    <s v="18"/>
    <s v="card"/>
    <n v="32.82"/>
    <x v="1"/>
    <x v="2"/>
    <x v="4"/>
    <x v="6"/>
    <s v="2"/>
    <s v="9"/>
    <s v="2024-09-17"/>
    <d v="1899-12-30T18:54:24"/>
    <x v="0"/>
  </r>
  <r>
    <s v="19"/>
    <s v="card"/>
    <n v="27.92"/>
    <x v="3"/>
    <x v="2"/>
    <x v="4"/>
    <x v="6"/>
    <s v="2"/>
    <s v="9"/>
    <s v="2024-09-17"/>
    <d v="1899-12-30T19:00:46"/>
    <x v="0"/>
  </r>
  <r>
    <s v="19"/>
    <s v="card"/>
    <n v="27.92"/>
    <x v="3"/>
    <x v="2"/>
    <x v="4"/>
    <x v="6"/>
    <s v="2"/>
    <s v="9"/>
    <s v="2024-09-17"/>
    <d v="1899-12-30T19:03:53"/>
    <x v="0"/>
  </r>
  <r>
    <s v="19"/>
    <s v="card"/>
    <n v="32.82"/>
    <x v="0"/>
    <x v="2"/>
    <x v="4"/>
    <x v="6"/>
    <s v="2"/>
    <s v="9"/>
    <s v="2024-09-17"/>
    <d v="1899-12-30T19:12:48"/>
    <x v="0"/>
  </r>
  <r>
    <s v="19"/>
    <s v="card"/>
    <n v="27.92"/>
    <x v="3"/>
    <x v="2"/>
    <x v="4"/>
    <x v="6"/>
    <s v="2"/>
    <s v="9"/>
    <s v="2024-09-17"/>
    <d v="1899-12-30T19:14:00"/>
    <x v="0"/>
  </r>
  <r>
    <s v="19"/>
    <s v="card"/>
    <n v="27.92"/>
    <x v="3"/>
    <x v="2"/>
    <x v="4"/>
    <x v="6"/>
    <s v="2"/>
    <s v="9"/>
    <s v="2024-09-17"/>
    <d v="1899-12-30T19:15:00"/>
    <x v="0"/>
  </r>
  <r>
    <s v="19"/>
    <s v="card"/>
    <n v="27.92"/>
    <x v="3"/>
    <x v="2"/>
    <x v="4"/>
    <x v="6"/>
    <s v="2"/>
    <s v="9"/>
    <s v="2024-09-17"/>
    <d v="1899-12-30T19:31:57"/>
    <x v="0"/>
  </r>
  <r>
    <s v="22"/>
    <s v="card"/>
    <n v="32.82"/>
    <x v="1"/>
    <x v="2"/>
    <x v="4"/>
    <x v="6"/>
    <s v="2"/>
    <s v="9"/>
    <s v="2024-09-17"/>
    <d v="1899-12-30T22:19:36"/>
    <x v="0"/>
  </r>
  <r>
    <s v="22"/>
    <s v="card"/>
    <n v="32.82"/>
    <x v="1"/>
    <x v="2"/>
    <x v="4"/>
    <x v="6"/>
    <s v="2"/>
    <s v="9"/>
    <s v="2024-09-17"/>
    <d v="1899-12-30T22:20:19"/>
    <x v="0"/>
  </r>
  <r>
    <s v="14"/>
    <s v="card"/>
    <n v="32.82"/>
    <x v="0"/>
    <x v="1"/>
    <x v="5"/>
    <x v="6"/>
    <s v="3"/>
    <s v="9"/>
    <s v="2024-09-18"/>
    <d v="1899-12-30T14:29:49"/>
    <x v="0"/>
  </r>
  <r>
    <s v="17"/>
    <s v="card"/>
    <n v="32.82"/>
    <x v="0"/>
    <x v="2"/>
    <x v="5"/>
    <x v="6"/>
    <s v="3"/>
    <s v="9"/>
    <s v="2024-09-18"/>
    <d v="1899-12-30T17:34:20"/>
    <x v="0"/>
  </r>
  <r>
    <s v="21"/>
    <s v="card"/>
    <n v="27.92"/>
    <x v="3"/>
    <x v="2"/>
    <x v="5"/>
    <x v="6"/>
    <s v="3"/>
    <s v="9"/>
    <s v="2024-09-18"/>
    <d v="1899-12-30T21:15:39"/>
    <x v="0"/>
  </r>
  <r>
    <s v="21"/>
    <s v="card"/>
    <n v="27.92"/>
    <x v="3"/>
    <x v="2"/>
    <x v="5"/>
    <x v="6"/>
    <s v="3"/>
    <s v="9"/>
    <s v="2024-09-18"/>
    <d v="1899-12-30T21:18:22"/>
    <x v="0"/>
  </r>
  <r>
    <s v="8"/>
    <s v="card"/>
    <n v="27.92"/>
    <x v="3"/>
    <x v="0"/>
    <x v="6"/>
    <x v="6"/>
    <s v="4"/>
    <s v="9"/>
    <s v="2024-09-19"/>
    <d v="1899-12-30T08:17:19"/>
    <x v="0"/>
  </r>
  <r>
    <s v="8"/>
    <s v="card"/>
    <n v="23.02"/>
    <x v="5"/>
    <x v="0"/>
    <x v="6"/>
    <x v="6"/>
    <s v="4"/>
    <s v="9"/>
    <s v="2024-09-19"/>
    <d v="1899-12-30T08:30:29"/>
    <x v="0"/>
  </r>
  <r>
    <s v="10"/>
    <s v="card"/>
    <n v="32.82"/>
    <x v="0"/>
    <x v="0"/>
    <x v="6"/>
    <x v="6"/>
    <s v="4"/>
    <s v="9"/>
    <s v="2024-09-19"/>
    <d v="1899-12-30T10:01:31"/>
    <x v="0"/>
  </r>
  <r>
    <s v="12"/>
    <s v="card"/>
    <n v="23.02"/>
    <x v="2"/>
    <x v="1"/>
    <x v="6"/>
    <x v="6"/>
    <s v="4"/>
    <s v="9"/>
    <s v="2024-09-19"/>
    <d v="1899-12-30T12:59:34"/>
    <x v="0"/>
  </r>
  <r>
    <s v="13"/>
    <s v="card"/>
    <n v="27.92"/>
    <x v="3"/>
    <x v="1"/>
    <x v="6"/>
    <x v="6"/>
    <s v="4"/>
    <s v="9"/>
    <s v="2024-09-19"/>
    <d v="1899-12-30T13:00:34"/>
    <x v="0"/>
  </r>
  <r>
    <s v="13"/>
    <s v="card"/>
    <n v="23.02"/>
    <x v="5"/>
    <x v="1"/>
    <x v="6"/>
    <x v="6"/>
    <s v="4"/>
    <s v="9"/>
    <s v="2024-09-19"/>
    <d v="1899-12-30T13:45:42"/>
    <x v="0"/>
  </r>
  <r>
    <s v="8"/>
    <s v="card"/>
    <n v="27.92"/>
    <x v="3"/>
    <x v="0"/>
    <x v="0"/>
    <x v="6"/>
    <s v="5"/>
    <s v="9"/>
    <s v="2024-09-20"/>
    <d v="1899-12-30T08:34:57"/>
    <x v="0"/>
  </r>
  <r>
    <s v="9"/>
    <s v="card"/>
    <n v="27.92"/>
    <x v="3"/>
    <x v="0"/>
    <x v="0"/>
    <x v="6"/>
    <s v="5"/>
    <s v="9"/>
    <s v="2024-09-20"/>
    <d v="1899-12-30T09:46:15"/>
    <x v="0"/>
  </r>
  <r>
    <s v="13"/>
    <s v="card"/>
    <n v="27.92"/>
    <x v="3"/>
    <x v="1"/>
    <x v="0"/>
    <x v="6"/>
    <s v="5"/>
    <s v="9"/>
    <s v="2024-09-20"/>
    <d v="1899-12-30T13:39:55"/>
    <x v="0"/>
  </r>
  <r>
    <s v="16"/>
    <s v="card"/>
    <n v="32.82"/>
    <x v="0"/>
    <x v="1"/>
    <x v="0"/>
    <x v="6"/>
    <s v="5"/>
    <s v="9"/>
    <s v="2024-09-20"/>
    <d v="1899-12-30T16:03:30"/>
    <x v="0"/>
  </r>
  <r>
    <s v="20"/>
    <s v="card"/>
    <n v="23.02"/>
    <x v="2"/>
    <x v="2"/>
    <x v="0"/>
    <x v="6"/>
    <s v="5"/>
    <s v="9"/>
    <s v="2024-09-20"/>
    <d v="1899-12-30T20:39:23"/>
    <x v="0"/>
  </r>
  <r>
    <s v="21"/>
    <s v="card"/>
    <n v="27.92"/>
    <x v="3"/>
    <x v="2"/>
    <x v="0"/>
    <x v="6"/>
    <s v="5"/>
    <s v="9"/>
    <s v="2024-09-20"/>
    <d v="1899-12-30T21:31:37"/>
    <x v="0"/>
  </r>
  <r>
    <s v="21"/>
    <s v="card"/>
    <n v="27.92"/>
    <x v="3"/>
    <x v="2"/>
    <x v="0"/>
    <x v="6"/>
    <s v="5"/>
    <s v="9"/>
    <s v="2024-09-20"/>
    <d v="1899-12-30T21:32:43"/>
    <x v="0"/>
  </r>
  <r>
    <s v="11"/>
    <s v="card"/>
    <n v="32.82"/>
    <x v="0"/>
    <x v="0"/>
    <x v="1"/>
    <x v="6"/>
    <s v="6"/>
    <s v="9"/>
    <s v="2024-09-21"/>
    <d v="1899-12-30T11:01:15"/>
    <x v="0"/>
  </r>
  <r>
    <s v="11"/>
    <s v="card"/>
    <n v="32.82"/>
    <x v="4"/>
    <x v="0"/>
    <x v="1"/>
    <x v="6"/>
    <s v="6"/>
    <s v="9"/>
    <s v="2024-09-21"/>
    <d v="1899-12-30T11:02:14"/>
    <x v="0"/>
  </r>
  <r>
    <s v="11"/>
    <s v="card"/>
    <n v="23.02"/>
    <x v="5"/>
    <x v="0"/>
    <x v="1"/>
    <x v="6"/>
    <s v="6"/>
    <s v="9"/>
    <s v="2024-09-21"/>
    <d v="1899-12-30T11:37:47"/>
    <x v="0"/>
  </r>
  <r>
    <s v="11"/>
    <s v="card"/>
    <n v="23.02"/>
    <x v="5"/>
    <x v="0"/>
    <x v="1"/>
    <x v="6"/>
    <s v="6"/>
    <s v="9"/>
    <s v="2024-09-21"/>
    <d v="1899-12-30T11:38:45"/>
    <x v="0"/>
  </r>
  <r>
    <s v="15"/>
    <s v="card"/>
    <n v="32.82"/>
    <x v="7"/>
    <x v="1"/>
    <x v="1"/>
    <x v="6"/>
    <s v="6"/>
    <s v="9"/>
    <s v="2024-09-21"/>
    <d v="1899-12-30T15:10:09"/>
    <x v="0"/>
  </r>
  <r>
    <s v="15"/>
    <s v="card"/>
    <n v="32.82"/>
    <x v="0"/>
    <x v="1"/>
    <x v="1"/>
    <x v="6"/>
    <s v="6"/>
    <s v="9"/>
    <s v="2024-09-21"/>
    <d v="1899-12-30T15:36:14"/>
    <x v="0"/>
  </r>
  <r>
    <s v="18"/>
    <s v="card"/>
    <n v="32.82"/>
    <x v="0"/>
    <x v="2"/>
    <x v="1"/>
    <x v="6"/>
    <s v="6"/>
    <s v="9"/>
    <s v="2024-09-21"/>
    <d v="1899-12-30T18:16:29"/>
    <x v="0"/>
  </r>
  <r>
    <s v="18"/>
    <s v="card"/>
    <n v="32.82"/>
    <x v="0"/>
    <x v="2"/>
    <x v="1"/>
    <x v="6"/>
    <s v="6"/>
    <s v="9"/>
    <s v="2024-09-21"/>
    <d v="1899-12-30T18:17:31"/>
    <x v="0"/>
  </r>
  <r>
    <s v="20"/>
    <s v="card"/>
    <n v="23.02"/>
    <x v="2"/>
    <x v="2"/>
    <x v="1"/>
    <x v="6"/>
    <s v="6"/>
    <s v="9"/>
    <s v="2024-09-21"/>
    <d v="1899-12-30T20:29:43"/>
    <x v="0"/>
  </r>
  <r>
    <s v="20"/>
    <s v="card"/>
    <n v="23.02"/>
    <x v="2"/>
    <x v="2"/>
    <x v="1"/>
    <x v="6"/>
    <s v="6"/>
    <s v="9"/>
    <s v="2024-09-21"/>
    <d v="1899-12-30T20:30:39"/>
    <x v="0"/>
  </r>
  <r>
    <s v="20"/>
    <s v="card"/>
    <n v="32.82"/>
    <x v="0"/>
    <x v="2"/>
    <x v="1"/>
    <x v="6"/>
    <s v="6"/>
    <s v="9"/>
    <s v="2024-09-21"/>
    <d v="1899-12-30T20:33:58"/>
    <x v="0"/>
  </r>
  <r>
    <s v="20"/>
    <s v="card"/>
    <n v="32.82"/>
    <x v="0"/>
    <x v="2"/>
    <x v="1"/>
    <x v="6"/>
    <s v="6"/>
    <s v="9"/>
    <s v="2024-09-21"/>
    <d v="1899-12-30T20:35:30"/>
    <x v="0"/>
  </r>
  <r>
    <s v="22"/>
    <s v="card"/>
    <n v="27.92"/>
    <x v="3"/>
    <x v="2"/>
    <x v="1"/>
    <x v="6"/>
    <s v="6"/>
    <s v="9"/>
    <s v="2024-09-21"/>
    <d v="1899-12-30T22:18:46"/>
    <x v="0"/>
  </r>
  <r>
    <s v="22"/>
    <s v="card"/>
    <n v="23.02"/>
    <x v="2"/>
    <x v="2"/>
    <x v="1"/>
    <x v="6"/>
    <s v="6"/>
    <s v="9"/>
    <s v="2024-09-21"/>
    <d v="1899-12-30T22:19:50"/>
    <x v="0"/>
  </r>
  <r>
    <s v="22"/>
    <s v="card"/>
    <n v="23.02"/>
    <x v="2"/>
    <x v="2"/>
    <x v="1"/>
    <x v="6"/>
    <s v="6"/>
    <s v="9"/>
    <s v="2024-09-21"/>
    <d v="1899-12-30T22:20:48"/>
    <x v="0"/>
  </r>
  <r>
    <s v="8"/>
    <s v="card"/>
    <n v="23.02"/>
    <x v="2"/>
    <x v="0"/>
    <x v="2"/>
    <x v="6"/>
    <s v="7"/>
    <s v="9"/>
    <s v="2024-09-22"/>
    <d v="1899-12-30T08:32:54"/>
    <x v="0"/>
  </r>
  <r>
    <s v="10"/>
    <s v="card"/>
    <n v="27.92"/>
    <x v="3"/>
    <x v="0"/>
    <x v="2"/>
    <x v="6"/>
    <s v="7"/>
    <s v="9"/>
    <s v="2024-09-22"/>
    <d v="1899-12-30T10:12:10"/>
    <x v="0"/>
  </r>
  <r>
    <s v="10"/>
    <s v="card"/>
    <n v="32.82"/>
    <x v="0"/>
    <x v="0"/>
    <x v="2"/>
    <x v="6"/>
    <s v="7"/>
    <s v="9"/>
    <s v="2024-09-22"/>
    <d v="1899-12-30T10:13:09"/>
    <x v="0"/>
  </r>
  <r>
    <s v="11"/>
    <s v="card"/>
    <n v="23.02"/>
    <x v="5"/>
    <x v="0"/>
    <x v="2"/>
    <x v="6"/>
    <s v="7"/>
    <s v="9"/>
    <s v="2024-09-22"/>
    <d v="1899-12-30T11:06:26"/>
    <x v="0"/>
  </r>
  <r>
    <s v="11"/>
    <s v="card"/>
    <n v="23.02"/>
    <x v="5"/>
    <x v="0"/>
    <x v="2"/>
    <x v="6"/>
    <s v="7"/>
    <s v="9"/>
    <s v="2024-09-22"/>
    <d v="1899-12-30T11:07:36"/>
    <x v="0"/>
  </r>
  <r>
    <s v="11"/>
    <s v="card"/>
    <n v="27.92"/>
    <x v="3"/>
    <x v="0"/>
    <x v="2"/>
    <x v="6"/>
    <s v="7"/>
    <s v="9"/>
    <s v="2024-09-22"/>
    <d v="1899-12-30T11:52:00"/>
    <x v="0"/>
  </r>
  <r>
    <s v="11"/>
    <s v="card"/>
    <n v="23.02"/>
    <x v="2"/>
    <x v="0"/>
    <x v="2"/>
    <x v="6"/>
    <s v="7"/>
    <s v="9"/>
    <s v="2024-09-22"/>
    <d v="1899-12-30T11:55:13"/>
    <x v="0"/>
  </r>
  <r>
    <s v="12"/>
    <s v="card"/>
    <n v="27.92"/>
    <x v="3"/>
    <x v="1"/>
    <x v="2"/>
    <x v="6"/>
    <s v="7"/>
    <s v="9"/>
    <s v="2024-09-22"/>
    <d v="1899-12-30T12:07:21"/>
    <x v="0"/>
  </r>
  <r>
    <s v="13"/>
    <s v="card"/>
    <n v="27.92"/>
    <x v="3"/>
    <x v="1"/>
    <x v="2"/>
    <x v="6"/>
    <s v="7"/>
    <s v="9"/>
    <s v="2024-09-22"/>
    <d v="1899-12-30T13:28:15"/>
    <x v="0"/>
  </r>
  <r>
    <s v="13"/>
    <s v="card"/>
    <n v="27.92"/>
    <x v="3"/>
    <x v="1"/>
    <x v="2"/>
    <x v="6"/>
    <s v="7"/>
    <s v="9"/>
    <s v="2024-09-22"/>
    <d v="1899-12-30T13:29:36"/>
    <x v="0"/>
  </r>
  <r>
    <s v="13"/>
    <s v="card"/>
    <n v="27.92"/>
    <x v="3"/>
    <x v="1"/>
    <x v="2"/>
    <x v="6"/>
    <s v="7"/>
    <s v="9"/>
    <s v="2024-09-22"/>
    <d v="1899-12-30T13:33:35"/>
    <x v="0"/>
  </r>
  <r>
    <s v="15"/>
    <s v="card"/>
    <n v="32.82"/>
    <x v="0"/>
    <x v="1"/>
    <x v="2"/>
    <x v="6"/>
    <s v="7"/>
    <s v="9"/>
    <s v="2024-09-22"/>
    <d v="1899-12-30T15:34:10"/>
    <x v="0"/>
  </r>
  <r>
    <s v="15"/>
    <s v="card"/>
    <n v="27.92"/>
    <x v="3"/>
    <x v="1"/>
    <x v="2"/>
    <x v="6"/>
    <s v="7"/>
    <s v="9"/>
    <s v="2024-09-22"/>
    <d v="1899-12-30T15:35:24"/>
    <x v="0"/>
  </r>
  <r>
    <s v="16"/>
    <s v="card"/>
    <n v="32.82"/>
    <x v="4"/>
    <x v="1"/>
    <x v="2"/>
    <x v="6"/>
    <s v="7"/>
    <s v="9"/>
    <s v="2024-09-22"/>
    <d v="1899-12-30T16:25:03"/>
    <x v="0"/>
  </r>
  <r>
    <s v="20"/>
    <s v="card"/>
    <n v="32.82"/>
    <x v="0"/>
    <x v="2"/>
    <x v="2"/>
    <x v="6"/>
    <s v="7"/>
    <s v="9"/>
    <s v="2024-09-22"/>
    <d v="1899-12-30T20:19:10"/>
    <x v="0"/>
  </r>
  <r>
    <s v="20"/>
    <s v="card"/>
    <n v="32.82"/>
    <x v="7"/>
    <x v="2"/>
    <x v="2"/>
    <x v="6"/>
    <s v="7"/>
    <s v="9"/>
    <s v="2024-09-22"/>
    <d v="1899-12-30T20:20:36"/>
    <x v="0"/>
  </r>
  <r>
    <s v="20"/>
    <s v="card"/>
    <n v="27.92"/>
    <x v="3"/>
    <x v="2"/>
    <x v="2"/>
    <x v="6"/>
    <s v="7"/>
    <s v="9"/>
    <s v="2024-09-22"/>
    <d v="1899-12-30T20:46:26"/>
    <x v="0"/>
  </r>
  <r>
    <s v="20"/>
    <s v="card"/>
    <n v="27.92"/>
    <x v="3"/>
    <x v="2"/>
    <x v="2"/>
    <x v="6"/>
    <s v="7"/>
    <s v="9"/>
    <s v="2024-09-22"/>
    <d v="1899-12-30T20:47:35"/>
    <x v="0"/>
  </r>
  <r>
    <s v="21"/>
    <s v="card"/>
    <n v="27.92"/>
    <x v="3"/>
    <x v="2"/>
    <x v="2"/>
    <x v="6"/>
    <s v="7"/>
    <s v="9"/>
    <s v="2024-09-22"/>
    <d v="1899-12-30T21:07:05"/>
    <x v="0"/>
  </r>
  <r>
    <s v="21"/>
    <s v="card"/>
    <n v="27.92"/>
    <x v="3"/>
    <x v="2"/>
    <x v="2"/>
    <x v="6"/>
    <s v="7"/>
    <s v="9"/>
    <s v="2024-09-22"/>
    <d v="1899-12-30T21:08:15"/>
    <x v="0"/>
  </r>
  <r>
    <s v="21"/>
    <s v="card"/>
    <n v="32.82"/>
    <x v="1"/>
    <x v="2"/>
    <x v="2"/>
    <x v="6"/>
    <s v="7"/>
    <s v="9"/>
    <s v="2024-09-22"/>
    <d v="1899-12-30T21:54:04"/>
    <x v="0"/>
  </r>
  <r>
    <s v="21"/>
    <s v="card"/>
    <n v="32.82"/>
    <x v="1"/>
    <x v="2"/>
    <x v="2"/>
    <x v="6"/>
    <s v="7"/>
    <s v="9"/>
    <s v="2024-09-22"/>
    <d v="1899-12-30T21:54:54"/>
    <x v="0"/>
  </r>
  <r>
    <s v="22"/>
    <s v="card"/>
    <n v="23.02"/>
    <x v="2"/>
    <x v="2"/>
    <x v="2"/>
    <x v="6"/>
    <s v="7"/>
    <s v="9"/>
    <s v="2024-09-22"/>
    <d v="1899-12-30T22:37:02"/>
    <x v="0"/>
  </r>
  <r>
    <s v="22"/>
    <s v="card"/>
    <n v="27.92"/>
    <x v="3"/>
    <x v="2"/>
    <x v="2"/>
    <x v="6"/>
    <s v="7"/>
    <s v="9"/>
    <s v="2024-09-22"/>
    <d v="1899-12-30T22:37:58"/>
    <x v="0"/>
  </r>
  <r>
    <s v="9"/>
    <s v="card"/>
    <n v="27.92"/>
    <x v="3"/>
    <x v="0"/>
    <x v="3"/>
    <x v="6"/>
    <s v="1"/>
    <s v="9"/>
    <s v="2024-09-23"/>
    <d v="1899-12-30T09:03:37"/>
    <x v="0"/>
  </r>
  <r>
    <s v="10"/>
    <s v="card"/>
    <n v="23.02"/>
    <x v="5"/>
    <x v="0"/>
    <x v="3"/>
    <x v="6"/>
    <s v="1"/>
    <s v="9"/>
    <s v="2024-09-23"/>
    <d v="1899-12-30T10:04:17"/>
    <x v="0"/>
  </r>
  <r>
    <s v="12"/>
    <s v="card"/>
    <n v="23.02"/>
    <x v="2"/>
    <x v="1"/>
    <x v="3"/>
    <x v="6"/>
    <s v="1"/>
    <s v="9"/>
    <s v="2024-09-23"/>
    <d v="1899-12-30T12:11:04"/>
    <x v="0"/>
  </r>
  <r>
    <s v="14"/>
    <s v="card"/>
    <n v="27.92"/>
    <x v="3"/>
    <x v="1"/>
    <x v="3"/>
    <x v="6"/>
    <s v="1"/>
    <s v="9"/>
    <s v="2024-09-23"/>
    <d v="1899-12-30T14:08:52"/>
    <x v="0"/>
  </r>
  <r>
    <s v="17"/>
    <s v="card"/>
    <n v="32.82"/>
    <x v="7"/>
    <x v="2"/>
    <x v="3"/>
    <x v="6"/>
    <s v="1"/>
    <s v="9"/>
    <s v="2024-09-23"/>
    <d v="1899-12-30T17:27:48"/>
    <x v="0"/>
  </r>
  <r>
    <s v="18"/>
    <s v="card"/>
    <n v="23.02"/>
    <x v="2"/>
    <x v="2"/>
    <x v="3"/>
    <x v="6"/>
    <s v="1"/>
    <s v="9"/>
    <s v="2024-09-23"/>
    <d v="1899-12-30T18:48:30"/>
    <x v="0"/>
  </r>
  <r>
    <s v="19"/>
    <s v="card"/>
    <n v="32.82"/>
    <x v="0"/>
    <x v="2"/>
    <x v="3"/>
    <x v="6"/>
    <s v="1"/>
    <s v="9"/>
    <s v="2024-09-23"/>
    <d v="1899-12-30T19:47:22"/>
    <x v="0"/>
  </r>
  <r>
    <s v="20"/>
    <s v="card"/>
    <n v="32.82"/>
    <x v="7"/>
    <x v="2"/>
    <x v="3"/>
    <x v="6"/>
    <s v="1"/>
    <s v="9"/>
    <s v="2024-09-23"/>
    <d v="1899-12-30T20:09:46"/>
    <x v="0"/>
  </r>
  <r>
    <s v="22"/>
    <s v="card"/>
    <n v="27.92"/>
    <x v="3"/>
    <x v="2"/>
    <x v="3"/>
    <x v="6"/>
    <s v="1"/>
    <s v="9"/>
    <s v="2024-09-23"/>
    <d v="1899-12-30T22:13:31"/>
    <x v="0"/>
  </r>
  <r>
    <s v="22"/>
    <s v="card"/>
    <n v="27.92"/>
    <x v="3"/>
    <x v="2"/>
    <x v="3"/>
    <x v="6"/>
    <s v="1"/>
    <s v="9"/>
    <s v="2024-09-23"/>
    <d v="1899-12-30T22:15:15"/>
    <x v="0"/>
  </r>
  <r>
    <s v="8"/>
    <s v="card"/>
    <n v="27.92"/>
    <x v="3"/>
    <x v="0"/>
    <x v="4"/>
    <x v="6"/>
    <s v="2"/>
    <s v="9"/>
    <s v="2024-09-24"/>
    <d v="1899-12-30T08:33:33"/>
    <x v="0"/>
  </r>
  <r>
    <s v="12"/>
    <s v="card"/>
    <n v="32.82"/>
    <x v="0"/>
    <x v="1"/>
    <x v="4"/>
    <x v="6"/>
    <s v="2"/>
    <s v="9"/>
    <s v="2024-09-24"/>
    <d v="1899-12-30T12:23:57"/>
    <x v="0"/>
  </r>
  <r>
    <s v="12"/>
    <s v="card"/>
    <n v="32.82"/>
    <x v="0"/>
    <x v="1"/>
    <x v="4"/>
    <x v="6"/>
    <s v="2"/>
    <s v="9"/>
    <s v="2024-09-24"/>
    <d v="1899-12-30T12:24:55"/>
    <x v="0"/>
  </r>
  <r>
    <s v="12"/>
    <s v="card"/>
    <n v="32.82"/>
    <x v="0"/>
    <x v="1"/>
    <x v="4"/>
    <x v="6"/>
    <s v="2"/>
    <s v="9"/>
    <s v="2024-09-24"/>
    <d v="1899-12-30T12:46:44"/>
    <x v="0"/>
  </r>
  <r>
    <s v="12"/>
    <s v="card"/>
    <n v="32.82"/>
    <x v="0"/>
    <x v="1"/>
    <x v="4"/>
    <x v="6"/>
    <s v="2"/>
    <s v="9"/>
    <s v="2024-09-24"/>
    <d v="1899-12-30T12:47:49"/>
    <x v="0"/>
  </r>
  <r>
    <s v="14"/>
    <s v="card"/>
    <n v="32.82"/>
    <x v="0"/>
    <x v="1"/>
    <x v="4"/>
    <x v="6"/>
    <s v="2"/>
    <s v="9"/>
    <s v="2024-09-24"/>
    <d v="1899-12-30T14:11:39"/>
    <x v="0"/>
  </r>
  <r>
    <s v="14"/>
    <s v="card"/>
    <n v="23.02"/>
    <x v="5"/>
    <x v="1"/>
    <x v="4"/>
    <x v="6"/>
    <s v="2"/>
    <s v="9"/>
    <s v="2024-09-24"/>
    <d v="1899-12-30T14:31:29"/>
    <x v="0"/>
  </r>
  <r>
    <s v="15"/>
    <s v="card"/>
    <n v="32.82"/>
    <x v="7"/>
    <x v="1"/>
    <x v="4"/>
    <x v="6"/>
    <s v="2"/>
    <s v="9"/>
    <s v="2024-09-24"/>
    <d v="1899-12-30T15:37:24"/>
    <x v="0"/>
  </r>
  <r>
    <s v="16"/>
    <s v="card"/>
    <n v="32.82"/>
    <x v="0"/>
    <x v="1"/>
    <x v="4"/>
    <x v="6"/>
    <s v="2"/>
    <s v="9"/>
    <s v="2024-09-24"/>
    <d v="1899-12-30T16:38:48"/>
    <x v="0"/>
  </r>
  <r>
    <s v="18"/>
    <s v="card"/>
    <n v="23.02"/>
    <x v="2"/>
    <x v="2"/>
    <x v="4"/>
    <x v="6"/>
    <s v="2"/>
    <s v="9"/>
    <s v="2024-09-24"/>
    <d v="1899-12-30T18:43:03"/>
    <x v="0"/>
  </r>
  <r>
    <s v="18"/>
    <s v="card"/>
    <n v="23.02"/>
    <x v="2"/>
    <x v="2"/>
    <x v="4"/>
    <x v="6"/>
    <s v="2"/>
    <s v="9"/>
    <s v="2024-09-24"/>
    <d v="1899-12-30T18:43:54"/>
    <x v="0"/>
  </r>
  <r>
    <s v="20"/>
    <s v="card"/>
    <n v="32.82"/>
    <x v="1"/>
    <x v="2"/>
    <x v="4"/>
    <x v="6"/>
    <s v="2"/>
    <s v="9"/>
    <s v="2024-09-24"/>
    <d v="1899-12-30T20:15:50"/>
    <x v="0"/>
  </r>
  <r>
    <s v="21"/>
    <s v="card"/>
    <n v="32.82"/>
    <x v="0"/>
    <x v="2"/>
    <x v="4"/>
    <x v="6"/>
    <s v="2"/>
    <s v="9"/>
    <s v="2024-09-24"/>
    <d v="1899-12-30T21:05:14"/>
    <x v="0"/>
  </r>
  <r>
    <s v="21"/>
    <s v="card"/>
    <n v="27.92"/>
    <x v="3"/>
    <x v="2"/>
    <x v="4"/>
    <x v="6"/>
    <s v="2"/>
    <s v="9"/>
    <s v="2024-09-24"/>
    <d v="1899-12-30T21:06:32"/>
    <x v="0"/>
  </r>
  <r>
    <s v="21"/>
    <s v="card"/>
    <n v="27.92"/>
    <x v="3"/>
    <x v="2"/>
    <x v="4"/>
    <x v="6"/>
    <s v="2"/>
    <s v="9"/>
    <s v="2024-09-24"/>
    <d v="1899-12-30T21:07:35"/>
    <x v="0"/>
  </r>
  <r>
    <s v="7"/>
    <s v="card"/>
    <n v="32.82"/>
    <x v="7"/>
    <x v="0"/>
    <x v="5"/>
    <x v="6"/>
    <s v="3"/>
    <s v="9"/>
    <s v="2024-09-25"/>
    <d v="1899-12-30T07:51:21"/>
    <x v="0"/>
  </r>
  <r>
    <s v="11"/>
    <s v="card"/>
    <n v="23.02"/>
    <x v="5"/>
    <x v="0"/>
    <x v="5"/>
    <x v="6"/>
    <s v="3"/>
    <s v="9"/>
    <s v="2024-09-25"/>
    <d v="1899-12-30T11:35:33"/>
    <x v="0"/>
  </r>
  <r>
    <s v="11"/>
    <s v="card"/>
    <n v="27.92"/>
    <x v="3"/>
    <x v="0"/>
    <x v="5"/>
    <x v="6"/>
    <s v="3"/>
    <s v="9"/>
    <s v="2024-09-25"/>
    <d v="1899-12-30T11:51:15"/>
    <x v="0"/>
  </r>
  <r>
    <s v="11"/>
    <s v="card"/>
    <n v="32.82"/>
    <x v="0"/>
    <x v="0"/>
    <x v="5"/>
    <x v="6"/>
    <s v="3"/>
    <s v="9"/>
    <s v="2024-09-25"/>
    <d v="1899-12-30T11:52:53"/>
    <x v="0"/>
  </r>
  <r>
    <s v="13"/>
    <s v="card"/>
    <n v="27.92"/>
    <x v="3"/>
    <x v="1"/>
    <x v="5"/>
    <x v="6"/>
    <s v="3"/>
    <s v="9"/>
    <s v="2024-09-25"/>
    <d v="1899-12-30T13:54:51"/>
    <x v="0"/>
  </r>
  <r>
    <s v="13"/>
    <s v="card"/>
    <n v="27.92"/>
    <x v="3"/>
    <x v="1"/>
    <x v="5"/>
    <x v="6"/>
    <s v="3"/>
    <s v="9"/>
    <s v="2024-09-25"/>
    <d v="1899-12-30T13:55:59"/>
    <x v="0"/>
  </r>
  <r>
    <s v="17"/>
    <s v="card"/>
    <n v="27.92"/>
    <x v="3"/>
    <x v="2"/>
    <x v="5"/>
    <x v="6"/>
    <s v="3"/>
    <s v="9"/>
    <s v="2024-09-25"/>
    <d v="1899-12-30T17:36:37"/>
    <x v="0"/>
  </r>
  <r>
    <s v="17"/>
    <s v="card"/>
    <n v="27.92"/>
    <x v="3"/>
    <x v="2"/>
    <x v="5"/>
    <x v="6"/>
    <s v="3"/>
    <s v="9"/>
    <s v="2024-09-25"/>
    <d v="1899-12-30T17:37:32"/>
    <x v="0"/>
  </r>
  <r>
    <s v="21"/>
    <s v="card"/>
    <n v="23.02"/>
    <x v="2"/>
    <x v="2"/>
    <x v="5"/>
    <x v="6"/>
    <s v="3"/>
    <s v="9"/>
    <s v="2024-09-25"/>
    <d v="1899-12-30T21:34:41"/>
    <x v="0"/>
  </r>
  <r>
    <s v="22"/>
    <s v="card"/>
    <n v="27.92"/>
    <x v="3"/>
    <x v="2"/>
    <x v="5"/>
    <x v="6"/>
    <s v="3"/>
    <s v="9"/>
    <s v="2024-09-25"/>
    <d v="1899-12-30T22:18:52"/>
    <x v="0"/>
  </r>
  <r>
    <s v="8"/>
    <s v="card"/>
    <n v="32.82"/>
    <x v="0"/>
    <x v="0"/>
    <x v="6"/>
    <x v="6"/>
    <s v="4"/>
    <s v="9"/>
    <s v="2024-09-26"/>
    <d v="1899-12-30T08:43:35"/>
    <x v="0"/>
  </r>
  <r>
    <s v="10"/>
    <s v="card"/>
    <n v="27.92"/>
    <x v="3"/>
    <x v="0"/>
    <x v="6"/>
    <x v="6"/>
    <s v="4"/>
    <s v="9"/>
    <s v="2024-09-26"/>
    <d v="1899-12-30T10:37:06"/>
    <x v="0"/>
  </r>
  <r>
    <s v="10"/>
    <s v="card"/>
    <n v="18.12"/>
    <x v="6"/>
    <x v="0"/>
    <x v="6"/>
    <x v="6"/>
    <s v="4"/>
    <s v="9"/>
    <s v="2024-09-26"/>
    <d v="1899-12-30T10:55:52"/>
    <x v="0"/>
  </r>
  <r>
    <s v="11"/>
    <s v="card"/>
    <n v="32.82"/>
    <x v="7"/>
    <x v="0"/>
    <x v="6"/>
    <x v="6"/>
    <s v="4"/>
    <s v="9"/>
    <s v="2024-09-26"/>
    <d v="1899-12-30T11:34:49"/>
    <x v="0"/>
  </r>
  <r>
    <s v="12"/>
    <s v="card"/>
    <n v="32.82"/>
    <x v="0"/>
    <x v="1"/>
    <x v="6"/>
    <x v="6"/>
    <s v="4"/>
    <s v="9"/>
    <s v="2024-09-26"/>
    <d v="1899-12-30T12:48:01"/>
    <x v="0"/>
  </r>
  <r>
    <s v="18"/>
    <s v="card"/>
    <n v="32.82"/>
    <x v="0"/>
    <x v="2"/>
    <x v="6"/>
    <x v="6"/>
    <s v="4"/>
    <s v="9"/>
    <s v="2024-09-26"/>
    <d v="1899-12-30T18:21:56"/>
    <x v="0"/>
  </r>
  <r>
    <s v="22"/>
    <s v="card"/>
    <n v="32.82"/>
    <x v="0"/>
    <x v="2"/>
    <x v="6"/>
    <x v="6"/>
    <s v="4"/>
    <s v="9"/>
    <s v="2024-09-26"/>
    <d v="1899-12-30T22:45:15"/>
    <x v="0"/>
  </r>
  <r>
    <s v="22"/>
    <s v="card"/>
    <n v="23.02"/>
    <x v="5"/>
    <x v="2"/>
    <x v="6"/>
    <x v="6"/>
    <s v="4"/>
    <s v="9"/>
    <s v="2024-09-26"/>
    <d v="1899-12-30T22:46:18"/>
    <x v="0"/>
  </r>
  <r>
    <s v="22"/>
    <s v="card"/>
    <n v="27.92"/>
    <x v="3"/>
    <x v="2"/>
    <x v="6"/>
    <x v="6"/>
    <s v="4"/>
    <s v="9"/>
    <s v="2024-09-26"/>
    <d v="1899-12-30T22:47:25"/>
    <x v="0"/>
  </r>
  <r>
    <s v="9"/>
    <s v="card"/>
    <n v="27.92"/>
    <x v="3"/>
    <x v="0"/>
    <x v="0"/>
    <x v="6"/>
    <s v="5"/>
    <s v="9"/>
    <s v="2024-09-27"/>
    <d v="1899-12-30T09:29:46"/>
    <x v="0"/>
  </r>
  <r>
    <s v="9"/>
    <s v="card"/>
    <n v="23.02"/>
    <x v="5"/>
    <x v="0"/>
    <x v="0"/>
    <x v="6"/>
    <s v="5"/>
    <s v="9"/>
    <s v="2024-09-27"/>
    <d v="1899-12-30T09:33:44"/>
    <x v="0"/>
  </r>
  <r>
    <s v="9"/>
    <s v="card"/>
    <n v="32.82"/>
    <x v="7"/>
    <x v="0"/>
    <x v="0"/>
    <x v="6"/>
    <s v="5"/>
    <s v="9"/>
    <s v="2024-09-27"/>
    <d v="1899-12-30T09:41:05"/>
    <x v="0"/>
  </r>
  <r>
    <s v="10"/>
    <s v="card"/>
    <n v="27.92"/>
    <x v="3"/>
    <x v="0"/>
    <x v="0"/>
    <x v="6"/>
    <s v="5"/>
    <s v="9"/>
    <s v="2024-09-27"/>
    <d v="1899-12-30T10:46:57"/>
    <x v="0"/>
  </r>
  <r>
    <s v="11"/>
    <s v="card"/>
    <n v="27.92"/>
    <x v="3"/>
    <x v="0"/>
    <x v="0"/>
    <x v="6"/>
    <s v="5"/>
    <s v="9"/>
    <s v="2024-09-27"/>
    <d v="1899-12-30T11:35:00"/>
    <x v="0"/>
  </r>
  <r>
    <s v="13"/>
    <s v="card"/>
    <n v="32.82"/>
    <x v="7"/>
    <x v="1"/>
    <x v="0"/>
    <x v="6"/>
    <s v="5"/>
    <s v="9"/>
    <s v="2024-09-27"/>
    <d v="1899-12-30T13:20:31"/>
    <x v="0"/>
  </r>
  <r>
    <s v="13"/>
    <s v="card"/>
    <n v="32.82"/>
    <x v="7"/>
    <x v="1"/>
    <x v="0"/>
    <x v="6"/>
    <s v="5"/>
    <s v="9"/>
    <s v="2024-09-27"/>
    <d v="1899-12-30T13:25:05"/>
    <x v="0"/>
  </r>
  <r>
    <s v="13"/>
    <s v="card"/>
    <n v="23.02"/>
    <x v="2"/>
    <x v="1"/>
    <x v="0"/>
    <x v="6"/>
    <s v="5"/>
    <s v="9"/>
    <s v="2024-09-27"/>
    <d v="1899-12-30T13:28:33"/>
    <x v="0"/>
  </r>
  <r>
    <s v="13"/>
    <s v="card"/>
    <n v="27.92"/>
    <x v="3"/>
    <x v="1"/>
    <x v="0"/>
    <x v="6"/>
    <s v="5"/>
    <s v="9"/>
    <s v="2024-09-27"/>
    <d v="1899-12-30T13:33:52"/>
    <x v="0"/>
  </r>
  <r>
    <s v="18"/>
    <s v="card"/>
    <n v="32.82"/>
    <x v="0"/>
    <x v="2"/>
    <x v="0"/>
    <x v="6"/>
    <s v="5"/>
    <s v="9"/>
    <s v="2024-09-27"/>
    <d v="1899-12-30T18:07:44"/>
    <x v="0"/>
  </r>
  <r>
    <s v="18"/>
    <s v="card"/>
    <n v="32.82"/>
    <x v="0"/>
    <x v="2"/>
    <x v="0"/>
    <x v="6"/>
    <s v="5"/>
    <s v="9"/>
    <s v="2024-09-27"/>
    <d v="1899-12-30T18:08:58"/>
    <x v="0"/>
  </r>
  <r>
    <s v="18"/>
    <s v="card"/>
    <n v="32.82"/>
    <x v="7"/>
    <x v="2"/>
    <x v="0"/>
    <x v="6"/>
    <s v="5"/>
    <s v="9"/>
    <s v="2024-09-27"/>
    <d v="1899-12-30T18:37:46"/>
    <x v="0"/>
  </r>
  <r>
    <s v="18"/>
    <s v="card"/>
    <n v="32.82"/>
    <x v="7"/>
    <x v="2"/>
    <x v="0"/>
    <x v="6"/>
    <s v="5"/>
    <s v="9"/>
    <s v="2024-09-27"/>
    <d v="1899-12-30T18:40:54"/>
    <x v="0"/>
  </r>
  <r>
    <s v="20"/>
    <s v="card"/>
    <n v="32.82"/>
    <x v="7"/>
    <x v="2"/>
    <x v="0"/>
    <x v="6"/>
    <s v="5"/>
    <s v="9"/>
    <s v="2024-09-27"/>
    <d v="1899-12-30T20:18:13"/>
    <x v="0"/>
  </r>
  <r>
    <s v="20"/>
    <s v="card"/>
    <n v="32.82"/>
    <x v="7"/>
    <x v="2"/>
    <x v="0"/>
    <x v="6"/>
    <s v="5"/>
    <s v="9"/>
    <s v="2024-09-27"/>
    <d v="1899-12-30T20:19:14"/>
    <x v="0"/>
  </r>
  <r>
    <s v="20"/>
    <s v="card"/>
    <n v="27.92"/>
    <x v="3"/>
    <x v="2"/>
    <x v="0"/>
    <x v="6"/>
    <s v="5"/>
    <s v="9"/>
    <s v="2024-09-27"/>
    <d v="1899-12-30T20:58:15"/>
    <x v="0"/>
  </r>
  <r>
    <s v="8"/>
    <s v="card"/>
    <n v="27.92"/>
    <x v="3"/>
    <x v="0"/>
    <x v="1"/>
    <x v="6"/>
    <s v="6"/>
    <s v="9"/>
    <s v="2024-09-28"/>
    <d v="1899-12-30T08:06:45"/>
    <x v="0"/>
  </r>
  <r>
    <s v="9"/>
    <s v="card"/>
    <n v="27.92"/>
    <x v="3"/>
    <x v="0"/>
    <x v="1"/>
    <x v="6"/>
    <s v="6"/>
    <s v="9"/>
    <s v="2024-09-28"/>
    <d v="1899-12-30T09:31:15"/>
    <x v="0"/>
  </r>
  <r>
    <s v="14"/>
    <s v="card"/>
    <n v="35.76"/>
    <x v="0"/>
    <x v="1"/>
    <x v="1"/>
    <x v="6"/>
    <s v="6"/>
    <s v="9"/>
    <s v="2024-09-28"/>
    <d v="1899-12-30T14:25:47"/>
    <x v="0"/>
  </r>
  <r>
    <s v="16"/>
    <s v="card"/>
    <n v="35.76"/>
    <x v="0"/>
    <x v="1"/>
    <x v="1"/>
    <x v="6"/>
    <s v="6"/>
    <s v="9"/>
    <s v="2024-09-28"/>
    <d v="1899-12-30T16:57:20"/>
    <x v="0"/>
  </r>
  <r>
    <s v="17"/>
    <s v="card"/>
    <n v="30.86"/>
    <x v="3"/>
    <x v="2"/>
    <x v="1"/>
    <x v="6"/>
    <s v="6"/>
    <s v="9"/>
    <s v="2024-09-28"/>
    <d v="1899-12-30T17:26:17"/>
    <x v="0"/>
  </r>
  <r>
    <s v="20"/>
    <s v="card"/>
    <n v="35.76"/>
    <x v="0"/>
    <x v="2"/>
    <x v="1"/>
    <x v="6"/>
    <s v="6"/>
    <s v="9"/>
    <s v="2024-09-28"/>
    <d v="1899-12-30T20:34:31"/>
    <x v="0"/>
  </r>
  <r>
    <s v="20"/>
    <s v="card"/>
    <n v="35.76"/>
    <x v="0"/>
    <x v="2"/>
    <x v="1"/>
    <x v="6"/>
    <s v="6"/>
    <s v="9"/>
    <s v="2024-09-28"/>
    <d v="1899-12-30T20:38:37"/>
    <x v="0"/>
  </r>
  <r>
    <s v="22"/>
    <s v="card"/>
    <n v="35.76"/>
    <x v="7"/>
    <x v="2"/>
    <x v="1"/>
    <x v="6"/>
    <s v="6"/>
    <s v="9"/>
    <s v="2024-09-28"/>
    <d v="1899-12-30T22:16:37"/>
    <x v="0"/>
  </r>
  <r>
    <s v="22"/>
    <s v="card"/>
    <n v="35.76"/>
    <x v="4"/>
    <x v="2"/>
    <x v="1"/>
    <x v="6"/>
    <s v="6"/>
    <s v="9"/>
    <s v="2024-09-28"/>
    <d v="1899-12-30T22:17:30"/>
    <x v="0"/>
  </r>
  <r>
    <s v="22"/>
    <s v="card"/>
    <n v="25.96"/>
    <x v="5"/>
    <x v="2"/>
    <x v="1"/>
    <x v="6"/>
    <s v="6"/>
    <s v="9"/>
    <s v="2024-09-28"/>
    <d v="1899-12-30T22:18:16"/>
    <x v="0"/>
  </r>
  <r>
    <s v="22"/>
    <s v="card"/>
    <n v="35.76"/>
    <x v="1"/>
    <x v="2"/>
    <x v="1"/>
    <x v="6"/>
    <s v="6"/>
    <s v="9"/>
    <s v="2024-09-28"/>
    <d v="1899-12-30T22:19:13"/>
    <x v="0"/>
  </r>
  <r>
    <s v="10"/>
    <s v="card"/>
    <n v="25.96"/>
    <x v="2"/>
    <x v="0"/>
    <x v="2"/>
    <x v="6"/>
    <s v="7"/>
    <s v="9"/>
    <s v="2024-09-29"/>
    <d v="1899-12-30T10:48:45"/>
    <x v="0"/>
  </r>
  <r>
    <s v="10"/>
    <s v="card"/>
    <n v="35.76"/>
    <x v="7"/>
    <x v="0"/>
    <x v="2"/>
    <x v="6"/>
    <s v="7"/>
    <s v="9"/>
    <s v="2024-09-29"/>
    <d v="1899-12-30T10:50:05"/>
    <x v="0"/>
  </r>
  <r>
    <s v="10"/>
    <s v="card"/>
    <n v="35.76"/>
    <x v="7"/>
    <x v="0"/>
    <x v="2"/>
    <x v="6"/>
    <s v="7"/>
    <s v="9"/>
    <s v="2024-09-29"/>
    <d v="1899-12-30T10:51:03"/>
    <x v="0"/>
  </r>
  <r>
    <s v="10"/>
    <s v="card"/>
    <n v="35.76"/>
    <x v="7"/>
    <x v="0"/>
    <x v="2"/>
    <x v="6"/>
    <s v="7"/>
    <s v="9"/>
    <s v="2024-09-29"/>
    <d v="1899-12-30T10:52:23"/>
    <x v="0"/>
  </r>
  <r>
    <s v="10"/>
    <s v="card"/>
    <n v="30.86"/>
    <x v="3"/>
    <x v="0"/>
    <x v="2"/>
    <x v="6"/>
    <s v="7"/>
    <s v="9"/>
    <s v="2024-09-29"/>
    <d v="1899-12-30T10:53:42"/>
    <x v="0"/>
  </r>
  <r>
    <s v="12"/>
    <s v="card"/>
    <n v="35.76"/>
    <x v="0"/>
    <x v="1"/>
    <x v="2"/>
    <x v="6"/>
    <s v="7"/>
    <s v="9"/>
    <s v="2024-09-29"/>
    <d v="1899-12-30T12:35:43"/>
    <x v="0"/>
  </r>
  <r>
    <s v="12"/>
    <s v="card"/>
    <n v="25.96"/>
    <x v="5"/>
    <x v="1"/>
    <x v="2"/>
    <x v="6"/>
    <s v="7"/>
    <s v="9"/>
    <s v="2024-09-29"/>
    <d v="1899-12-30T12:50:58"/>
    <x v="0"/>
  </r>
  <r>
    <s v="12"/>
    <s v="card"/>
    <n v="35.76"/>
    <x v="0"/>
    <x v="1"/>
    <x v="2"/>
    <x v="6"/>
    <s v="7"/>
    <s v="9"/>
    <s v="2024-09-29"/>
    <d v="1899-12-30T12:54:15"/>
    <x v="0"/>
  </r>
  <r>
    <s v="12"/>
    <s v="card"/>
    <n v="35.76"/>
    <x v="0"/>
    <x v="1"/>
    <x v="2"/>
    <x v="6"/>
    <s v="7"/>
    <s v="9"/>
    <s v="2024-09-29"/>
    <d v="1899-12-30T12:55:22"/>
    <x v="0"/>
  </r>
  <r>
    <s v="18"/>
    <s v="card"/>
    <n v="35.76"/>
    <x v="7"/>
    <x v="2"/>
    <x v="2"/>
    <x v="6"/>
    <s v="7"/>
    <s v="9"/>
    <s v="2024-09-29"/>
    <d v="1899-12-30T18:02:27"/>
    <x v="0"/>
  </r>
  <r>
    <s v="22"/>
    <s v="card"/>
    <n v="35.76"/>
    <x v="0"/>
    <x v="2"/>
    <x v="2"/>
    <x v="6"/>
    <s v="7"/>
    <s v="9"/>
    <s v="2024-09-29"/>
    <d v="1899-12-30T22:31:03"/>
    <x v="0"/>
  </r>
  <r>
    <s v="8"/>
    <s v="card"/>
    <n v="25.96"/>
    <x v="5"/>
    <x v="0"/>
    <x v="3"/>
    <x v="6"/>
    <s v="1"/>
    <s v="9"/>
    <s v="2024-09-30"/>
    <d v="1899-12-30T08:08:48"/>
    <x v="0"/>
  </r>
  <r>
    <s v="8"/>
    <s v="card"/>
    <n v="25.96"/>
    <x v="5"/>
    <x v="0"/>
    <x v="3"/>
    <x v="6"/>
    <s v="1"/>
    <s v="9"/>
    <s v="2024-09-30"/>
    <d v="1899-12-30T08:58:55"/>
    <x v="0"/>
  </r>
  <r>
    <s v="9"/>
    <s v="card"/>
    <n v="35.76"/>
    <x v="1"/>
    <x v="0"/>
    <x v="3"/>
    <x v="6"/>
    <s v="1"/>
    <s v="9"/>
    <s v="2024-09-30"/>
    <d v="1899-12-30T09:00:05"/>
    <x v="0"/>
  </r>
  <r>
    <s v="10"/>
    <s v="card"/>
    <n v="30.86"/>
    <x v="3"/>
    <x v="0"/>
    <x v="3"/>
    <x v="6"/>
    <s v="1"/>
    <s v="9"/>
    <s v="2024-09-30"/>
    <d v="1899-12-30T10:01:09"/>
    <x v="0"/>
  </r>
  <r>
    <s v="10"/>
    <s v="card"/>
    <n v="25.96"/>
    <x v="5"/>
    <x v="0"/>
    <x v="3"/>
    <x v="6"/>
    <s v="1"/>
    <s v="9"/>
    <s v="2024-09-30"/>
    <d v="1899-12-30T10:05:18"/>
    <x v="0"/>
  </r>
  <r>
    <s v="11"/>
    <s v="card"/>
    <n v="30.86"/>
    <x v="3"/>
    <x v="0"/>
    <x v="3"/>
    <x v="6"/>
    <s v="1"/>
    <s v="9"/>
    <s v="2024-09-30"/>
    <d v="1899-12-30T11:32:55"/>
    <x v="0"/>
  </r>
  <r>
    <s v="16"/>
    <s v="card"/>
    <n v="30.86"/>
    <x v="3"/>
    <x v="1"/>
    <x v="3"/>
    <x v="6"/>
    <s v="1"/>
    <s v="9"/>
    <s v="2024-09-30"/>
    <d v="1899-12-30T16:45:44"/>
    <x v="0"/>
  </r>
  <r>
    <s v="19"/>
    <s v="card"/>
    <n v="35.76"/>
    <x v="0"/>
    <x v="2"/>
    <x v="3"/>
    <x v="6"/>
    <s v="1"/>
    <s v="9"/>
    <s v="2024-09-30"/>
    <d v="1899-12-30T19:32:18"/>
    <x v="0"/>
  </r>
  <r>
    <s v="19"/>
    <s v="card"/>
    <n v="30.86"/>
    <x v="3"/>
    <x v="2"/>
    <x v="3"/>
    <x v="6"/>
    <s v="1"/>
    <s v="9"/>
    <s v="2024-09-30"/>
    <d v="1899-12-30T19:53:14"/>
    <x v="0"/>
  </r>
  <r>
    <s v="19"/>
    <s v="card"/>
    <n v="25.96"/>
    <x v="5"/>
    <x v="2"/>
    <x v="3"/>
    <x v="6"/>
    <s v="1"/>
    <s v="9"/>
    <s v="2024-09-30"/>
    <d v="1899-12-30T19:54:18"/>
    <x v="0"/>
  </r>
  <r>
    <s v="19"/>
    <s v="card"/>
    <n v="35.76"/>
    <x v="0"/>
    <x v="2"/>
    <x v="3"/>
    <x v="6"/>
    <s v="1"/>
    <s v="9"/>
    <s v="2024-09-30"/>
    <d v="1899-12-30T19:59:19"/>
    <x v="0"/>
  </r>
  <r>
    <s v="20"/>
    <s v="card"/>
    <n v="30.86"/>
    <x v="3"/>
    <x v="2"/>
    <x v="3"/>
    <x v="6"/>
    <s v="1"/>
    <s v="9"/>
    <s v="2024-09-30"/>
    <d v="1899-12-30T20:00:42"/>
    <x v="0"/>
  </r>
  <r>
    <s v="20"/>
    <s v="card"/>
    <n v="30.86"/>
    <x v="3"/>
    <x v="2"/>
    <x v="3"/>
    <x v="6"/>
    <s v="1"/>
    <s v="9"/>
    <s v="2024-09-30"/>
    <d v="1899-12-30T20:01:42"/>
    <x v="0"/>
  </r>
  <r>
    <s v="21"/>
    <s v="card"/>
    <n v="30.86"/>
    <x v="3"/>
    <x v="2"/>
    <x v="3"/>
    <x v="6"/>
    <s v="1"/>
    <s v="9"/>
    <s v="2024-09-30"/>
    <d v="1899-12-30T21:41:08"/>
    <x v="0"/>
  </r>
  <r>
    <s v="7"/>
    <s v="card"/>
    <n v="35.76"/>
    <x v="0"/>
    <x v="0"/>
    <x v="4"/>
    <x v="7"/>
    <s v="2"/>
    <s v="10"/>
    <s v="2024-10-01"/>
    <d v="1899-12-30T07:47:08"/>
    <x v="0"/>
  </r>
  <r>
    <s v="9"/>
    <s v="card"/>
    <n v="30.86"/>
    <x v="3"/>
    <x v="0"/>
    <x v="4"/>
    <x v="7"/>
    <s v="2"/>
    <s v="10"/>
    <s v="2024-10-01"/>
    <d v="1899-12-30T09:48:31"/>
    <x v="0"/>
  </r>
  <r>
    <s v="10"/>
    <s v="card"/>
    <n v="30.86"/>
    <x v="3"/>
    <x v="0"/>
    <x v="4"/>
    <x v="7"/>
    <s v="2"/>
    <s v="10"/>
    <s v="2024-10-01"/>
    <d v="1899-12-30T10:02:27"/>
    <x v="0"/>
  </r>
  <r>
    <s v="10"/>
    <s v="card"/>
    <n v="30.86"/>
    <x v="3"/>
    <x v="0"/>
    <x v="4"/>
    <x v="7"/>
    <s v="2"/>
    <s v="10"/>
    <s v="2024-10-01"/>
    <d v="1899-12-30T10:03:47"/>
    <x v="0"/>
  </r>
  <r>
    <s v="11"/>
    <s v="card"/>
    <n v="30.86"/>
    <x v="3"/>
    <x v="0"/>
    <x v="4"/>
    <x v="7"/>
    <s v="2"/>
    <s v="10"/>
    <s v="2024-10-01"/>
    <d v="1899-12-30T11:55:32"/>
    <x v="0"/>
  </r>
  <r>
    <s v="12"/>
    <s v="card"/>
    <n v="30.86"/>
    <x v="3"/>
    <x v="1"/>
    <x v="4"/>
    <x v="7"/>
    <s v="2"/>
    <s v="10"/>
    <s v="2024-10-01"/>
    <d v="1899-12-30T12:12:48"/>
    <x v="0"/>
  </r>
  <r>
    <s v="12"/>
    <s v="card"/>
    <n v="30.86"/>
    <x v="3"/>
    <x v="1"/>
    <x v="4"/>
    <x v="7"/>
    <s v="2"/>
    <s v="10"/>
    <s v="2024-10-01"/>
    <d v="1899-12-30T12:14:23"/>
    <x v="0"/>
  </r>
  <r>
    <s v="14"/>
    <s v="card"/>
    <n v="25.96"/>
    <x v="2"/>
    <x v="1"/>
    <x v="4"/>
    <x v="7"/>
    <s v="2"/>
    <s v="10"/>
    <s v="2024-10-01"/>
    <d v="1899-12-30T14:17:35"/>
    <x v="0"/>
  </r>
  <r>
    <s v="14"/>
    <s v="card"/>
    <n v="30.86"/>
    <x v="3"/>
    <x v="1"/>
    <x v="4"/>
    <x v="7"/>
    <s v="2"/>
    <s v="10"/>
    <s v="2024-10-01"/>
    <d v="1899-12-30T14:18:53"/>
    <x v="0"/>
  </r>
  <r>
    <s v="16"/>
    <s v="card"/>
    <n v="35.76"/>
    <x v="1"/>
    <x v="1"/>
    <x v="4"/>
    <x v="7"/>
    <s v="2"/>
    <s v="10"/>
    <s v="2024-10-01"/>
    <d v="1899-12-30T16:08:39"/>
    <x v="0"/>
  </r>
  <r>
    <s v="16"/>
    <s v="card"/>
    <n v="25.96"/>
    <x v="2"/>
    <x v="1"/>
    <x v="4"/>
    <x v="7"/>
    <s v="2"/>
    <s v="10"/>
    <s v="2024-10-01"/>
    <d v="1899-12-30T16:41:54"/>
    <x v="0"/>
  </r>
  <r>
    <s v="18"/>
    <s v="card"/>
    <n v="35.76"/>
    <x v="0"/>
    <x v="2"/>
    <x v="4"/>
    <x v="7"/>
    <s v="2"/>
    <s v="10"/>
    <s v="2024-10-01"/>
    <d v="1899-12-30T18:08:27"/>
    <x v="0"/>
  </r>
  <r>
    <s v="18"/>
    <s v="card"/>
    <n v="35.76"/>
    <x v="0"/>
    <x v="2"/>
    <x v="4"/>
    <x v="7"/>
    <s v="2"/>
    <s v="10"/>
    <s v="2024-10-01"/>
    <d v="1899-12-30T18:23:11"/>
    <x v="0"/>
  </r>
  <r>
    <s v="18"/>
    <s v="card"/>
    <n v="35.76"/>
    <x v="1"/>
    <x v="2"/>
    <x v="4"/>
    <x v="7"/>
    <s v="2"/>
    <s v="10"/>
    <s v="2024-10-01"/>
    <d v="1899-12-30T18:24:14"/>
    <x v="0"/>
  </r>
  <r>
    <s v="20"/>
    <s v="card"/>
    <n v="35.76"/>
    <x v="1"/>
    <x v="2"/>
    <x v="4"/>
    <x v="7"/>
    <s v="2"/>
    <s v="10"/>
    <s v="2024-10-01"/>
    <d v="1899-12-30T20:03:22"/>
    <x v="0"/>
  </r>
  <r>
    <s v="7"/>
    <s v="card"/>
    <n v="35.76"/>
    <x v="0"/>
    <x v="0"/>
    <x v="5"/>
    <x v="7"/>
    <s v="3"/>
    <s v="10"/>
    <s v="2024-10-02"/>
    <d v="1899-12-30T07:57:19"/>
    <x v="0"/>
  </r>
  <r>
    <s v="8"/>
    <s v="card"/>
    <n v="25.96"/>
    <x v="5"/>
    <x v="0"/>
    <x v="5"/>
    <x v="7"/>
    <s v="3"/>
    <s v="10"/>
    <s v="2024-10-02"/>
    <d v="1899-12-30T08:42:45"/>
    <x v="0"/>
  </r>
  <r>
    <s v="9"/>
    <s v="card"/>
    <n v="30.86"/>
    <x v="3"/>
    <x v="0"/>
    <x v="5"/>
    <x v="7"/>
    <s v="3"/>
    <s v="10"/>
    <s v="2024-10-02"/>
    <d v="1899-12-30T09:19:17"/>
    <x v="0"/>
  </r>
  <r>
    <s v="10"/>
    <s v="card"/>
    <n v="35.76"/>
    <x v="0"/>
    <x v="0"/>
    <x v="5"/>
    <x v="7"/>
    <s v="3"/>
    <s v="10"/>
    <s v="2024-10-02"/>
    <d v="1899-12-30T10:22:02"/>
    <x v="0"/>
  </r>
  <r>
    <s v="10"/>
    <s v="card"/>
    <n v="30.86"/>
    <x v="3"/>
    <x v="0"/>
    <x v="5"/>
    <x v="7"/>
    <s v="3"/>
    <s v="10"/>
    <s v="2024-10-02"/>
    <d v="1899-12-30T10:23:55"/>
    <x v="0"/>
  </r>
  <r>
    <s v="11"/>
    <s v="card"/>
    <n v="35.76"/>
    <x v="7"/>
    <x v="0"/>
    <x v="5"/>
    <x v="7"/>
    <s v="3"/>
    <s v="10"/>
    <s v="2024-10-02"/>
    <d v="1899-12-30T11:28:54"/>
    <x v="0"/>
  </r>
  <r>
    <s v="15"/>
    <s v="card"/>
    <n v="35.76"/>
    <x v="7"/>
    <x v="1"/>
    <x v="5"/>
    <x v="7"/>
    <s v="3"/>
    <s v="10"/>
    <s v="2024-10-02"/>
    <d v="1899-12-30T15:13:42"/>
    <x v="0"/>
  </r>
  <r>
    <s v="18"/>
    <s v="card"/>
    <n v="35.76"/>
    <x v="1"/>
    <x v="2"/>
    <x v="5"/>
    <x v="7"/>
    <s v="3"/>
    <s v="10"/>
    <s v="2024-10-02"/>
    <d v="1899-12-30T18:31:07"/>
    <x v="0"/>
  </r>
  <r>
    <s v="22"/>
    <s v="card"/>
    <n v="35.76"/>
    <x v="1"/>
    <x v="2"/>
    <x v="5"/>
    <x v="7"/>
    <s v="3"/>
    <s v="10"/>
    <s v="2024-10-02"/>
    <d v="1899-12-30T22:18:55"/>
    <x v="0"/>
  </r>
  <r>
    <s v="22"/>
    <s v="card"/>
    <n v="35.76"/>
    <x v="1"/>
    <x v="2"/>
    <x v="5"/>
    <x v="7"/>
    <s v="3"/>
    <s v="10"/>
    <s v="2024-10-02"/>
    <d v="1899-12-30T22:19:41"/>
    <x v="0"/>
  </r>
  <r>
    <s v="22"/>
    <s v="card"/>
    <n v="35.76"/>
    <x v="1"/>
    <x v="2"/>
    <x v="5"/>
    <x v="7"/>
    <s v="3"/>
    <s v="10"/>
    <s v="2024-10-02"/>
    <d v="1899-12-30T22:20:24"/>
    <x v="0"/>
  </r>
  <r>
    <s v="13"/>
    <s v="card"/>
    <n v="35.76"/>
    <x v="4"/>
    <x v="1"/>
    <x v="6"/>
    <x v="7"/>
    <s v="4"/>
    <s v="10"/>
    <s v="2024-10-03"/>
    <d v="1899-12-30T13:47:36"/>
    <x v="0"/>
  </r>
  <r>
    <s v="15"/>
    <s v="card"/>
    <n v="30.86"/>
    <x v="3"/>
    <x v="1"/>
    <x v="6"/>
    <x v="7"/>
    <s v="4"/>
    <s v="10"/>
    <s v="2024-10-03"/>
    <d v="1899-12-30T15:12:05"/>
    <x v="0"/>
  </r>
  <r>
    <s v="20"/>
    <s v="card"/>
    <n v="25.96"/>
    <x v="5"/>
    <x v="2"/>
    <x v="6"/>
    <x v="7"/>
    <s v="4"/>
    <s v="10"/>
    <s v="2024-10-03"/>
    <d v="1899-12-30T20:12:58"/>
    <x v="0"/>
  </r>
  <r>
    <s v="20"/>
    <s v="card"/>
    <n v="35.76"/>
    <x v="1"/>
    <x v="2"/>
    <x v="6"/>
    <x v="7"/>
    <s v="4"/>
    <s v="10"/>
    <s v="2024-10-03"/>
    <d v="1899-12-30T20:14:05"/>
    <x v="0"/>
  </r>
  <r>
    <s v="21"/>
    <s v="card"/>
    <n v="35.76"/>
    <x v="1"/>
    <x v="2"/>
    <x v="6"/>
    <x v="7"/>
    <s v="4"/>
    <s v="10"/>
    <s v="2024-10-03"/>
    <d v="1899-12-30T21:21:06"/>
    <x v="0"/>
  </r>
  <r>
    <s v="21"/>
    <s v="card"/>
    <n v="35.76"/>
    <x v="1"/>
    <x v="2"/>
    <x v="6"/>
    <x v="7"/>
    <s v="4"/>
    <s v="10"/>
    <s v="2024-10-03"/>
    <d v="1899-12-30T21:21:47"/>
    <x v="0"/>
  </r>
  <r>
    <s v="21"/>
    <s v="card"/>
    <n v="35.76"/>
    <x v="7"/>
    <x v="2"/>
    <x v="6"/>
    <x v="7"/>
    <s v="4"/>
    <s v="10"/>
    <s v="2024-10-03"/>
    <d v="1899-12-30T21:29:03"/>
    <x v="0"/>
  </r>
  <r>
    <s v="21"/>
    <s v="card"/>
    <n v="35.76"/>
    <x v="1"/>
    <x v="2"/>
    <x v="6"/>
    <x v="7"/>
    <s v="4"/>
    <s v="10"/>
    <s v="2024-10-03"/>
    <d v="1899-12-30T21:31:00"/>
    <x v="0"/>
  </r>
  <r>
    <s v="8"/>
    <s v="card"/>
    <n v="25.96"/>
    <x v="2"/>
    <x v="0"/>
    <x v="0"/>
    <x v="7"/>
    <s v="5"/>
    <s v="10"/>
    <s v="2024-10-04"/>
    <d v="1899-12-30T08:44:01"/>
    <x v="0"/>
  </r>
  <r>
    <s v="8"/>
    <s v="card"/>
    <n v="25.96"/>
    <x v="2"/>
    <x v="0"/>
    <x v="0"/>
    <x v="7"/>
    <s v="5"/>
    <s v="10"/>
    <s v="2024-10-04"/>
    <d v="1899-12-30T08:45:39"/>
    <x v="0"/>
  </r>
  <r>
    <s v="9"/>
    <s v="card"/>
    <n v="30.86"/>
    <x v="3"/>
    <x v="0"/>
    <x v="0"/>
    <x v="7"/>
    <s v="5"/>
    <s v="10"/>
    <s v="2024-10-04"/>
    <d v="1899-12-30T09:30:22"/>
    <x v="0"/>
  </r>
  <r>
    <s v="9"/>
    <s v="card"/>
    <n v="25.96"/>
    <x v="2"/>
    <x v="0"/>
    <x v="0"/>
    <x v="7"/>
    <s v="5"/>
    <s v="10"/>
    <s v="2024-10-04"/>
    <d v="1899-12-30T09:31:27"/>
    <x v="0"/>
  </r>
  <r>
    <s v="9"/>
    <s v="card"/>
    <n v="25.96"/>
    <x v="5"/>
    <x v="0"/>
    <x v="0"/>
    <x v="7"/>
    <s v="5"/>
    <s v="10"/>
    <s v="2024-10-04"/>
    <d v="1899-12-30T09:53:59"/>
    <x v="0"/>
  </r>
  <r>
    <s v="9"/>
    <s v="card"/>
    <n v="25.96"/>
    <x v="5"/>
    <x v="0"/>
    <x v="0"/>
    <x v="7"/>
    <s v="5"/>
    <s v="10"/>
    <s v="2024-10-04"/>
    <d v="1899-12-30T09:55:05"/>
    <x v="0"/>
  </r>
  <r>
    <s v="17"/>
    <s v="card"/>
    <n v="35.76"/>
    <x v="0"/>
    <x v="2"/>
    <x v="0"/>
    <x v="7"/>
    <s v="5"/>
    <s v="10"/>
    <s v="2024-10-04"/>
    <d v="1899-12-30T17:35:15"/>
    <x v="0"/>
  </r>
  <r>
    <s v="17"/>
    <s v="card"/>
    <n v="35.76"/>
    <x v="1"/>
    <x v="2"/>
    <x v="0"/>
    <x v="7"/>
    <s v="5"/>
    <s v="10"/>
    <s v="2024-10-04"/>
    <d v="1899-12-30T17:42:22"/>
    <x v="0"/>
  </r>
  <r>
    <s v="17"/>
    <s v="card"/>
    <n v="35.76"/>
    <x v="4"/>
    <x v="2"/>
    <x v="0"/>
    <x v="7"/>
    <s v="5"/>
    <s v="10"/>
    <s v="2024-10-04"/>
    <d v="1899-12-30T17:44:36"/>
    <x v="0"/>
  </r>
  <r>
    <s v="9"/>
    <s v="card"/>
    <n v="25.96"/>
    <x v="5"/>
    <x v="0"/>
    <x v="1"/>
    <x v="7"/>
    <s v="6"/>
    <s v="10"/>
    <s v="2024-10-05"/>
    <d v="1899-12-30T09:00:47"/>
    <x v="0"/>
  </r>
  <r>
    <s v="9"/>
    <s v="card"/>
    <n v="25.96"/>
    <x v="5"/>
    <x v="0"/>
    <x v="1"/>
    <x v="7"/>
    <s v="6"/>
    <s v="10"/>
    <s v="2024-10-05"/>
    <d v="1899-12-30T09:01:43"/>
    <x v="0"/>
  </r>
  <r>
    <s v="9"/>
    <s v="card"/>
    <n v="35.76"/>
    <x v="4"/>
    <x v="0"/>
    <x v="1"/>
    <x v="7"/>
    <s v="6"/>
    <s v="10"/>
    <s v="2024-10-05"/>
    <d v="1899-12-30T09:35:45"/>
    <x v="0"/>
  </r>
  <r>
    <s v="13"/>
    <s v="card"/>
    <n v="35.76"/>
    <x v="7"/>
    <x v="1"/>
    <x v="1"/>
    <x v="7"/>
    <s v="6"/>
    <s v="10"/>
    <s v="2024-10-05"/>
    <d v="1899-12-30T13:12:13"/>
    <x v="0"/>
  </r>
  <r>
    <s v="20"/>
    <s v="card"/>
    <n v="25.96"/>
    <x v="2"/>
    <x v="2"/>
    <x v="1"/>
    <x v="7"/>
    <s v="6"/>
    <s v="10"/>
    <s v="2024-10-05"/>
    <d v="1899-12-30T20:08:38"/>
    <x v="0"/>
  </r>
  <r>
    <s v="20"/>
    <s v="card"/>
    <n v="25.96"/>
    <x v="2"/>
    <x v="2"/>
    <x v="1"/>
    <x v="7"/>
    <s v="6"/>
    <s v="10"/>
    <s v="2024-10-05"/>
    <d v="1899-12-30T20:09:34"/>
    <x v="0"/>
  </r>
  <r>
    <s v="8"/>
    <s v="card"/>
    <n v="25.96"/>
    <x v="5"/>
    <x v="0"/>
    <x v="2"/>
    <x v="7"/>
    <s v="7"/>
    <s v="10"/>
    <s v="2024-10-06"/>
    <d v="1899-12-30T08:22:57"/>
    <x v="0"/>
  </r>
  <r>
    <s v="10"/>
    <s v="card"/>
    <n v="35.76"/>
    <x v="7"/>
    <x v="0"/>
    <x v="2"/>
    <x v="7"/>
    <s v="7"/>
    <s v="10"/>
    <s v="2024-10-06"/>
    <d v="1899-12-30T10:05:44"/>
    <x v="0"/>
  </r>
  <r>
    <s v="10"/>
    <s v="card"/>
    <n v="25.96"/>
    <x v="5"/>
    <x v="0"/>
    <x v="2"/>
    <x v="7"/>
    <s v="7"/>
    <s v="10"/>
    <s v="2024-10-06"/>
    <d v="1899-12-30T10:06:47"/>
    <x v="0"/>
  </r>
  <r>
    <s v="11"/>
    <s v="card"/>
    <n v="35.76"/>
    <x v="0"/>
    <x v="0"/>
    <x v="2"/>
    <x v="7"/>
    <s v="7"/>
    <s v="10"/>
    <s v="2024-10-06"/>
    <d v="1899-12-30T11:55:29"/>
    <x v="0"/>
  </r>
  <r>
    <s v="12"/>
    <s v="card"/>
    <n v="35.76"/>
    <x v="0"/>
    <x v="1"/>
    <x v="2"/>
    <x v="7"/>
    <s v="7"/>
    <s v="10"/>
    <s v="2024-10-06"/>
    <d v="1899-12-30T12:09:04"/>
    <x v="0"/>
  </r>
  <r>
    <s v="12"/>
    <s v="card"/>
    <n v="35.76"/>
    <x v="7"/>
    <x v="1"/>
    <x v="2"/>
    <x v="7"/>
    <s v="7"/>
    <s v="10"/>
    <s v="2024-10-06"/>
    <d v="1899-12-30T12:10:17"/>
    <x v="0"/>
  </r>
  <r>
    <s v="12"/>
    <s v="card"/>
    <n v="30.86"/>
    <x v="3"/>
    <x v="1"/>
    <x v="2"/>
    <x v="7"/>
    <s v="7"/>
    <s v="10"/>
    <s v="2024-10-06"/>
    <d v="1899-12-30T12:11:43"/>
    <x v="0"/>
  </r>
  <r>
    <s v="13"/>
    <s v="card"/>
    <n v="25.96"/>
    <x v="2"/>
    <x v="1"/>
    <x v="2"/>
    <x v="7"/>
    <s v="7"/>
    <s v="10"/>
    <s v="2024-10-06"/>
    <d v="1899-12-30T13:46:04"/>
    <x v="0"/>
  </r>
  <r>
    <s v="13"/>
    <s v="card"/>
    <n v="35.76"/>
    <x v="7"/>
    <x v="1"/>
    <x v="2"/>
    <x v="7"/>
    <s v="7"/>
    <s v="10"/>
    <s v="2024-10-06"/>
    <d v="1899-12-30T13:47:02"/>
    <x v="0"/>
  </r>
  <r>
    <s v="13"/>
    <s v="card"/>
    <n v="30.86"/>
    <x v="3"/>
    <x v="1"/>
    <x v="2"/>
    <x v="7"/>
    <s v="7"/>
    <s v="10"/>
    <s v="2024-10-06"/>
    <d v="1899-12-30T13:50:00"/>
    <x v="0"/>
  </r>
  <r>
    <s v="13"/>
    <s v="card"/>
    <n v="35.76"/>
    <x v="0"/>
    <x v="1"/>
    <x v="2"/>
    <x v="7"/>
    <s v="7"/>
    <s v="10"/>
    <s v="2024-10-06"/>
    <d v="1899-12-30T13:51:04"/>
    <x v="0"/>
  </r>
  <r>
    <s v="13"/>
    <s v="card"/>
    <n v="35.76"/>
    <x v="7"/>
    <x v="1"/>
    <x v="2"/>
    <x v="7"/>
    <s v="7"/>
    <s v="10"/>
    <s v="2024-10-06"/>
    <d v="1899-12-30T13:51:56"/>
    <x v="0"/>
  </r>
  <r>
    <s v="16"/>
    <s v="card"/>
    <n v="35.76"/>
    <x v="7"/>
    <x v="1"/>
    <x v="2"/>
    <x v="7"/>
    <s v="7"/>
    <s v="10"/>
    <s v="2024-10-06"/>
    <d v="1899-12-30T16:31:34"/>
    <x v="0"/>
  </r>
  <r>
    <s v="16"/>
    <s v="card"/>
    <n v="21.06"/>
    <x v="6"/>
    <x v="1"/>
    <x v="2"/>
    <x v="7"/>
    <s v="7"/>
    <s v="10"/>
    <s v="2024-10-06"/>
    <d v="1899-12-30T16:35:46"/>
    <x v="0"/>
  </r>
  <r>
    <s v="18"/>
    <s v="card"/>
    <n v="30.86"/>
    <x v="3"/>
    <x v="2"/>
    <x v="2"/>
    <x v="7"/>
    <s v="7"/>
    <s v="10"/>
    <s v="2024-10-06"/>
    <d v="1899-12-30T18:17:45"/>
    <x v="0"/>
  </r>
  <r>
    <s v="18"/>
    <s v="card"/>
    <n v="35.76"/>
    <x v="1"/>
    <x v="2"/>
    <x v="2"/>
    <x v="7"/>
    <s v="7"/>
    <s v="10"/>
    <s v="2024-10-06"/>
    <d v="1899-12-30T18:35:16"/>
    <x v="0"/>
  </r>
  <r>
    <s v="21"/>
    <s v="card"/>
    <n v="35.76"/>
    <x v="1"/>
    <x v="2"/>
    <x v="2"/>
    <x v="7"/>
    <s v="7"/>
    <s v="10"/>
    <s v="2024-10-06"/>
    <d v="1899-12-30T21:09:13"/>
    <x v="0"/>
  </r>
  <r>
    <s v="21"/>
    <s v="card"/>
    <n v="35.76"/>
    <x v="1"/>
    <x v="2"/>
    <x v="2"/>
    <x v="7"/>
    <s v="7"/>
    <s v="10"/>
    <s v="2024-10-06"/>
    <d v="1899-12-30T21:10:00"/>
    <x v="0"/>
  </r>
  <r>
    <s v="21"/>
    <s v="card"/>
    <n v="35.76"/>
    <x v="1"/>
    <x v="2"/>
    <x v="2"/>
    <x v="7"/>
    <s v="7"/>
    <s v="10"/>
    <s v="2024-10-06"/>
    <d v="1899-12-30T21:10:45"/>
    <x v="0"/>
  </r>
  <r>
    <s v="21"/>
    <s v="card"/>
    <n v="35.76"/>
    <x v="0"/>
    <x v="2"/>
    <x v="2"/>
    <x v="7"/>
    <s v="7"/>
    <s v="10"/>
    <s v="2024-10-06"/>
    <d v="1899-12-30T21:16:49"/>
    <x v="0"/>
  </r>
  <r>
    <s v="8"/>
    <s v="card"/>
    <n v="35.76"/>
    <x v="0"/>
    <x v="0"/>
    <x v="3"/>
    <x v="7"/>
    <s v="1"/>
    <s v="10"/>
    <s v="2024-10-07"/>
    <d v="1899-12-30T08:33:36"/>
    <x v="0"/>
  </r>
  <r>
    <s v="8"/>
    <s v="card"/>
    <n v="35.76"/>
    <x v="0"/>
    <x v="0"/>
    <x v="3"/>
    <x v="7"/>
    <s v="1"/>
    <s v="10"/>
    <s v="2024-10-07"/>
    <d v="1899-12-30T08:49:36"/>
    <x v="0"/>
  </r>
  <r>
    <s v="8"/>
    <s v="card"/>
    <n v="30.86"/>
    <x v="3"/>
    <x v="0"/>
    <x v="3"/>
    <x v="7"/>
    <s v="1"/>
    <s v="10"/>
    <s v="2024-10-07"/>
    <d v="1899-12-30T08:50:42"/>
    <x v="0"/>
  </r>
  <r>
    <s v="9"/>
    <s v="card"/>
    <n v="35.76"/>
    <x v="4"/>
    <x v="0"/>
    <x v="3"/>
    <x v="7"/>
    <s v="1"/>
    <s v="10"/>
    <s v="2024-10-07"/>
    <d v="1899-12-30T09:05:28"/>
    <x v="0"/>
  </r>
  <r>
    <s v="9"/>
    <s v="card"/>
    <n v="35.76"/>
    <x v="0"/>
    <x v="0"/>
    <x v="3"/>
    <x v="7"/>
    <s v="1"/>
    <s v="10"/>
    <s v="2024-10-07"/>
    <d v="1899-12-30T09:09:58"/>
    <x v="0"/>
  </r>
  <r>
    <s v="12"/>
    <s v="card"/>
    <n v="30.86"/>
    <x v="3"/>
    <x v="1"/>
    <x v="3"/>
    <x v="7"/>
    <s v="1"/>
    <s v="10"/>
    <s v="2024-10-07"/>
    <d v="1899-12-30T12:17:57"/>
    <x v="0"/>
  </r>
  <r>
    <s v="14"/>
    <s v="card"/>
    <n v="25.96"/>
    <x v="2"/>
    <x v="1"/>
    <x v="3"/>
    <x v="7"/>
    <s v="1"/>
    <s v="10"/>
    <s v="2024-10-07"/>
    <d v="1899-12-30T14:31:45"/>
    <x v="0"/>
  </r>
  <r>
    <s v="14"/>
    <s v="card"/>
    <n v="25.96"/>
    <x v="2"/>
    <x v="1"/>
    <x v="3"/>
    <x v="7"/>
    <s v="1"/>
    <s v="10"/>
    <s v="2024-10-07"/>
    <d v="1899-12-30T14:32:39"/>
    <x v="0"/>
  </r>
  <r>
    <s v="17"/>
    <s v="card"/>
    <n v="35.76"/>
    <x v="0"/>
    <x v="2"/>
    <x v="3"/>
    <x v="7"/>
    <s v="1"/>
    <s v="10"/>
    <s v="2024-10-07"/>
    <d v="1899-12-30T17:48:55"/>
    <x v="0"/>
  </r>
  <r>
    <s v="21"/>
    <s v="card"/>
    <n v="35.76"/>
    <x v="1"/>
    <x v="2"/>
    <x v="3"/>
    <x v="7"/>
    <s v="1"/>
    <s v="10"/>
    <s v="2024-10-07"/>
    <d v="1899-12-30T21:14:42"/>
    <x v="0"/>
  </r>
  <r>
    <s v="21"/>
    <s v="card"/>
    <n v="35.76"/>
    <x v="1"/>
    <x v="2"/>
    <x v="3"/>
    <x v="7"/>
    <s v="1"/>
    <s v="10"/>
    <s v="2024-10-07"/>
    <d v="1899-12-30T21:15:20"/>
    <x v="0"/>
  </r>
  <r>
    <s v="21"/>
    <s v="card"/>
    <n v="35.76"/>
    <x v="0"/>
    <x v="2"/>
    <x v="3"/>
    <x v="7"/>
    <s v="1"/>
    <s v="10"/>
    <s v="2024-10-07"/>
    <d v="1899-12-30T21:40:49"/>
    <x v="0"/>
  </r>
  <r>
    <s v="8"/>
    <s v="card"/>
    <n v="35.76"/>
    <x v="0"/>
    <x v="0"/>
    <x v="4"/>
    <x v="7"/>
    <s v="2"/>
    <s v="10"/>
    <s v="2024-10-08"/>
    <d v="1899-12-30T08:11:51"/>
    <x v="0"/>
  </r>
  <r>
    <s v="9"/>
    <s v="card"/>
    <n v="30.86"/>
    <x v="3"/>
    <x v="0"/>
    <x v="4"/>
    <x v="7"/>
    <s v="2"/>
    <s v="10"/>
    <s v="2024-10-08"/>
    <d v="1899-12-30T09:05:14"/>
    <x v="0"/>
  </r>
  <r>
    <s v="10"/>
    <s v="card"/>
    <n v="25.96"/>
    <x v="2"/>
    <x v="0"/>
    <x v="4"/>
    <x v="7"/>
    <s v="2"/>
    <s v="10"/>
    <s v="2024-10-08"/>
    <d v="1899-12-30T10:22:31"/>
    <x v="0"/>
  </r>
  <r>
    <s v="10"/>
    <s v="card"/>
    <n v="35.76"/>
    <x v="0"/>
    <x v="0"/>
    <x v="4"/>
    <x v="7"/>
    <s v="2"/>
    <s v="10"/>
    <s v="2024-10-08"/>
    <d v="1899-12-30T10:27:09"/>
    <x v="0"/>
  </r>
  <r>
    <s v="11"/>
    <s v="card"/>
    <n v="35.76"/>
    <x v="0"/>
    <x v="0"/>
    <x v="4"/>
    <x v="7"/>
    <s v="2"/>
    <s v="10"/>
    <s v="2024-10-08"/>
    <d v="1899-12-30T11:30:10"/>
    <x v="0"/>
  </r>
  <r>
    <s v="12"/>
    <s v="card"/>
    <n v="25.96"/>
    <x v="2"/>
    <x v="1"/>
    <x v="4"/>
    <x v="7"/>
    <s v="2"/>
    <s v="10"/>
    <s v="2024-10-08"/>
    <d v="1899-12-30T12:48:05"/>
    <x v="0"/>
  </r>
  <r>
    <s v="12"/>
    <s v="card"/>
    <n v="25.96"/>
    <x v="2"/>
    <x v="1"/>
    <x v="4"/>
    <x v="7"/>
    <s v="2"/>
    <s v="10"/>
    <s v="2024-10-08"/>
    <d v="1899-12-30T12:49:05"/>
    <x v="0"/>
  </r>
  <r>
    <s v="13"/>
    <s v="card"/>
    <n v="35.76"/>
    <x v="0"/>
    <x v="1"/>
    <x v="4"/>
    <x v="7"/>
    <s v="2"/>
    <s v="10"/>
    <s v="2024-10-08"/>
    <d v="1899-12-30T13:04:01"/>
    <x v="0"/>
  </r>
  <r>
    <s v="13"/>
    <s v="card"/>
    <n v="35.76"/>
    <x v="0"/>
    <x v="1"/>
    <x v="4"/>
    <x v="7"/>
    <s v="2"/>
    <s v="10"/>
    <s v="2024-10-08"/>
    <d v="1899-12-30T13:04:59"/>
    <x v="0"/>
  </r>
  <r>
    <s v="14"/>
    <s v="card"/>
    <n v="35.76"/>
    <x v="0"/>
    <x v="1"/>
    <x v="4"/>
    <x v="7"/>
    <s v="2"/>
    <s v="10"/>
    <s v="2024-10-08"/>
    <d v="1899-12-30T14:42:52"/>
    <x v="0"/>
  </r>
  <r>
    <s v="15"/>
    <s v="card"/>
    <n v="35.76"/>
    <x v="0"/>
    <x v="1"/>
    <x v="4"/>
    <x v="7"/>
    <s v="2"/>
    <s v="10"/>
    <s v="2024-10-08"/>
    <d v="1899-12-30T15:13:41"/>
    <x v="0"/>
  </r>
  <r>
    <s v="15"/>
    <s v="card"/>
    <n v="25.96"/>
    <x v="2"/>
    <x v="1"/>
    <x v="4"/>
    <x v="7"/>
    <s v="2"/>
    <s v="10"/>
    <s v="2024-10-08"/>
    <d v="1899-12-30T15:19:52"/>
    <x v="0"/>
  </r>
  <r>
    <s v="15"/>
    <s v="card"/>
    <n v="30.86"/>
    <x v="3"/>
    <x v="1"/>
    <x v="4"/>
    <x v="7"/>
    <s v="2"/>
    <s v="10"/>
    <s v="2024-10-08"/>
    <d v="1899-12-30T15:50:43"/>
    <x v="0"/>
  </r>
  <r>
    <s v="20"/>
    <s v="card"/>
    <n v="35.76"/>
    <x v="1"/>
    <x v="2"/>
    <x v="4"/>
    <x v="7"/>
    <s v="2"/>
    <s v="10"/>
    <s v="2024-10-08"/>
    <d v="1899-12-30T20:40:40"/>
    <x v="0"/>
  </r>
  <r>
    <s v="20"/>
    <s v="card"/>
    <n v="35.76"/>
    <x v="7"/>
    <x v="2"/>
    <x v="4"/>
    <x v="7"/>
    <s v="2"/>
    <s v="10"/>
    <s v="2024-10-08"/>
    <d v="1899-12-30T20:41:33"/>
    <x v="0"/>
  </r>
  <r>
    <s v="20"/>
    <s v="card"/>
    <n v="35.76"/>
    <x v="0"/>
    <x v="2"/>
    <x v="4"/>
    <x v="7"/>
    <s v="2"/>
    <s v="10"/>
    <s v="2024-10-08"/>
    <d v="1899-12-30T20:51:09"/>
    <x v="0"/>
  </r>
  <r>
    <s v="21"/>
    <s v="card"/>
    <n v="30.86"/>
    <x v="3"/>
    <x v="2"/>
    <x v="4"/>
    <x v="7"/>
    <s v="2"/>
    <s v="10"/>
    <s v="2024-10-08"/>
    <d v="1899-12-30T21:24:32"/>
    <x v="0"/>
  </r>
  <r>
    <s v="21"/>
    <s v="card"/>
    <n v="30.86"/>
    <x v="3"/>
    <x v="2"/>
    <x v="4"/>
    <x v="7"/>
    <s v="2"/>
    <s v="10"/>
    <s v="2024-10-08"/>
    <d v="1899-12-30T21:25:32"/>
    <x v="0"/>
  </r>
  <r>
    <s v="7"/>
    <s v="card"/>
    <n v="35.76"/>
    <x v="0"/>
    <x v="0"/>
    <x v="5"/>
    <x v="7"/>
    <s v="3"/>
    <s v="10"/>
    <s v="2024-10-09"/>
    <d v="1899-12-30T07:54:43"/>
    <x v="0"/>
  </r>
  <r>
    <s v="8"/>
    <s v="card"/>
    <n v="30.86"/>
    <x v="3"/>
    <x v="0"/>
    <x v="5"/>
    <x v="7"/>
    <s v="3"/>
    <s v="10"/>
    <s v="2024-10-09"/>
    <d v="1899-12-30T08:25:58"/>
    <x v="0"/>
  </r>
  <r>
    <s v="9"/>
    <s v="card"/>
    <n v="30.86"/>
    <x v="3"/>
    <x v="0"/>
    <x v="5"/>
    <x v="7"/>
    <s v="3"/>
    <s v="10"/>
    <s v="2024-10-09"/>
    <d v="1899-12-30T09:43:21"/>
    <x v="0"/>
  </r>
  <r>
    <s v="9"/>
    <s v="card"/>
    <n v="35.76"/>
    <x v="0"/>
    <x v="0"/>
    <x v="5"/>
    <x v="7"/>
    <s v="3"/>
    <s v="10"/>
    <s v="2024-10-09"/>
    <d v="1899-12-30T09:59:40"/>
    <x v="0"/>
  </r>
  <r>
    <s v="10"/>
    <s v="card"/>
    <n v="21.06"/>
    <x v="6"/>
    <x v="0"/>
    <x v="5"/>
    <x v="7"/>
    <s v="3"/>
    <s v="10"/>
    <s v="2024-10-09"/>
    <d v="1899-12-30T10:37:57"/>
    <x v="0"/>
  </r>
  <r>
    <s v="11"/>
    <s v="card"/>
    <n v="25.96"/>
    <x v="2"/>
    <x v="0"/>
    <x v="5"/>
    <x v="7"/>
    <s v="3"/>
    <s v="10"/>
    <s v="2024-10-09"/>
    <d v="1899-12-30T11:18:02"/>
    <x v="0"/>
  </r>
  <r>
    <s v="13"/>
    <s v="card"/>
    <n v="35.76"/>
    <x v="0"/>
    <x v="1"/>
    <x v="5"/>
    <x v="7"/>
    <s v="3"/>
    <s v="10"/>
    <s v="2024-10-09"/>
    <d v="1899-12-30T13:03:09"/>
    <x v="0"/>
  </r>
  <r>
    <s v="13"/>
    <s v="card"/>
    <n v="30.86"/>
    <x v="3"/>
    <x v="1"/>
    <x v="5"/>
    <x v="7"/>
    <s v="3"/>
    <s v="10"/>
    <s v="2024-10-09"/>
    <d v="1899-12-30T13:52:35"/>
    <x v="0"/>
  </r>
  <r>
    <s v="17"/>
    <s v="card"/>
    <n v="35.76"/>
    <x v="7"/>
    <x v="2"/>
    <x v="5"/>
    <x v="7"/>
    <s v="3"/>
    <s v="10"/>
    <s v="2024-10-09"/>
    <d v="1899-12-30T17:26:44"/>
    <x v="0"/>
  </r>
  <r>
    <s v="17"/>
    <s v="card"/>
    <n v="25.96"/>
    <x v="2"/>
    <x v="2"/>
    <x v="5"/>
    <x v="7"/>
    <s v="3"/>
    <s v="10"/>
    <s v="2024-10-09"/>
    <d v="1899-12-30T17:27:49"/>
    <x v="0"/>
  </r>
  <r>
    <s v="17"/>
    <s v="card"/>
    <n v="21.06"/>
    <x v="6"/>
    <x v="2"/>
    <x v="5"/>
    <x v="7"/>
    <s v="3"/>
    <s v="10"/>
    <s v="2024-10-09"/>
    <d v="1899-12-30T17:50:00"/>
    <x v="0"/>
  </r>
  <r>
    <s v="20"/>
    <s v="card"/>
    <n v="35.76"/>
    <x v="7"/>
    <x v="2"/>
    <x v="5"/>
    <x v="7"/>
    <s v="3"/>
    <s v="10"/>
    <s v="2024-10-09"/>
    <d v="1899-12-30T20:49:13"/>
    <x v="0"/>
  </r>
  <r>
    <s v="8"/>
    <s v="card"/>
    <n v="25.96"/>
    <x v="2"/>
    <x v="0"/>
    <x v="6"/>
    <x v="7"/>
    <s v="4"/>
    <s v="10"/>
    <s v="2024-10-10"/>
    <d v="1899-12-30T08:48:07"/>
    <x v="0"/>
  </r>
  <r>
    <s v="9"/>
    <s v="card"/>
    <n v="30.86"/>
    <x v="3"/>
    <x v="0"/>
    <x v="6"/>
    <x v="7"/>
    <s v="4"/>
    <s v="10"/>
    <s v="2024-10-10"/>
    <d v="1899-12-30T09:23:20"/>
    <x v="0"/>
  </r>
  <r>
    <s v="9"/>
    <s v="card"/>
    <n v="35.76"/>
    <x v="1"/>
    <x v="0"/>
    <x v="6"/>
    <x v="7"/>
    <s v="4"/>
    <s v="10"/>
    <s v="2024-10-10"/>
    <d v="1899-12-30T09:51:44"/>
    <x v="0"/>
  </r>
  <r>
    <s v="10"/>
    <s v="card"/>
    <n v="35.76"/>
    <x v="0"/>
    <x v="0"/>
    <x v="6"/>
    <x v="7"/>
    <s v="4"/>
    <s v="10"/>
    <s v="2024-10-10"/>
    <d v="1899-12-30T10:05:09"/>
    <x v="0"/>
  </r>
  <r>
    <s v="10"/>
    <s v="card"/>
    <n v="25.96"/>
    <x v="5"/>
    <x v="0"/>
    <x v="6"/>
    <x v="7"/>
    <s v="4"/>
    <s v="10"/>
    <s v="2024-10-10"/>
    <d v="1899-12-30T10:42:43"/>
    <x v="0"/>
  </r>
  <r>
    <s v="10"/>
    <s v="card"/>
    <n v="25.96"/>
    <x v="5"/>
    <x v="0"/>
    <x v="6"/>
    <x v="7"/>
    <s v="4"/>
    <s v="10"/>
    <s v="2024-10-10"/>
    <d v="1899-12-30T10:43:30"/>
    <x v="0"/>
  </r>
  <r>
    <s v="10"/>
    <s v="card"/>
    <n v="35.76"/>
    <x v="0"/>
    <x v="0"/>
    <x v="6"/>
    <x v="7"/>
    <s v="4"/>
    <s v="10"/>
    <s v="2024-10-10"/>
    <d v="1899-12-30T10:55:33"/>
    <x v="0"/>
  </r>
  <r>
    <s v="11"/>
    <s v="card"/>
    <n v="35.76"/>
    <x v="0"/>
    <x v="0"/>
    <x v="6"/>
    <x v="7"/>
    <s v="4"/>
    <s v="10"/>
    <s v="2024-10-10"/>
    <d v="1899-12-30T11:04:19"/>
    <x v="0"/>
  </r>
  <r>
    <s v="15"/>
    <s v="card"/>
    <n v="35.76"/>
    <x v="7"/>
    <x v="1"/>
    <x v="6"/>
    <x v="7"/>
    <s v="4"/>
    <s v="10"/>
    <s v="2024-10-10"/>
    <d v="1899-12-30T15:05:43"/>
    <x v="0"/>
  </r>
  <r>
    <s v="17"/>
    <s v="card"/>
    <n v="35.76"/>
    <x v="0"/>
    <x v="2"/>
    <x v="6"/>
    <x v="7"/>
    <s v="4"/>
    <s v="10"/>
    <s v="2024-10-10"/>
    <d v="1899-12-30T17:40:44"/>
    <x v="0"/>
  </r>
  <r>
    <s v="18"/>
    <s v="card"/>
    <n v="25.96"/>
    <x v="2"/>
    <x v="2"/>
    <x v="6"/>
    <x v="7"/>
    <s v="4"/>
    <s v="10"/>
    <s v="2024-10-10"/>
    <d v="1899-12-30T18:18:33"/>
    <x v="0"/>
  </r>
  <r>
    <s v="18"/>
    <s v="card"/>
    <n v="30.86"/>
    <x v="3"/>
    <x v="2"/>
    <x v="6"/>
    <x v="7"/>
    <s v="4"/>
    <s v="10"/>
    <s v="2024-10-10"/>
    <d v="1899-12-30T18:56:31"/>
    <x v="0"/>
  </r>
  <r>
    <s v="18"/>
    <s v="card"/>
    <n v="35.76"/>
    <x v="0"/>
    <x v="2"/>
    <x v="6"/>
    <x v="7"/>
    <s v="4"/>
    <s v="10"/>
    <s v="2024-10-10"/>
    <d v="1899-12-30T18:57:35"/>
    <x v="0"/>
  </r>
  <r>
    <s v="22"/>
    <s v="card"/>
    <n v="35.76"/>
    <x v="1"/>
    <x v="2"/>
    <x v="6"/>
    <x v="7"/>
    <s v="4"/>
    <s v="10"/>
    <s v="2024-10-10"/>
    <d v="1899-12-30T22:33:17"/>
    <x v="0"/>
  </r>
  <r>
    <s v="22"/>
    <s v="card"/>
    <n v="35.76"/>
    <x v="1"/>
    <x v="2"/>
    <x v="6"/>
    <x v="7"/>
    <s v="4"/>
    <s v="10"/>
    <s v="2024-10-10"/>
    <d v="1899-12-30T22:34:00"/>
    <x v="0"/>
  </r>
  <r>
    <s v="7"/>
    <s v="card"/>
    <n v="30.86"/>
    <x v="3"/>
    <x v="0"/>
    <x v="0"/>
    <x v="7"/>
    <s v="5"/>
    <s v="10"/>
    <s v="2024-10-11"/>
    <d v="1899-12-30T07:54:52"/>
    <x v="0"/>
  </r>
  <r>
    <s v="8"/>
    <s v="card"/>
    <n v="35.76"/>
    <x v="0"/>
    <x v="0"/>
    <x v="0"/>
    <x v="7"/>
    <s v="5"/>
    <s v="10"/>
    <s v="2024-10-11"/>
    <d v="1899-12-30T08:00:51"/>
    <x v="0"/>
  </r>
  <r>
    <s v="8"/>
    <s v="card"/>
    <n v="25.96"/>
    <x v="5"/>
    <x v="0"/>
    <x v="0"/>
    <x v="7"/>
    <s v="5"/>
    <s v="10"/>
    <s v="2024-10-11"/>
    <d v="1899-12-30T08:12:20"/>
    <x v="0"/>
  </r>
  <r>
    <s v="8"/>
    <s v="card"/>
    <n v="35.76"/>
    <x v="0"/>
    <x v="0"/>
    <x v="0"/>
    <x v="7"/>
    <s v="5"/>
    <s v="10"/>
    <s v="2024-10-11"/>
    <d v="1899-12-30T08:28:19"/>
    <x v="0"/>
  </r>
  <r>
    <s v="8"/>
    <s v="card"/>
    <n v="35.76"/>
    <x v="4"/>
    <x v="0"/>
    <x v="0"/>
    <x v="7"/>
    <s v="5"/>
    <s v="10"/>
    <s v="2024-10-11"/>
    <d v="1899-12-30T08:29:22"/>
    <x v="0"/>
  </r>
  <r>
    <s v="8"/>
    <s v="card"/>
    <n v="35.76"/>
    <x v="4"/>
    <x v="0"/>
    <x v="0"/>
    <x v="7"/>
    <s v="5"/>
    <s v="10"/>
    <s v="2024-10-11"/>
    <d v="1899-12-30T08:55:44"/>
    <x v="0"/>
  </r>
  <r>
    <s v="8"/>
    <s v="card"/>
    <n v="30.86"/>
    <x v="3"/>
    <x v="0"/>
    <x v="0"/>
    <x v="7"/>
    <s v="5"/>
    <s v="10"/>
    <s v="2024-10-11"/>
    <d v="1899-12-30T08:56:59"/>
    <x v="0"/>
  </r>
  <r>
    <s v="8"/>
    <s v="card"/>
    <n v="35.76"/>
    <x v="1"/>
    <x v="0"/>
    <x v="0"/>
    <x v="7"/>
    <s v="5"/>
    <s v="10"/>
    <s v="2024-10-11"/>
    <d v="1899-12-30T08:58:09"/>
    <x v="0"/>
  </r>
  <r>
    <s v="9"/>
    <s v="card"/>
    <n v="30.86"/>
    <x v="3"/>
    <x v="0"/>
    <x v="0"/>
    <x v="7"/>
    <s v="5"/>
    <s v="10"/>
    <s v="2024-10-11"/>
    <d v="1899-12-30T09:31:42"/>
    <x v="0"/>
  </r>
  <r>
    <s v="9"/>
    <s v="card"/>
    <n v="25.96"/>
    <x v="5"/>
    <x v="0"/>
    <x v="0"/>
    <x v="7"/>
    <s v="5"/>
    <s v="10"/>
    <s v="2024-10-11"/>
    <d v="1899-12-30T09:38:47"/>
    <x v="0"/>
  </r>
  <r>
    <s v="10"/>
    <s v="card"/>
    <n v="25.96"/>
    <x v="2"/>
    <x v="0"/>
    <x v="0"/>
    <x v="7"/>
    <s v="5"/>
    <s v="10"/>
    <s v="2024-10-11"/>
    <d v="1899-12-30T10:00:40"/>
    <x v="0"/>
  </r>
  <r>
    <s v="10"/>
    <s v="card"/>
    <n v="25.96"/>
    <x v="2"/>
    <x v="0"/>
    <x v="0"/>
    <x v="7"/>
    <s v="5"/>
    <s v="10"/>
    <s v="2024-10-11"/>
    <d v="1899-12-30T10:01:55"/>
    <x v="0"/>
  </r>
  <r>
    <s v="10"/>
    <s v="card"/>
    <n v="30.86"/>
    <x v="3"/>
    <x v="0"/>
    <x v="0"/>
    <x v="7"/>
    <s v="5"/>
    <s v="10"/>
    <s v="2024-10-11"/>
    <d v="1899-12-30T10:30:36"/>
    <x v="0"/>
  </r>
  <r>
    <s v="13"/>
    <s v="card"/>
    <n v="35.76"/>
    <x v="0"/>
    <x v="1"/>
    <x v="0"/>
    <x v="7"/>
    <s v="5"/>
    <s v="10"/>
    <s v="2024-10-11"/>
    <d v="1899-12-30T13:05:01"/>
    <x v="0"/>
  </r>
  <r>
    <s v="13"/>
    <s v="card"/>
    <n v="25.96"/>
    <x v="2"/>
    <x v="1"/>
    <x v="0"/>
    <x v="7"/>
    <s v="5"/>
    <s v="10"/>
    <s v="2024-10-11"/>
    <d v="1899-12-30T13:29:02"/>
    <x v="0"/>
  </r>
  <r>
    <s v="13"/>
    <s v="card"/>
    <n v="25.96"/>
    <x v="2"/>
    <x v="1"/>
    <x v="0"/>
    <x v="7"/>
    <s v="5"/>
    <s v="10"/>
    <s v="2024-10-11"/>
    <d v="1899-12-30T13:30:09"/>
    <x v="0"/>
  </r>
  <r>
    <s v="14"/>
    <s v="card"/>
    <n v="35.76"/>
    <x v="4"/>
    <x v="1"/>
    <x v="0"/>
    <x v="7"/>
    <s v="5"/>
    <s v="10"/>
    <s v="2024-10-11"/>
    <d v="1899-12-30T14:33:41"/>
    <x v="0"/>
  </r>
  <r>
    <s v="14"/>
    <s v="card"/>
    <n v="25.96"/>
    <x v="2"/>
    <x v="1"/>
    <x v="0"/>
    <x v="7"/>
    <s v="5"/>
    <s v="10"/>
    <s v="2024-10-11"/>
    <d v="1899-12-30T14:35:29"/>
    <x v="0"/>
  </r>
  <r>
    <s v="14"/>
    <s v="card"/>
    <n v="35.76"/>
    <x v="7"/>
    <x v="1"/>
    <x v="0"/>
    <x v="7"/>
    <s v="5"/>
    <s v="10"/>
    <s v="2024-10-11"/>
    <d v="1899-12-30T14:50:09"/>
    <x v="0"/>
  </r>
  <r>
    <s v="17"/>
    <s v="card"/>
    <n v="35.76"/>
    <x v="0"/>
    <x v="2"/>
    <x v="0"/>
    <x v="7"/>
    <s v="5"/>
    <s v="10"/>
    <s v="2024-10-11"/>
    <d v="1899-12-30T17:12:07"/>
    <x v="0"/>
  </r>
  <r>
    <s v="17"/>
    <s v="card"/>
    <n v="35.76"/>
    <x v="1"/>
    <x v="2"/>
    <x v="0"/>
    <x v="7"/>
    <s v="5"/>
    <s v="10"/>
    <s v="2024-10-11"/>
    <d v="1899-12-30T17:13:22"/>
    <x v="0"/>
  </r>
  <r>
    <s v="17"/>
    <s v="card"/>
    <n v="35.76"/>
    <x v="1"/>
    <x v="2"/>
    <x v="0"/>
    <x v="7"/>
    <s v="5"/>
    <s v="10"/>
    <s v="2024-10-11"/>
    <d v="1899-12-30T17:26:11"/>
    <x v="0"/>
  </r>
  <r>
    <s v="21"/>
    <s v="card"/>
    <n v="35.76"/>
    <x v="0"/>
    <x v="2"/>
    <x v="0"/>
    <x v="7"/>
    <s v="5"/>
    <s v="10"/>
    <s v="2024-10-11"/>
    <d v="1899-12-30T21:48:38"/>
    <x v="0"/>
  </r>
  <r>
    <s v="21"/>
    <s v="card"/>
    <n v="30.86"/>
    <x v="3"/>
    <x v="2"/>
    <x v="0"/>
    <x v="7"/>
    <s v="5"/>
    <s v="10"/>
    <s v="2024-10-11"/>
    <d v="1899-12-30T21:53:54"/>
    <x v="0"/>
  </r>
  <r>
    <s v="22"/>
    <s v="card"/>
    <n v="35.76"/>
    <x v="1"/>
    <x v="2"/>
    <x v="0"/>
    <x v="7"/>
    <s v="5"/>
    <s v="10"/>
    <s v="2024-10-11"/>
    <d v="1899-12-30T22:36:28"/>
    <x v="0"/>
  </r>
  <r>
    <s v="22"/>
    <s v="card"/>
    <n v="35.76"/>
    <x v="1"/>
    <x v="2"/>
    <x v="0"/>
    <x v="7"/>
    <s v="5"/>
    <s v="10"/>
    <s v="2024-10-11"/>
    <d v="1899-12-30T22:37:27"/>
    <x v="0"/>
  </r>
  <r>
    <s v="8"/>
    <s v="card"/>
    <n v="25.96"/>
    <x v="5"/>
    <x v="0"/>
    <x v="1"/>
    <x v="7"/>
    <s v="6"/>
    <s v="10"/>
    <s v="2024-10-12"/>
    <d v="1899-12-30T08:28:16"/>
    <x v="0"/>
  </r>
  <r>
    <s v="10"/>
    <s v="card"/>
    <n v="25.96"/>
    <x v="5"/>
    <x v="0"/>
    <x v="1"/>
    <x v="7"/>
    <s v="6"/>
    <s v="10"/>
    <s v="2024-10-12"/>
    <d v="1899-12-30T10:31:39"/>
    <x v="0"/>
  </r>
  <r>
    <s v="10"/>
    <s v="card"/>
    <n v="25.96"/>
    <x v="5"/>
    <x v="0"/>
    <x v="1"/>
    <x v="7"/>
    <s v="6"/>
    <s v="10"/>
    <s v="2024-10-12"/>
    <d v="1899-12-30T10:32:56"/>
    <x v="0"/>
  </r>
  <r>
    <s v="11"/>
    <s v="card"/>
    <n v="35.76"/>
    <x v="0"/>
    <x v="0"/>
    <x v="1"/>
    <x v="7"/>
    <s v="6"/>
    <s v="10"/>
    <s v="2024-10-12"/>
    <d v="1899-12-30T11:52:15"/>
    <x v="0"/>
  </r>
  <r>
    <s v="11"/>
    <s v="card"/>
    <n v="30.86"/>
    <x v="3"/>
    <x v="0"/>
    <x v="1"/>
    <x v="7"/>
    <s v="6"/>
    <s v="10"/>
    <s v="2024-10-12"/>
    <d v="1899-12-30T11:53:41"/>
    <x v="0"/>
  </r>
  <r>
    <s v="13"/>
    <s v="card"/>
    <n v="35.76"/>
    <x v="7"/>
    <x v="1"/>
    <x v="1"/>
    <x v="7"/>
    <s v="6"/>
    <s v="10"/>
    <s v="2024-10-12"/>
    <d v="1899-12-30T13:18:47"/>
    <x v="0"/>
  </r>
  <r>
    <s v="20"/>
    <s v="card"/>
    <n v="35.76"/>
    <x v="0"/>
    <x v="2"/>
    <x v="1"/>
    <x v="7"/>
    <s v="6"/>
    <s v="10"/>
    <s v="2024-10-12"/>
    <d v="1899-12-30T20:10:54"/>
    <x v="0"/>
  </r>
  <r>
    <s v="9"/>
    <s v="card"/>
    <n v="25.96"/>
    <x v="5"/>
    <x v="0"/>
    <x v="2"/>
    <x v="7"/>
    <s v="7"/>
    <s v="10"/>
    <s v="2024-10-13"/>
    <d v="1899-12-30T09:54:55"/>
    <x v="0"/>
  </r>
  <r>
    <s v="12"/>
    <s v="card"/>
    <n v="30.86"/>
    <x v="3"/>
    <x v="1"/>
    <x v="2"/>
    <x v="7"/>
    <s v="7"/>
    <s v="10"/>
    <s v="2024-10-13"/>
    <d v="1899-12-30T12:20:47"/>
    <x v="0"/>
  </r>
  <r>
    <s v="13"/>
    <s v="card"/>
    <n v="25.96"/>
    <x v="5"/>
    <x v="1"/>
    <x v="2"/>
    <x v="7"/>
    <s v="7"/>
    <s v="10"/>
    <s v="2024-10-13"/>
    <d v="1899-12-30T13:32:30"/>
    <x v="0"/>
  </r>
  <r>
    <s v="13"/>
    <s v="card"/>
    <n v="21.06"/>
    <x v="6"/>
    <x v="1"/>
    <x v="2"/>
    <x v="7"/>
    <s v="7"/>
    <s v="10"/>
    <s v="2024-10-13"/>
    <d v="1899-12-30T13:33:29"/>
    <x v="0"/>
  </r>
  <r>
    <s v="13"/>
    <s v="card"/>
    <n v="25.96"/>
    <x v="5"/>
    <x v="1"/>
    <x v="2"/>
    <x v="7"/>
    <s v="7"/>
    <s v="10"/>
    <s v="2024-10-13"/>
    <d v="1899-12-30T13:34:26"/>
    <x v="0"/>
  </r>
  <r>
    <s v="17"/>
    <s v="card"/>
    <n v="35.76"/>
    <x v="0"/>
    <x v="2"/>
    <x v="2"/>
    <x v="7"/>
    <s v="7"/>
    <s v="10"/>
    <s v="2024-10-13"/>
    <d v="1899-12-30T17:53:21"/>
    <x v="0"/>
  </r>
  <r>
    <s v="17"/>
    <s v="card"/>
    <n v="35.76"/>
    <x v="0"/>
    <x v="2"/>
    <x v="2"/>
    <x v="7"/>
    <s v="7"/>
    <s v="10"/>
    <s v="2024-10-13"/>
    <d v="1899-12-30T17:54:22"/>
    <x v="0"/>
  </r>
  <r>
    <s v="18"/>
    <s v="card"/>
    <n v="35.76"/>
    <x v="7"/>
    <x v="2"/>
    <x v="2"/>
    <x v="7"/>
    <s v="7"/>
    <s v="10"/>
    <s v="2024-10-13"/>
    <d v="1899-12-30T18:22:59"/>
    <x v="0"/>
  </r>
  <r>
    <s v="20"/>
    <s v="card"/>
    <n v="35.76"/>
    <x v="7"/>
    <x v="2"/>
    <x v="2"/>
    <x v="7"/>
    <s v="7"/>
    <s v="10"/>
    <s v="2024-10-13"/>
    <d v="1899-12-30T20:43:05"/>
    <x v="0"/>
  </r>
  <r>
    <s v="8"/>
    <s v="card"/>
    <n v="30.86"/>
    <x v="3"/>
    <x v="0"/>
    <x v="3"/>
    <x v="7"/>
    <s v="1"/>
    <s v="10"/>
    <s v="2024-10-14"/>
    <d v="1899-12-30T08:26:55"/>
    <x v="0"/>
  </r>
  <r>
    <s v="9"/>
    <s v="card"/>
    <n v="35.76"/>
    <x v="4"/>
    <x v="0"/>
    <x v="3"/>
    <x v="7"/>
    <s v="1"/>
    <s v="10"/>
    <s v="2024-10-14"/>
    <d v="1899-12-30T09:49:55"/>
    <x v="0"/>
  </r>
  <r>
    <s v="10"/>
    <s v="card"/>
    <n v="25.96"/>
    <x v="5"/>
    <x v="0"/>
    <x v="3"/>
    <x v="7"/>
    <s v="1"/>
    <s v="10"/>
    <s v="2024-10-14"/>
    <d v="1899-12-30T10:27:51"/>
    <x v="0"/>
  </r>
  <r>
    <s v="10"/>
    <s v="card"/>
    <n v="35.76"/>
    <x v="0"/>
    <x v="0"/>
    <x v="3"/>
    <x v="7"/>
    <s v="1"/>
    <s v="10"/>
    <s v="2024-10-14"/>
    <d v="1899-12-30T10:38:07"/>
    <x v="0"/>
  </r>
  <r>
    <s v="10"/>
    <s v="card"/>
    <n v="35.76"/>
    <x v="0"/>
    <x v="0"/>
    <x v="3"/>
    <x v="7"/>
    <s v="1"/>
    <s v="10"/>
    <s v="2024-10-14"/>
    <d v="1899-12-30T10:39:14"/>
    <x v="0"/>
  </r>
  <r>
    <s v="11"/>
    <s v="card"/>
    <n v="35.76"/>
    <x v="7"/>
    <x v="0"/>
    <x v="3"/>
    <x v="7"/>
    <s v="1"/>
    <s v="10"/>
    <s v="2024-10-14"/>
    <d v="1899-12-30T11:23:51"/>
    <x v="0"/>
  </r>
  <r>
    <s v="11"/>
    <s v="card"/>
    <n v="25.96"/>
    <x v="2"/>
    <x v="0"/>
    <x v="3"/>
    <x v="7"/>
    <s v="1"/>
    <s v="10"/>
    <s v="2024-10-14"/>
    <d v="1899-12-30T11:25:37"/>
    <x v="0"/>
  </r>
  <r>
    <s v="11"/>
    <s v="card"/>
    <n v="25.96"/>
    <x v="2"/>
    <x v="0"/>
    <x v="3"/>
    <x v="7"/>
    <s v="1"/>
    <s v="10"/>
    <s v="2024-10-14"/>
    <d v="1899-12-30T11:26:45"/>
    <x v="0"/>
  </r>
  <r>
    <s v="14"/>
    <s v="card"/>
    <n v="35.76"/>
    <x v="0"/>
    <x v="1"/>
    <x v="3"/>
    <x v="7"/>
    <s v="1"/>
    <s v="10"/>
    <s v="2024-10-14"/>
    <d v="1899-12-30T14:36:07"/>
    <x v="0"/>
  </r>
  <r>
    <s v="14"/>
    <s v="card"/>
    <n v="35.76"/>
    <x v="0"/>
    <x v="1"/>
    <x v="3"/>
    <x v="7"/>
    <s v="1"/>
    <s v="10"/>
    <s v="2024-10-14"/>
    <d v="1899-12-30T14:49:51"/>
    <x v="0"/>
  </r>
  <r>
    <s v="16"/>
    <s v="card"/>
    <n v="25.96"/>
    <x v="2"/>
    <x v="1"/>
    <x v="3"/>
    <x v="7"/>
    <s v="1"/>
    <s v="10"/>
    <s v="2024-10-14"/>
    <d v="1899-12-30T16:37:47"/>
    <x v="0"/>
  </r>
  <r>
    <s v="18"/>
    <s v="card"/>
    <n v="35.76"/>
    <x v="0"/>
    <x v="2"/>
    <x v="3"/>
    <x v="7"/>
    <s v="1"/>
    <s v="10"/>
    <s v="2024-10-14"/>
    <d v="1899-12-30T18:19:19"/>
    <x v="0"/>
  </r>
  <r>
    <s v="18"/>
    <s v="card"/>
    <n v="35.76"/>
    <x v="7"/>
    <x v="2"/>
    <x v="3"/>
    <x v="7"/>
    <s v="1"/>
    <s v="10"/>
    <s v="2024-10-14"/>
    <d v="1899-12-30T18:20:21"/>
    <x v="0"/>
  </r>
  <r>
    <s v="22"/>
    <s v="card"/>
    <n v="35.76"/>
    <x v="0"/>
    <x v="2"/>
    <x v="3"/>
    <x v="7"/>
    <s v="1"/>
    <s v="10"/>
    <s v="2024-10-14"/>
    <d v="1899-12-30T22:08:54"/>
    <x v="0"/>
  </r>
  <r>
    <s v="22"/>
    <s v="card"/>
    <n v="35.76"/>
    <x v="0"/>
    <x v="2"/>
    <x v="3"/>
    <x v="7"/>
    <s v="1"/>
    <s v="10"/>
    <s v="2024-10-14"/>
    <d v="1899-12-30T22:10:24"/>
    <x v="0"/>
  </r>
  <r>
    <s v="22"/>
    <s v="card"/>
    <n v="35.76"/>
    <x v="0"/>
    <x v="2"/>
    <x v="3"/>
    <x v="7"/>
    <s v="1"/>
    <s v="10"/>
    <s v="2024-10-14"/>
    <d v="1899-12-30T22:21:54"/>
    <x v="0"/>
  </r>
  <r>
    <s v="8"/>
    <s v="card"/>
    <n v="25.96"/>
    <x v="5"/>
    <x v="0"/>
    <x v="4"/>
    <x v="7"/>
    <s v="2"/>
    <s v="10"/>
    <s v="2024-10-15"/>
    <d v="1899-12-30T08:14:29"/>
    <x v="0"/>
  </r>
  <r>
    <s v="8"/>
    <s v="card"/>
    <n v="21.06"/>
    <x v="6"/>
    <x v="0"/>
    <x v="4"/>
    <x v="7"/>
    <s v="2"/>
    <s v="10"/>
    <s v="2024-10-15"/>
    <d v="1899-12-30T08:34:18"/>
    <x v="0"/>
  </r>
  <r>
    <s v="11"/>
    <s v="card"/>
    <n v="35.76"/>
    <x v="1"/>
    <x v="0"/>
    <x v="4"/>
    <x v="7"/>
    <s v="2"/>
    <s v="10"/>
    <s v="2024-10-15"/>
    <d v="1899-12-30T11:13:22"/>
    <x v="0"/>
  </r>
  <r>
    <s v="11"/>
    <s v="card"/>
    <n v="35.76"/>
    <x v="0"/>
    <x v="0"/>
    <x v="4"/>
    <x v="7"/>
    <s v="2"/>
    <s v="10"/>
    <s v="2024-10-15"/>
    <d v="1899-12-30T11:15:21"/>
    <x v="0"/>
  </r>
  <r>
    <s v="11"/>
    <s v="card"/>
    <n v="35.76"/>
    <x v="1"/>
    <x v="0"/>
    <x v="4"/>
    <x v="7"/>
    <s v="2"/>
    <s v="10"/>
    <s v="2024-10-15"/>
    <d v="1899-12-30T11:16:27"/>
    <x v="0"/>
  </r>
  <r>
    <s v="13"/>
    <s v="card"/>
    <n v="35.76"/>
    <x v="0"/>
    <x v="1"/>
    <x v="4"/>
    <x v="7"/>
    <s v="2"/>
    <s v="10"/>
    <s v="2024-10-15"/>
    <d v="1899-12-30T13:00:43"/>
    <x v="0"/>
  </r>
  <r>
    <s v="13"/>
    <s v="card"/>
    <n v="30.86"/>
    <x v="3"/>
    <x v="1"/>
    <x v="4"/>
    <x v="7"/>
    <s v="2"/>
    <s v="10"/>
    <s v="2024-10-15"/>
    <d v="1899-12-30T13:15:45"/>
    <x v="0"/>
  </r>
  <r>
    <s v="15"/>
    <s v="card"/>
    <n v="35.76"/>
    <x v="0"/>
    <x v="1"/>
    <x v="4"/>
    <x v="7"/>
    <s v="2"/>
    <s v="10"/>
    <s v="2024-10-15"/>
    <d v="1899-12-30T15:32:11"/>
    <x v="0"/>
  </r>
  <r>
    <s v="15"/>
    <s v="card"/>
    <n v="25.96"/>
    <x v="2"/>
    <x v="1"/>
    <x v="4"/>
    <x v="7"/>
    <s v="2"/>
    <s v="10"/>
    <s v="2024-10-15"/>
    <d v="1899-12-30T15:54:17"/>
    <x v="0"/>
  </r>
  <r>
    <s v="15"/>
    <s v="card"/>
    <n v="21.06"/>
    <x v="6"/>
    <x v="1"/>
    <x v="4"/>
    <x v="7"/>
    <s v="2"/>
    <s v="10"/>
    <s v="2024-10-15"/>
    <d v="1899-12-30T15:55:19"/>
    <x v="0"/>
  </r>
  <r>
    <s v="17"/>
    <s v="card"/>
    <n v="35.76"/>
    <x v="1"/>
    <x v="2"/>
    <x v="4"/>
    <x v="7"/>
    <s v="2"/>
    <s v="10"/>
    <s v="2024-10-15"/>
    <d v="1899-12-30T17:04:11"/>
    <x v="0"/>
  </r>
  <r>
    <s v="19"/>
    <s v="card"/>
    <n v="25.96"/>
    <x v="2"/>
    <x v="2"/>
    <x v="4"/>
    <x v="7"/>
    <s v="2"/>
    <s v="10"/>
    <s v="2024-10-15"/>
    <d v="1899-12-30T19:22:21"/>
    <x v="0"/>
  </r>
  <r>
    <s v="19"/>
    <s v="card"/>
    <n v="35.76"/>
    <x v="4"/>
    <x v="2"/>
    <x v="4"/>
    <x v="7"/>
    <s v="2"/>
    <s v="10"/>
    <s v="2024-10-15"/>
    <d v="1899-12-30T19:23:17"/>
    <x v="0"/>
  </r>
  <r>
    <s v="20"/>
    <s v="card"/>
    <n v="35.76"/>
    <x v="0"/>
    <x v="2"/>
    <x v="4"/>
    <x v="7"/>
    <s v="2"/>
    <s v="10"/>
    <s v="2024-10-15"/>
    <d v="1899-12-30T20:11:15"/>
    <x v="0"/>
  </r>
  <r>
    <s v="20"/>
    <s v="card"/>
    <n v="35.76"/>
    <x v="0"/>
    <x v="2"/>
    <x v="4"/>
    <x v="7"/>
    <s v="2"/>
    <s v="10"/>
    <s v="2024-10-15"/>
    <d v="1899-12-30T20:12:29"/>
    <x v="0"/>
  </r>
  <r>
    <s v="21"/>
    <s v="card"/>
    <n v="35.76"/>
    <x v="1"/>
    <x v="2"/>
    <x v="4"/>
    <x v="7"/>
    <s v="2"/>
    <s v="10"/>
    <s v="2024-10-15"/>
    <d v="1899-12-30T21:18:08"/>
    <x v="0"/>
  </r>
  <r>
    <s v="21"/>
    <s v="card"/>
    <n v="35.76"/>
    <x v="1"/>
    <x v="2"/>
    <x v="4"/>
    <x v="7"/>
    <s v="2"/>
    <s v="10"/>
    <s v="2024-10-15"/>
    <d v="1899-12-30T21:35:20"/>
    <x v="0"/>
  </r>
  <r>
    <s v="22"/>
    <s v="card"/>
    <n v="35.76"/>
    <x v="0"/>
    <x v="2"/>
    <x v="4"/>
    <x v="7"/>
    <s v="2"/>
    <s v="10"/>
    <s v="2024-10-15"/>
    <d v="1899-12-30T22:15:20"/>
    <x v="0"/>
  </r>
  <r>
    <s v="8"/>
    <s v="card"/>
    <n v="30.86"/>
    <x v="3"/>
    <x v="0"/>
    <x v="5"/>
    <x v="7"/>
    <s v="3"/>
    <s v="10"/>
    <s v="2024-10-16"/>
    <d v="1899-12-30T08:21:26"/>
    <x v="0"/>
  </r>
  <r>
    <s v="8"/>
    <s v="card"/>
    <n v="35.76"/>
    <x v="1"/>
    <x v="0"/>
    <x v="5"/>
    <x v="7"/>
    <s v="3"/>
    <s v="10"/>
    <s v="2024-10-16"/>
    <d v="1899-12-30T08:36:24"/>
    <x v="0"/>
  </r>
  <r>
    <s v="9"/>
    <s v="card"/>
    <n v="35.76"/>
    <x v="0"/>
    <x v="0"/>
    <x v="5"/>
    <x v="7"/>
    <s v="3"/>
    <s v="10"/>
    <s v="2024-10-16"/>
    <d v="1899-12-30T09:25:51"/>
    <x v="0"/>
  </r>
  <r>
    <s v="10"/>
    <s v="card"/>
    <n v="30.86"/>
    <x v="3"/>
    <x v="0"/>
    <x v="5"/>
    <x v="7"/>
    <s v="3"/>
    <s v="10"/>
    <s v="2024-10-16"/>
    <d v="1899-12-30T10:15:48"/>
    <x v="0"/>
  </r>
  <r>
    <s v="10"/>
    <s v="card"/>
    <n v="30.86"/>
    <x v="3"/>
    <x v="0"/>
    <x v="5"/>
    <x v="7"/>
    <s v="3"/>
    <s v="10"/>
    <s v="2024-10-16"/>
    <d v="1899-12-30T10:16:54"/>
    <x v="0"/>
  </r>
  <r>
    <s v="10"/>
    <s v="card"/>
    <n v="30.86"/>
    <x v="3"/>
    <x v="0"/>
    <x v="5"/>
    <x v="7"/>
    <s v="3"/>
    <s v="10"/>
    <s v="2024-10-16"/>
    <d v="1899-12-30T10:45:25"/>
    <x v="0"/>
  </r>
  <r>
    <s v="11"/>
    <s v="card"/>
    <n v="25.96"/>
    <x v="2"/>
    <x v="0"/>
    <x v="5"/>
    <x v="7"/>
    <s v="3"/>
    <s v="10"/>
    <s v="2024-10-16"/>
    <d v="1899-12-30T11:49:45"/>
    <x v="0"/>
  </r>
  <r>
    <s v="12"/>
    <s v="card"/>
    <n v="30.86"/>
    <x v="3"/>
    <x v="1"/>
    <x v="5"/>
    <x v="7"/>
    <s v="3"/>
    <s v="10"/>
    <s v="2024-10-16"/>
    <d v="1899-12-30T12:29:44"/>
    <x v="0"/>
  </r>
  <r>
    <s v="13"/>
    <s v="card"/>
    <n v="25.96"/>
    <x v="2"/>
    <x v="1"/>
    <x v="5"/>
    <x v="7"/>
    <s v="3"/>
    <s v="10"/>
    <s v="2024-10-16"/>
    <d v="1899-12-30T13:20:10"/>
    <x v="0"/>
  </r>
  <r>
    <s v="16"/>
    <s v="card"/>
    <n v="35.76"/>
    <x v="0"/>
    <x v="1"/>
    <x v="5"/>
    <x v="7"/>
    <s v="3"/>
    <s v="10"/>
    <s v="2024-10-16"/>
    <d v="1899-12-30T16:45:30"/>
    <x v="0"/>
  </r>
  <r>
    <s v="17"/>
    <s v="card"/>
    <n v="30.86"/>
    <x v="3"/>
    <x v="2"/>
    <x v="5"/>
    <x v="7"/>
    <s v="3"/>
    <s v="10"/>
    <s v="2024-10-16"/>
    <d v="1899-12-30T17:43:21"/>
    <x v="0"/>
  </r>
  <r>
    <s v="19"/>
    <s v="card"/>
    <n v="30.86"/>
    <x v="3"/>
    <x v="2"/>
    <x v="5"/>
    <x v="7"/>
    <s v="3"/>
    <s v="10"/>
    <s v="2024-10-16"/>
    <d v="1899-12-30T19:37:42"/>
    <x v="0"/>
  </r>
  <r>
    <s v="19"/>
    <s v="card"/>
    <n v="30.86"/>
    <x v="3"/>
    <x v="2"/>
    <x v="5"/>
    <x v="7"/>
    <s v="3"/>
    <s v="10"/>
    <s v="2024-10-16"/>
    <d v="1899-12-30T19:38:37"/>
    <x v="0"/>
  </r>
  <r>
    <s v="21"/>
    <s v="card"/>
    <n v="35.76"/>
    <x v="1"/>
    <x v="2"/>
    <x v="5"/>
    <x v="7"/>
    <s v="3"/>
    <s v="10"/>
    <s v="2024-10-16"/>
    <d v="1899-12-30T21:20:29"/>
    <x v="0"/>
  </r>
  <r>
    <s v="7"/>
    <s v="card"/>
    <n v="35.76"/>
    <x v="0"/>
    <x v="0"/>
    <x v="6"/>
    <x v="7"/>
    <s v="4"/>
    <s v="10"/>
    <s v="2024-10-17"/>
    <d v="1899-12-30T07:47:01"/>
    <x v="0"/>
  </r>
  <r>
    <s v="7"/>
    <s v="card"/>
    <n v="35.76"/>
    <x v="0"/>
    <x v="0"/>
    <x v="6"/>
    <x v="7"/>
    <s v="4"/>
    <s v="10"/>
    <s v="2024-10-17"/>
    <d v="1899-12-30T07:58:07"/>
    <x v="0"/>
  </r>
  <r>
    <s v="9"/>
    <s v="card"/>
    <n v="30.86"/>
    <x v="3"/>
    <x v="0"/>
    <x v="6"/>
    <x v="7"/>
    <s v="4"/>
    <s v="10"/>
    <s v="2024-10-17"/>
    <d v="1899-12-30T09:24:27"/>
    <x v="0"/>
  </r>
  <r>
    <s v="10"/>
    <s v="card"/>
    <n v="35.76"/>
    <x v="0"/>
    <x v="0"/>
    <x v="6"/>
    <x v="7"/>
    <s v="4"/>
    <s v="10"/>
    <s v="2024-10-17"/>
    <d v="1899-12-30T10:26:38"/>
    <x v="0"/>
  </r>
  <r>
    <s v="10"/>
    <s v="card"/>
    <n v="35.76"/>
    <x v="1"/>
    <x v="0"/>
    <x v="6"/>
    <x v="7"/>
    <s v="4"/>
    <s v="10"/>
    <s v="2024-10-17"/>
    <d v="1899-12-30T10:44:54"/>
    <x v="0"/>
  </r>
  <r>
    <s v="11"/>
    <s v="card"/>
    <n v="30.86"/>
    <x v="3"/>
    <x v="0"/>
    <x v="6"/>
    <x v="7"/>
    <s v="4"/>
    <s v="10"/>
    <s v="2024-10-17"/>
    <d v="1899-12-30T11:59:27"/>
    <x v="0"/>
  </r>
  <r>
    <s v="13"/>
    <s v="card"/>
    <n v="35.76"/>
    <x v="0"/>
    <x v="1"/>
    <x v="6"/>
    <x v="7"/>
    <s v="4"/>
    <s v="10"/>
    <s v="2024-10-17"/>
    <d v="1899-12-30T13:57:25"/>
    <x v="0"/>
  </r>
  <r>
    <s v="14"/>
    <s v="card"/>
    <n v="25.96"/>
    <x v="2"/>
    <x v="1"/>
    <x v="6"/>
    <x v="7"/>
    <s v="4"/>
    <s v="10"/>
    <s v="2024-10-17"/>
    <d v="1899-12-30T14:34:43"/>
    <x v="0"/>
  </r>
  <r>
    <s v="16"/>
    <s v="card"/>
    <n v="35.76"/>
    <x v="1"/>
    <x v="1"/>
    <x v="6"/>
    <x v="7"/>
    <s v="4"/>
    <s v="10"/>
    <s v="2024-10-17"/>
    <d v="1899-12-30T16:37:13"/>
    <x v="0"/>
  </r>
  <r>
    <s v="16"/>
    <s v="card"/>
    <n v="35.76"/>
    <x v="1"/>
    <x v="1"/>
    <x v="6"/>
    <x v="7"/>
    <s v="4"/>
    <s v="10"/>
    <s v="2024-10-17"/>
    <d v="1899-12-30T16:38:18"/>
    <x v="0"/>
  </r>
  <r>
    <s v="16"/>
    <s v="card"/>
    <n v="35.76"/>
    <x v="0"/>
    <x v="1"/>
    <x v="6"/>
    <x v="7"/>
    <s v="4"/>
    <s v="10"/>
    <s v="2024-10-17"/>
    <d v="1899-12-30T16:39:10"/>
    <x v="0"/>
  </r>
  <r>
    <s v="16"/>
    <s v="card"/>
    <n v="35.76"/>
    <x v="1"/>
    <x v="1"/>
    <x v="6"/>
    <x v="7"/>
    <s v="4"/>
    <s v="10"/>
    <s v="2024-10-17"/>
    <d v="1899-12-30T16:48:36"/>
    <x v="0"/>
  </r>
  <r>
    <s v="16"/>
    <s v="card"/>
    <n v="35.76"/>
    <x v="1"/>
    <x v="1"/>
    <x v="6"/>
    <x v="7"/>
    <s v="4"/>
    <s v="10"/>
    <s v="2024-10-17"/>
    <d v="1899-12-30T16:49:33"/>
    <x v="0"/>
  </r>
  <r>
    <s v="17"/>
    <s v="card"/>
    <n v="35.76"/>
    <x v="7"/>
    <x v="2"/>
    <x v="6"/>
    <x v="7"/>
    <s v="4"/>
    <s v="10"/>
    <s v="2024-10-17"/>
    <d v="1899-12-30T17:08:28"/>
    <x v="0"/>
  </r>
  <r>
    <s v="17"/>
    <s v="card"/>
    <n v="35.76"/>
    <x v="1"/>
    <x v="2"/>
    <x v="6"/>
    <x v="7"/>
    <s v="4"/>
    <s v="10"/>
    <s v="2024-10-17"/>
    <d v="1899-12-30T17:09:30"/>
    <x v="0"/>
  </r>
  <r>
    <s v="19"/>
    <s v="card"/>
    <n v="35.76"/>
    <x v="0"/>
    <x v="2"/>
    <x v="6"/>
    <x v="7"/>
    <s v="4"/>
    <s v="10"/>
    <s v="2024-10-17"/>
    <d v="1899-12-30T19:43:12"/>
    <x v="0"/>
  </r>
  <r>
    <s v="20"/>
    <s v="card"/>
    <n v="30.86"/>
    <x v="3"/>
    <x v="2"/>
    <x v="6"/>
    <x v="7"/>
    <s v="4"/>
    <s v="10"/>
    <s v="2024-10-17"/>
    <d v="1899-12-30T20:11:36"/>
    <x v="0"/>
  </r>
  <r>
    <s v="21"/>
    <s v="card"/>
    <n v="35.76"/>
    <x v="0"/>
    <x v="2"/>
    <x v="6"/>
    <x v="7"/>
    <s v="4"/>
    <s v="10"/>
    <s v="2024-10-17"/>
    <d v="1899-12-30T21:46:13"/>
    <x v="0"/>
  </r>
  <r>
    <s v="21"/>
    <s v="card"/>
    <n v="35.76"/>
    <x v="0"/>
    <x v="2"/>
    <x v="6"/>
    <x v="7"/>
    <s v="4"/>
    <s v="10"/>
    <s v="2024-10-17"/>
    <d v="1899-12-30T21:47:20"/>
    <x v="0"/>
  </r>
  <r>
    <s v="21"/>
    <s v="card"/>
    <n v="35.76"/>
    <x v="0"/>
    <x v="2"/>
    <x v="6"/>
    <x v="7"/>
    <s v="4"/>
    <s v="10"/>
    <s v="2024-10-17"/>
    <d v="1899-12-30T21:48:32"/>
    <x v="0"/>
  </r>
  <r>
    <s v="21"/>
    <s v="card"/>
    <n v="35.76"/>
    <x v="1"/>
    <x v="2"/>
    <x v="6"/>
    <x v="7"/>
    <s v="4"/>
    <s v="10"/>
    <s v="2024-10-17"/>
    <d v="1899-12-30T21:49:55"/>
    <x v="0"/>
  </r>
  <r>
    <s v="8"/>
    <s v="card"/>
    <n v="35.76"/>
    <x v="4"/>
    <x v="0"/>
    <x v="0"/>
    <x v="7"/>
    <s v="5"/>
    <s v="10"/>
    <s v="2024-10-18"/>
    <d v="1899-12-30T08:41:59"/>
    <x v="0"/>
  </r>
  <r>
    <s v="8"/>
    <s v="card"/>
    <n v="35.76"/>
    <x v="4"/>
    <x v="0"/>
    <x v="0"/>
    <x v="7"/>
    <s v="5"/>
    <s v="10"/>
    <s v="2024-10-18"/>
    <d v="1899-12-30T08:42:59"/>
    <x v="0"/>
  </r>
  <r>
    <s v="9"/>
    <s v="card"/>
    <n v="35.76"/>
    <x v="4"/>
    <x v="0"/>
    <x v="0"/>
    <x v="7"/>
    <s v="5"/>
    <s v="10"/>
    <s v="2024-10-18"/>
    <d v="1899-12-30T09:32:42"/>
    <x v="0"/>
  </r>
  <r>
    <s v="9"/>
    <s v="card"/>
    <n v="35.76"/>
    <x v="4"/>
    <x v="0"/>
    <x v="0"/>
    <x v="7"/>
    <s v="5"/>
    <s v="10"/>
    <s v="2024-10-18"/>
    <d v="1899-12-30T09:34:08"/>
    <x v="0"/>
  </r>
  <r>
    <s v="9"/>
    <s v="card"/>
    <n v="35.76"/>
    <x v="7"/>
    <x v="0"/>
    <x v="0"/>
    <x v="7"/>
    <s v="5"/>
    <s v="10"/>
    <s v="2024-10-18"/>
    <d v="1899-12-30T09:55:20"/>
    <x v="0"/>
  </r>
  <r>
    <s v="11"/>
    <s v="card"/>
    <n v="35.76"/>
    <x v="7"/>
    <x v="0"/>
    <x v="0"/>
    <x v="7"/>
    <s v="5"/>
    <s v="10"/>
    <s v="2024-10-18"/>
    <d v="1899-12-30T11:54:59"/>
    <x v="0"/>
  </r>
  <r>
    <s v="14"/>
    <s v="card"/>
    <n v="35.76"/>
    <x v="0"/>
    <x v="1"/>
    <x v="0"/>
    <x v="7"/>
    <s v="5"/>
    <s v="10"/>
    <s v="2024-10-18"/>
    <d v="1899-12-30T14:51:04"/>
    <x v="0"/>
  </r>
  <r>
    <s v="14"/>
    <s v="card"/>
    <n v="35.76"/>
    <x v="7"/>
    <x v="1"/>
    <x v="0"/>
    <x v="7"/>
    <s v="5"/>
    <s v="10"/>
    <s v="2024-10-18"/>
    <d v="1899-12-30T14:52:15"/>
    <x v="0"/>
  </r>
  <r>
    <s v="15"/>
    <s v="card"/>
    <n v="25.96"/>
    <x v="2"/>
    <x v="1"/>
    <x v="0"/>
    <x v="7"/>
    <s v="5"/>
    <s v="10"/>
    <s v="2024-10-18"/>
    <d v="1899-12-30T15:39:20"/>
    <x v="0"/>
  </r>
  <r>
    <s v="16"/>
    <s v="card"/>
    <n v="35.76"/>
    <x v="0"/>
    <x v="1"/>
    <x v="0"/>
    <x v="7"/>
    <s v="5"/>
    <s v="10"/>
    <s v="2024-10-18"/>
    <d v="1899-12-30T16:09:58"/>
    <x v="0"/>
  </r>
  <r>
    <s v="17"/>
    <s v="card"/>
    <n v="35.76"/>
    <x v="1"/>
    <x v="2"/>
    <x v="0"/>
    <x v="7"/>
    <s v="5"/>
    <s v="10"/>
    <s v="2024-10-18"/>
    <d v="1899-12-30T17:45:39"/>
    <x v="0"/>
  </r>
  <r>
    <s v="21"/>
    <s v="card"/>
    <n v="35.76"/>
    <x v="4"/>
    <x v="2"/>
    <x v="0"/>
    <x v="7"/>
    <s v="5"/>
    <s v="10"/>
    <s v="2024-10-18"/>
    <d v="1899-12-30T21:14:40"/>
    <x v="0"/>
  </r>
  <r>
    <s v="21"/>
    <s v="card"/>
    <n v="35.76"/>
    <x v="4"/>
    <x v="2"/>
    <x v="0"/>
    <x v="7"/>
    <s v="5"/>
    <s v="10"/>
    <s v="2024-10-18"/>
    <d v="1899-12-30T21:15:23"/>
    <x v="0"/>
  </r>
  <r>
    <s v="21"/>
    <s v="card"/>
    <n v="30.86"/>
    <x v="3"/>
    <x v="2"/>
    <x v="0"/>
    <x v="7"/>
    <s v="5"/>
    <s v="10"/>
    <s v="2024-10-18"/>
    <d v="1899-12-30T21:52:23"/>
    <x v="0"/>
  </r>
  <r>
    <s v="22"/>
    <s v="card"/>
    <n v="35.76"/>
    <x v="0"/>
    <x v="2"/>
    <x v="0"/>
    <x v="7"/>
    <s v="5"/>
    <s v="10"/>
    <s v="2024-10-18"/>
    <d v="1899-12-30T22:03:27"/>
    <x v="0"/>
  </r>
  <r>
    <s v="8"/>
    <s v="card"/>
    <n v="30.86"/>
    <x v="3"/>
    <x v="0"/>
    <x v="1"/>
    <x v="7"/>
    <s v="6"/>
    <s v="10"/>
    <s v="2024-10-19"/>
    <d v="1899-12-30T08:34:14"/>
    <x v="0"/>
  </r>
  <r>
    <s v="13"/>
    <s v="card"/>
    <n v="35.76"/>
    <x v="0"/>
    <x v="1"/>
    <x v="1"/>
    <x v="7"/>
    <s v="6"/>
    <s v="10"/>
    <s v="2024-10-19"/>
    <d v="1899-12-30T13:22:06"/>
    <x v="0"/>
  </r>
  <r>
    <s v="14"/>
    <s v="card"/>
    <n v="35.76"/>
    <x v="7"/>
    <x v="1"/>
    <x v="1"/>
    <x v="7"/>
    <s v="6"/>
    <s v="10"/>
    <s v="2024-10-19"/>
    <d v="1899-12-30T14:10:33"/>
    <x v="0"/>
  </r>
  <r>
    <s v="15"/>
    <s v="card"/>
    <n v="35.76"/>
    <x v="1"/>
    <x v="1"/>
    <x v="1"/>
    <x v="7"/>
    <s v="6"/>
    <s v="10"/>
    <s v="2024-10-19"/>
    <d v="1899-12-30T15:56:55"/>
    <x v="0"/>
  </r>
  <r>
    <s v="15"/>
    <s v="card"/>
    <n v="35.76"/>
    <x v="0"/>
    <x v="1"/>
    <x v="1"/>
    <x v="7"/>
    <s v="6"/>
    <s v="10"/>
    <s v="2024-10-19"/>
    <d v="1899-12-30T15:59:24"/>
    <x v="0"/>
  </r>
  <r>
    <s v="16"/>
    <s v="card"/>
    <n v="35.76"/>
    <x v="0"/>
    <x v="1"/>
    <x v="1"/>
    <x v="7"/>
    <s v="6"/>
    <s v="10"/>
    <s v="2024-10-19"/>
    <d v="1899-12-30T16:02:46"/>
    <x v="0"/>
  </r>
  <r>
    <s v="16"/>
    <s v="card"/>
    <n v="35.76"/>
    <x v="0"/>
    <x v="1"/>
    <x v="1"/>
    <x v="7"/>
    <s v="6"/>
    <s v="10"/>
    <s v="2024-10-19"/>
    <d v="1899-12-30T16:17:43"/>
    <x v="0"/>
  </r>
  <r>
    <s v="21"/>
    <s v="card"/>
    <n v="35.76"/>
    <x v="4"/>
    <x v="2"/>
    <x v="1"/>
    <x v="7"/>
    <s v="6"/>
    <s v="10"/>
    <s v="2024-10-19"/>
    <d v="1899-12-30T21:46:46"/>
    <x v="0"/>
  </r>
  <r>
    <s v="22"/>
    <s v="card"/>
    <n v="35.76"/>
    <x v="7"/>
    <x v="2"/>
    <x v="1"/>
    <x v="7"/>
    <s v="6"/>
    <s v="10"/>
    <s v="2024-10-19"/>
    <d v="1899-12-30T22:46:38"/>
    <x v="0"/>
  </r>
  <r>
    <s v="8"/>
    <s v="card"/>
    <n v="35.76"/>
    <x v="0"/>
    <x v="0"/>
    <x v="2"/>
    <x v="7"/>
    <s v="7"/>
    <s v="10"/>
    <s v="2024-10-20"/>
    <d v="1899-12-30T08:40:44"/>
    <x v="0"/>
  </r>
  <r>
    <s v="8"/>
    <s v="card"/>
    <n v="35.76"/>
    <x v="4"/>
    <x v="0"/>
    <x v="2"/>
    <x v="7"/>
    <s v="7"/>
    <s v="10"/>
    <s v="2024-10-20"/>
    <d v="1899-12-30T08:41:50"/>
    <x v="0"/>
  </r>
  <r>
    <s v="11"/>
    <s v="card"/>
    <n v="35.76"/>
    <x v="0"/>
    <x v="0"/>
    <x v="2"/>
    <x v="7"/>
    <s v="7"/>
    <s v="10"/>
    <s v="2024-10-20"/>
    <d v="1899-12-30T11:16:52"/>
    <x v="0"/>
  </r>
  <r>
    <s v="14"/>
    <s v="card"/>
    <n v="35.76"/>
    <x v="1"/>
    <x v="1"/>
    <x v="2"/>
    <x v="7"/>
    <s v="7"/>
    <s v="10"/>
    <s v="2024-10-20"/>
    <d v="1899-12-30T14:28:46"/>
    <x v="0"/>
  </r>
  <r>
    <s v="14"/>
    <s v="card"/>
    <n v="25.96"/>
    <x v="5"/>
    <x v="1"/>
    <x v="2"/>
    <x v="7"/>
    <s v="7"/>
    <s v="10"/>
    <s v="2024-10-20"/>
    <d v="1899-12-30T14:29:44"/>
    <x v="0"/>
  </r>
  <r>
    <s v="15"/>
    <s v="card"/>
    <n v="30.86"/>
    <x v="3"/>
    <x v="1"/>
    <x v="2"/>
    <x v="7"/>
    <s v="7"/>
    <s v="10"/>
    <s v="2024-10-20"/>
    <d v="1899-12-30T15:52:45"/>
    <x v="0"/>
  </r>
  <r>
    <s v="16"/>
    <s v="card"/>
    <n v="35.76"/>
    <x v="0"/>
    <x v="1"/>
    <x v="2"/>
    <x v="7"/>
    <s v="7"/>
    <s v="10"/>
    <s v="2024-10-20"/>
    <d v="1899-12-30T16:45:10"/>
    <x v="0"/>
  </r>
  <r>
    <s v="16"/>
    <s v="card"/>
    <n v="35.76"/>
    <x v="0"/>
    <x v="1"/>
    <x v="2"/>
    <x v="7"/>
    <s v="7"/>
    <s v="10"/>
    <s v="2024-10-20"/>
    <d v="1899-12-30T16:46:05"/>
    <x v="0"/>
  </r>
  <r>
    <s v="17"/>
    <s v="card"/>
    <n v="35.76"/>
    <x v="0"/>
    <x v="2"/>
    <x v="2"/>
    <x v="7"/>
    <s v="7"/>
    <s v="10"/>
    <s v="2024-10-20"/>
    <d v="1899-12-30T17:27:06"/>
    <x v="0"/>
  </r>
  <r>
    <s v="18"/>
    <s v="card"/>
    <n v="35.76"/>
    <x v="4"/>
    <x v="2"/>
    <x v="2"/>
    <x v="7"/>
    <s v="7"/>
    <s v="10"/>
    <s v="2024-10-20"/>
    <d v="1899-12-30T18:34:16"/>
    <x v="0"/>
  </r>
  <r>
    <s v="18"/>
    <s v="card"/>
    <n v="35.76"/>
    <x v="4"/>
    <x v="2"/>
    <x v="2"/>
    <x v="7"/>
    <s v="7"/>
    <s v="10"/>
    <s v="2024-10-20"/>
    <d v="1899-12-30T18:35:08"/>
    <x v="0"/>
  </r>
  <r>
    <s v="21"/>
    <s v="card"/>
    <n v="35.76"/>
    <x v="1"/>
    <x v="2"/>
    <x v="2"/>
    <x v="7"/>
    <s v="7"/>
    <s v="10"/>
    <s v="2024-10-20"/>
    <d v="1899-12-30T21:14:18"/>
    <x v="0"/>
  </r>
  <r>
    <s v="21"/>
    <s v="card"/>
    <n v="25.96"/>
    <x v="5"/>
    <x v="2"/>
    <x v="2"/>
    <x v="7"/>
    <s v="7"/>
    <s v="10"/>
    <s v="2024-10-20"/>
    <d v="1899-12-30T21:15:18"/>
    <x v="0"/>
  </r>
  <r>
    <s v="21"/>
    <s v="card"/>
    <n v="35.76"/>
    <x v="4"/>
    <x v="2"/>
    <x v="2"/>
    <x v="7"/>
    <s v="7"/>
    <s v="10"/>
    <s v="2024-10-20"/>
    <d v="1899-12-30T21:17:27"/>
    <x v="0"/>
  </r>
  <r>
    <s v="21"/>
    <s v="card"/>
    <n v="35.76"/>
    <x v="0"/>
    <x v="2"/>
    <x v="2"/>
    <x v="7"/>
    <s v="7"/>
    <s v="10"/>
    <s v="2024-10-20"/>
    <d v="1899-12-30T21:25:00"/>
    <x v="0"/>
  </r>
  <r>
    <s v="22"/>
    <s v="card"/>
    <n v="35.76"/>
    <x v="7"/>
    <x v="2"/>
    <x v="2"/>
    <x v="7"/>
    <s v="7"/>
    <s v="10"/>
    <s v="2024-10-20"/>
    <d v="1899-12-30T22:17:29"/>
    <x v="0"/>
  </r>
  <r>
    <s v="7"/>
    <s v="card"/>
    <n v="35.76"/>
    <x v="0"/>
    <x v="0"/>
    <x v="3"/>
    <x v="7"/>
    <s v="1"/>
    <s v="10"/>
    <s v="2024-10-21"/>
    <d v="1899-12-30T07:48:43"/>
    <x v="0"/>
  </r>
  <r>
    <s v="8"/>
    <s v="card"/>
    <n v="35.76"/>
    <x v="0"/>
    <x v="0"/>
    <x v="3"/>
    <x v="7"/>
    <s v="1"/>
    <s v="10"/>
    <s v="2024-10-21"/>
    <d v="1899-12-30T08:19:56"/>
    <x v="0"/>
  </r>
  <r>
    <s v="9"/>
    <s v="card"/>
    <n v="30.86"/>
    <x v="3"/>
    <x v="0"/>
    <x v="3"/>
    <x v="7"/>
    <s v="1"/>
    <s v="10"/>
    <s v="2024-10-21"/>
    <d v="1899-12-30T09:04:54"/>
    <x v="0"/>
  </r>
  <r>
    <s v="9"/>
    <s v="card"/>
    <n v="35.76"/>
    <x v="0"/>
    <x v="0"/>
    <x v="3"/>
    <x v="7"/>
    <s v="1"/>
    <s v="10"/>
    <s v="2024-10-21"/>
    <d v="1899-12-30T09:34:26"/>
    <x v="0"/>
  </r>
  <r>
    <s v="10"/>
    <s v="card"/>
    <n v="25.96"/>
    <x v="2"/>
    <x v="0"/>
    <x v="3"/>
    <x v="7"/>
    <s v="1"/>
    <s v="10"/>
    <s v="2024-10-21"/>
    <d v="1899-12-30T10:25:09"/>
    <x v="0"/>
  </r>
  <r>
    <s v="10"/>
    <s v="card"/>
    <n v="25.96"/>
    <x v="5"/>
    <x v="0"/>
    <x v="3"/>
    <x v="7"/>
    <s v="1"/>
    <s v="10"/>
    <s v="2024-10-21"/>
    <d v="1899-12-30T10:41:45"/>
    <x v="0"/>
  </r>
  <r>
    <s v="10"/>
    <s v="card"/>
    <n v="25.96"/>
    <x v="5"/>
    <x v="0"/>
    <x v="3"/>
    <x v="7"/>
    <s v="1"/>
    <s v="10"/>
    <s v="2024-10-21"/>
    <d v="1899-12-30T10:42:36"/>
    <x v="0"/>
  </r>
  <r>
    <s v="11"/>
    <s v="card"/>
    <n v="21.06"/>
    <x v="6"/>
    <x v="0"/>
    <x v="3"/>
    <x v="7"/>
    <s v="1"/>
    <s v="10"/>
    <s v="2024-10-21"/>
    <d v="1899-12-30T11:27:42"/>
    <x v="0"/>
  </r>
  <r>
    <s v="12"/>
    <s v="card"/>
    <n v="35.76"/>
    <x v="7"/>
    <x v="1"/>
    <x v="3"/>
    <x v="7"/>
    <s v="1"/>
    <s v="10"/>
    <s v="2024-10-21"/>
    <d v="1899-12-30T12:40:24"/>
    <x v="0"/>
  </r>
  <r>
    <s v="14"/>
    <s v="card"/>
    <n v="35.76"/>
    <x v="0"/>
    <x v="1"/>
    <x v="3"/>
    <x v="7"/>
    <s v="1"/>
    <s v="10"/>
    <s v="2024-10-21"/>
    <d v="1899-12-30T14:42:56"/>
    <x v="0"/>
  </r>
  <r>
    <s v="14"/>
    <s v="card"/>
    <n v="35.76"/>
    <x v="0"/>
    <x v="1"/>
    <x v="3"/>
    <x v="7"/>
    <s v="1"/>
    <s v="10"/>
    <s v="2024-10-21"/>
    <d v="1899-12-30T14:43:58"/>
    <x v="0"/>
  </r>
  <r>
    <s v="15"/>
    <s v="card"/>
    <n v="30.86"/>
    <x v="3"/>
    <x v="1"/>
    <x v="3"/>
    <x v="7"/>
    <s v="1"/>
    <s v="10"/>
    <s v="2024-10-21"/>
    <d v="1899-12-30T15:27:02"/>
    <x v="0"/>
  </r>
  <r>
    <s v="15"/>
    <s v="card"/>
    <n v="25.96"/>
    <x v="5"/>
    <x v="1"/>
    <x v="3"/>
    <x v="7"/>
    <s v="1"/>
    <s v="10"/>
    <s v="2024-10-21"/>
    <d v="1899-12-30T15:39:05"/>
    <x v="0"/>
  </r>
  <r>
    <s v="16"/>
    <s v="card"/>
    <n v="35.76"/>
    <x v="4"/>
    <x v="1"/>
    <x v="3"/>
    <x v="7"/>
    <s v="1"/>
    <s v="10"/>
    <s v="2024-10-21"/>
    <d v="1899-12-30T16:42:57"/>
    <x v="0"/>
  </r>
  <r>
    <s v="16"/>
    <s v="card"/>
    <n v="35.76"/>
    <x v="0"/>
    <x v="1"/>
    <x v="3"/>
    <x v="7"/>
    <s v="1"/>
    <s v="10"/>
    <s v="2024-10-21"/>
    <d v="1899-12-30T16:55:23"/>
    <x v="0"/>
  </r>
  <r>
    <s v="19"/>
    <s v="card"/>
    <n v="35.76"/>
    <x v="1"/>
    <x v="2"/>
    <x v="3"/>
    <x v="7"/>
    <s v="1"/>
    <s v="10"/>
    <s v="2024-10-21"/>
    <d v="1899-12-30T19:21:13"/>
    <x v="0"/>
  </r>
  <r>
    <s v="21"/>
    <s v="card"/>
    <n v="35.76"/>
    <x v="0"/>
    <x v="2"/>
    <x v="3"/>
    <x v="7"/>
    <s v="1"/>
    <s v="10"/>
    <s v="2024-10-21"/>
    <d v="1899-12-30T21:05:36"/>
    <x v="0"/>
  </r>
  <r>
    <s v="22"/>
    <s v="card"/>
    <n v="35.76"/>
    <x v="4"/>
    <x v="2"/>
    <x v="3"/>
    <x v="7"/>
    <s v="1"/>
    <s v="10"/>
    <s v="2024-10-21"/>
    <d v="1899-12-30T22:30:44"/>
    <x v="0"/>
  </r>
  <r>
    <s v="22"/>
    <s v="card"/>
    <n v="35.76"/>
    <x v="1"/>
    <x v="2"/>
    <x v="3"/>
    <x v="7"/>
    <s v="1"/>
    <s v="10"/>
    <s v="2024-10-21"/>
    <d v="1899-12-30T22:31:34"/>
    <x v="0"/>
  </r>
  <r>
    <s v="7"/>
    <s v="card"/>
    <n v="35.76"/>
    <x v="0"/>
    <x v="0"/>
    <x v="4"/>
    <x v="7"/>
    <s v="2"/>
    <s v="10"/>
    <s v="2024-10-22"/>
    <d v="1899-12-30T07:33:00"/>
    <x v="0"/>
  </r>
  <r>
    <s v="7"/>
    <s v="card"/>
    <n v="35.76"/>
    <x v="7"/>
    <x v="0"/>
    <x v="4"/>
    <x v="7"/>
    <s v="2"/>
    <s v="10"/>
    <s v="2024-10-22"/>
    <d v="1899-12-30T07:34:00"/>
    <x v="0"/>
  </r>
  <r>
    <s v="8"/>
    <s v="card"/>
    <n v="30.86"/>
    <x v="3"/>
    <x v="0"/>
    <x v="4"/>
    <x v="7"/>
    <s v="2"/>
    <s v="10"/>
    <s v="2024-10-22"/>
    <d v="1899-12-30T08:25:32"/>
    <x v="0"/>
  </r>
  <r>
    <s v="9"/>
    <s v="card"/>
    <n v="25.96"/>
    <x v="5"/>
    <x v="0"/>
    <x v="4"/>
    <x v="7"/>
    <s v="2"/>
    <s v="10"/>
    <s v="2024-10-22"/>
    <d v="1899-12-30T09:17:50"/>
    <x v="0"/>
  </r>
  <r>
    <s v="10"/>
    <s v="card"/>
    <n v="21.06"/>
    <x v="6"/>
    <x v="0"/>
    <x v="4"/>
    <x v="7"/>
    <s v="2"/>
    <s v="10"/>
    <s v="2024-10-22"/>
    <d v="1899-12-30T10:51:32"/>
    <x v="0"/>
  </r>
  <r>
    <s v="10"/>
    <s v="card"/>
    <n v="25.96"/>
    <x v="5"/>
    <x v="0"/>
    <x v="4"/>
    <x v="7"/>
    <s v="2"/>
    <s v="10"/>
    <s v="2024-10-22"/>
    <d v="1899-12-30T10:52:17"/>
    <x v="0"/>
  </r>
  <r>
    <s v="18"/>
    <s v="card"/>
    <n v="25.96"/>
    <x v="2"/>
    <x v="2"/>
    <x v="4"/>
    <x v="7"/>
    <s v="2"/>
    <s v="10"/>
    <s v="2024-10-22"/>
    <d v="1899-12-30T18:07:03"/>
    <x v="0"/>
  </r>
  <r>
    <s v="19"/>
    <s v="card"/>
    <n v="35.76"/>
    <x v="1"/>
    <x v="2"/>
    <x v="4"/>
    <x v="7"/>
    <s v="2"/>
    <s v="10"/>
    <s v="2024-10-22"/>
    <d v="1899-12-30T19:46:39"/>
    <x v="0"/>
  </r>
  <r>
    <s v="19"/>
    <s v="card"/>
    <n v="35.76"/>
    <x v="0"/>
    <x v="2"/>
    <x v="4"/>
    <x v="7"/>
    <s v="2"/>
    <s v="10"/>
    <s v="2024-10-22"/>
    <d v="1899-12-30T19:47:50"/>
    <x v="0"/>
  </r>
  <r>
    <s v="7"/>
    <s v="card"/>
    <n v="35.76"/>
    <x v="0"/>
    <x v="0"/>
    <x v="5"/>
    <x v="7"/>
    <s v="3"/>
    <s v="10"/>
    <s v="2024-10-23"/>
    <d v="1899-12-30T07:58:07"/>
    <x v="0"/>
  </r>
  <r>
    <s v="8"/>
    <s v="card"/>
    <n v="30.86"/>
    <x v="3"/>
    <x v="0"/>
    <x v="5"/>
    <x v="7"/>
    <s v="3"/>
    <s v="10"/>
    <s v="2024-10-23"/>
    <d v="1899-12-30T08:45:15"/>
    <x v="0"/>
  </r>
  <r>
    <s v="10"/>
    <s v="card"/>
    <n v="25.96"/>
    <x v="5"/>
    <x v="0"/>
    <x v="5"/>
    <x v="7"/>
    <s v="3"/>
    <s v="10"/>
    <s v="2024-10-23"/>
    <d v="1899-12-30T10:24:58"/>
    <x v="0"/>
  </r>
  <r>
    <s v="12"/>
    <s v="card"/>
    <n v="30.86"/>
    <x v="3"/>
    <x v="1"/>
    <x v="5"/>
    <x v="7"/>
    <s v="3"/>
    <s v="10"/>
    <s v="2024-10-23"/>
    <d v="1899-12-30T12:31:05"/>
    <x v="0"/>
  </r>
  <r>
    <s v="16"/>
    <s v="card"/>
    <n v="30.86"/>
    <x v="3"/>
    <x v="1"/>
    <x v="5"/>
    <x v="7"/>
    <s v="3"/>
    <s v="10"/>
    <s v="2024-10-23"/>
    <d v="1899-12-30T16:20:02"/>
    <x v="0"/>
  </r>
  <r>
    <s v="16"/>
    <s v="card"/>
    <n v="30.86"/>
    <x v="3"/>
    <x v="1"/>
    <x v="5"/>
    <x v="7"/>
    <s v="3"/>
    <s v="10"/>
    <s v="2024-10-23"/>
    <d v="1899-12-30T16:21:09"/>
    <x v="0"/>
  </r>
  <r>
    <s v="16"/>
    <s v="card"/>
    <n v="35.76"/>
    <x v="7"/>
    <x v="1"/>
    <x v="5"/>
    <x v="7"/>
    <s v="3"/>
    <s v="10"/>
    <s v="2024-10-23"/>
    <d v="1899-12-30T16:42:30"/>
    <x v="0"/>
  </r>
  <r>
    <s v="17"/>
    <s v="card"/>
    <n v="21.06"/>
    <x v="6"/>
    <x v="2"/>
    <x v="5"/>
    <x v="7"/>
    <s v="3"/>
    <s v="10"/>
    <s v="2024-10-23"/>
    <d v="1899-12-30T17:02:46"/>
    <x v="0"/>
  </r>
  <r>
    <s v="18"/>
    <s v="card"/>
    <n v="35.76"/>
    <x v="4"/>
    <x v="2"/>
    <x v="5"/>
    <x v="7"/>
    <s v="3"/>
    <s v="10"/>
    <s v="2024-10-23"/>
    <d v="1899-12-30T18:58:59"/>
    <x v="0"/>
  </r>
  <r>
    <s v="19"/>
    <s v="card"/>
    <n v="35.76"/>
    <x v="7"/>
    <x v="2"/>
    <x v="5"/>
    <x v="7"/>
    <s v="3"/>
    <s v="10"/>
    <s v="2024-10-23"/>
    <d v="1899-12-30T19:00:43"/>
    <x v="0"/>
  </r>
  <r>
    <s v="21"/>
    <s v="card"/>
    <n v="30.86"/>
    <x v="3"/>
    <x v="2"/>
    <x v="5"/>
    <x v="7"/>
    <s v="3"/>
    <s v="10"/>
    <s v="2024-10-23"/>
    <d v="1899-12-30T21:57:21"/>
    <x v="0"/>
  </r>
  <r>
    <s v="21"/>
    <s v="card"/>
    <n v="35.76"/>
    <x v="1"/>
    <x v="2"/>
    <x v="5"/>
    <x v="7"/>
    <s v="3"/>
    <s v="10"/>
    <s v="2024-10-23"/>
    <d v="1899-12-30T21:58:24"/>
    <x v="0"/>
  </r>
  <r>
    <s v="22"/>
    <s v="card"/>
    <n v="35.76"/>
    <x v="0"/>
    <x v="2"/>
    <x v="5"/>
    <x v="7"/>
    <s v="3"/>
    <s v="10"/>
    <s v="2024-10-23"/>
    <d v="1899-12-30T22:23:38"/>
    <x v="0"/>
  </r>
  <r>
    <s v="12"/>
    <s v="card"/>
    <n v="25.96"/>
    <x v="2"/>
    <x v="1"/>
    <x v="6"/>
    <x v="7"/>
    <s v="4"/>
    <s v="10"/>
    <s v="2024-10-24"/>
    <d v="1899-12-30T12:07:47"/>
    <x v="0"/>
  </r>
  <r>
    <s v="13"/>
    <s v="card"/>
    <n v="35.76"/>
    <x v="7"/>
    <x v="1"/>
    <x v="6"/>
    <x v="7"/>
    <s v="4"/>
    <s v="10"/>
    <s v="2024-10-24"/>
    <d v="1899-12-30T13:24:00"/>
    <x v="0"/>
  </r>
  <r>
    <s v="14"/>
    <s v="card"/>
    <n v="35.76"/>
    <x v="7"/>
    <x v="1"/>
    <x v="6"/>
    <x v="7"/>
    <s v="4"/>
    <s v="10"/>
    <s v="2024-10-24"/>
    <d v="1899-12-30T14:09:47"/>
    <x v="0"/>
  </r>
  <r>
    <s v="14"/>
    <s v="card"/>
    <n v="35.76"/>
    <x v="1"/>
    <x v="1"/>
    <x v="6"/>
    <x v="7"/>
    <s v="4"/>
    <s v="10"/>
    <s v="2024-10-24"/>
    <d v="1899-12-30T14:49:02"/>
    <x v="0"/>
  </r>
  <r>
    <s v="14"/>
    <s v="card"/>
    <n v="35.76"/>
    <x v="0"/>
    <x v="1"/>
    <x v="6"/>
    <x v="7"/>
    <s v="4"/>
    <s v="10"/>
    <s v="2024-10-24"/>
    <d v="1899-12-30T14:49:49"/>
    <x v="0"/>
  </r>
  <r>
    <s v="15"/>
    <s v="card"/>
    <n v="35.76"/>
    <x v="0"/>
    <x v="1"/>
    <x v="6"/>
    <x v="7"/>
    <s v="4"/>
    <s v="10"/>
    <s v="2024-10-24"/>
    <d v="1899-12-30T15:47:33"/>
    <x v="0"/>
  </r>
  <r>
    <s v="15"/>
    <s v="card"/>
    <n v="35.76"/>
    <x v="0"/>
    <x v="1"/>
    <x v="6"/>
    <x v="7"/>
    <s v="4"/>
    <s v="10"/>
    <s v="2024-10-24"/>
    <d v="1899-12-30T15:48:30"/>
    <x v="0"/>
  </r>
  <r>
    <s v="18"/>
    <s v="card"/>
    <n v="25.96"/>
    <x v="2"/>
    <x v="2"/>
    <x v="6"/>
    <x v="7"/>
    <s v="4"/>
    <s v="10"/>
    <s v="2024-10-24"/>
    <d v="1899-12-30T18:53:47"/>
    <x v="0"/>
  </r>
  <r>
    <s v="18"/>
    <s v="card"/>
    <n v="25.96"/>
    <x v="2"/>
    <x v="2"/>
    <x v="6"/>
    <x v="7"/>
    <s v="4"/>
    <s v="10"/>
    <s v="2024-10-24"/>
    <d v="1899-12-30T18:55:08"/>
    <x v="0"/>
  </r>
  <r>
    <s v="19"/>
    <s v="card"/>
    <n v="35.76"/>
    <x v="0"/>
    <x v="2"/>
    <x v="6"/>
    <x v="7"/>
    <s v="4"/>
    <s v="10"/>
    <s v="2024-10-24"/>
    <d v="1899-12-30T19:50:19"/>
    <x v="0"/>
  </r>
  <r>
    <s v="20"/>
    <s v="card"/>
    <n v="25.96"/>
    <x v="2"/>
    <x v="2"/>
    <x v="6"/>
    <x v="7"/>
    <s v="4"/>
    <s v="10"/>
    <s v="2024-10-24"/>
    <d v="1899-12-30T20:44:11"/>
    <x v="0"/>
  </r>
  <r>
    <s v="21"/>
    <s v="card"/>
    <n v="35.76"/>
    <x v="1"/>
    <x v="2"/>
    <x v="6"/>
    <x v="7"/>
    <s v="4"/>
    <s v="10"/>
    <s v="2024-10-24"/>
    <d v="1899-12-30T21:14:45"/>
    <x v="0"/>
  </r>
  <r>
    <s v="21"/>
    <s v="card"/>
    <n v="35.76"/>
    <x v="1"/>
    <x v="2"/>
    <x v="6"/>
    <x v="7"/>
    <s v="4"/>
    <s v="10"/>
    <s v="2024-10-24"/>
    <d v="1899-12-30T21:15:29"/>
    <x v="0"/>
  </r>
  <r>
    <s v="21"/>
    <s v="card"/>
    <n v="35.76"/>
    <x v="1"/>
    <x v="2"/>
    <x v="6"/>
    <x v="7"/>
    <s v="4"/>
    <s v="10"/>
    <s v="2024-10-24"/>
    <d v="1899-12-30T21:56:20"/>
    <x v="0"/>
  </r>
  <r>
    <s v="21"/>
    <s v="card"/>
    <n v="35.76"/>
    <x v="7"/>
    <x v="2"/>
    <x v="6"/>
    <x v="7"/>
    <s v="4"/>
    <s v="10"/>
    <s v="2024-10-24"/>
    <d v="1899-12-30T21:57:10"/>
    <x v="0"/>
  </r>
  <r>
    <s v="7"/>
    <s v="card"/>
    <n v="35.76"/>
    <x v="7"/>
    <x v="0"/>
    <x v="0"/>
    <x v="7"/>
    <s v="5"/>
    <s v="10"/>
    <s v="2024-10-25"/>
    <d v="1899-12-30T07:38:11"/>
    <x v="0"/>
  </r>
  <r>
    <s v="7"/>
    <s v="card"/>
    <n v="21.06"/>
    <x v="6"/>
    <x v="0"/>
    <x v="0"/>
    <x v="7"/>
    <s v="5"/>
    <s v="10"/>
    <s v="2024-10-25"/>
    <d v="1899-12-30T07:45:23"/>
    <x v="0"/>
  </r>
  <r>
    <s v="8"/>
    <s v="card"/>
    <n v="35.76"/>
    <x v="4"/>
    <x v="0"/>
    <x v="0"/>
    <x v="7"/>
    <s v="5"/>
    <s v="10"/>
    <s v="2024-10-25"/>
    <d v="1899-12-30T08:10:05"/>
    <x v="0"/>
  </r>
  <r>
    <s v="8"/>
    <s v="card"/>
    <n v="35.76"/>
    <x v="0"/>
    <x v="0"/>
    <x v="0"/>
    <x v="7"/>
    <s v="5"/>
    <s v="10"/>
    <s v="2024-10-25"/>
    <d v="1899-12-30T08:10:55"/>
    <x v="0"/>
  </r>
  <r>
    <s v="8"/>
    <s v="card"/>
    <n v="35.76"/>
    <x v="4"/>
    <x v="0"/>
    <x v="0"/>
    <x v="7"/>
    <s v="5"/>
    <s v="10"/>
    <s v="2024-10-25"/>
    <d v="1899-12-30T08:18:50"/>
    <x v="0"/>
  </r>
  <r>
    <s v="10"/>
    <s v="card"/>
    <n v="25.96"/>
    <x v="2"/>
    <x v="0"/>
    <x v="0"/>
    <x v="7"/>
    <s v="5"/>
    <s v="10"/>
    <s v="2024-10-25"/>
    <d v="1899-12-30T10:03:28"/>
    <x v="0"/>
  </r>
  <r>
    <s v="10"/>
    <s v="card"/>
    <n v="25.96"/>
    <x v="2"/>
    <x v="0"/>
    <x v="0"/>
    <x v="7"/>
    <s v="5"/>
    <s v="10"/>
    <s v="2024-10-25"/>
    <d v="1899-12-30T10:05:21"/>
    <x v="0"/>
  </r>
  <r>
    <s v="10"/>
    <s v="card"/>
    <n v="30.86"/>
    <x v="3"/>
    <x v="0"/>
    <x v="0"/>
    <x v="7"/>
    <s v="5"/>
    <s v="10"/>
    <s v="2024-10-25"/>
    <d v="1899-12-30T10:51:01"/>
    <x v="0"/>
  </r>
  <r>
    <s v="11"/>
    <s v="card"/>
    <n v="35.76"/>
    <x v="4"/>
    <x v="0"/>
    <x v="0"/>
    <x v="7"/>
    <s v="5"/>
    <s v="10"/>
    <s v="2024-10-25"/>
    <d v="1899-12-30T11:49:43"/>
    <x v="0"/>
  </r>
  <r>
    <s v="11"/>
    <s v="card"/>
    <n v="35.76"/>
    <x v="4"/>
    <x v="0"/>
    <x v="0"/>
    <x v="7"/>
    <s v="5"/>
    <s v="10"/>
    <s v="2024-10-25"/>
    <d v="1899-12-30T11:50:30"/>
    <x v="0"/>
  </r>
  <r>
    <s v="12"/>
    <s v="card"/>
    <n v="25.96"/>
    <x v="5"/>
    <x v="1"/>
    <x v="0"/>
    <x v="7"/>
    <s v="5"/>
    <s v="10"/>
    <s v="2024-10-25"/>
    <d v="1899-12-30T12:06:50"/>
    <x v="0"/>
  </r>
  <r>
    <s v="12"/>
    <s v="card"/>
    <n v="35.76"/>
    <x v="0"/>
    <x v="1"/>
    <x v="0"/>
    <x v="7"/>
    <s v="5"/>
    <s v="10"/>
    <s v="2024-10-25"/>
    <d v="1899-12-30T12:40:37"/>
    <x v="0"/>
  </r>
  <r>
    <s v="14"/>
    <s v="card"/>
    <n v="35.76"/>
    <x v="7"/>
    <x v="1"/>
    <x v="0"/>
    <x v="7"/>
    <s v="5"/>
    <s v="10"/>
    <s v="2024-10-25"/>
    <d v="1899-12-30T14:23:17"/>
    <x v="0"/>
  </r>
  <r>
    <s v="22"/>
    <s v="card"/>
    <n v="35.76"/>
    <x v="1"/>
    <x v="2"/>
    <x v="0"/>
    <x v="7"/>
    <s v="5"/>
    <s v="10"/>
    <s v="2024-10-25"/>
    <d v="1899-12-30T22:19:24"/>
    <x v="0"/>
  </r>
  <r>
    <s v="22"/>
    <s v="card"/>
    <n v="21.06"/>
    <x v="6"/>
    <x v="2"/>
    <x v="0"/>
    <x v="7"/>
    <s v="5"/>
    <s v="10"/>
    <s v="2024-10-25"/>
    <d v="1899-12-30T22:22:32"/>
    <x v="0"/>
  </r>
  <r>
    <s v="7"/>
    <s v="card"/>
    <n v="35.76"/>
    <x v="7"/>
    <x v="0"/>
    <x v="1"/>
    <x v="7"/>
    <s v="6"/>
    <s v="10"/>
    <s v="2024-10-26"/>
    <d v="1899-12-30T07:49:59"/>
    <x v="0"/>
  </r>
  <r>
    <s v="8"/>
    <s v="card"/>
    <n v="25.96"/>
    <x v="5"/>
    <x v="0"/>
    <x v="1"/>
    <x v="7"/>
    <s v="6"/>
    <s v="10"/>
    <s v="2024-10-26"/>
    <d v="1899-12-30T08:41:45"/>
    <x v="0"/>
  </r>
  <r>
    <s v="8"/>
    <s v="card"/>
    <n v="35.76"/>
    <x v="7"/>
    <x v="0"/>
    <x v="1"/>
    <x v="7"/>
    <s v="6"/>
    <s v="10"/>
    <s v="2024-10-26"/>
    <d v="1899-12-30T08:53:00"/>
    <x v="0"/>
  </r>
  <r>
    <s v="10"/>
    <s v="card"/>
    <n v="25.96"/>
    <x v="2"/>
    <x v="0"/>
    <x v="1"/>
    <x v="7"/>
    <s v="6"/>
    <s v="10"/>
    <s v="2024-10-26"/>
    <d v="1899-12-30T10:24:38"/>
    <x v="0"/>
  </r>
  <r>
    <s v="12"/>
    <s v="card"/>
    <n v="35.76"/>
    <x v="4"/>
    <x v="1"/>
    <x v="1"/>
    <x v="7"/>
    <s v="6"/>
    <s v="10"/>
    <s v="2024-10-26"/>
    <d v="1899-12-30T12:18:09"/>
    <x v="0"/>
  </r>
  <r>
    <s v="13"/>
    <s v="card"/>
    <n v="35.76"/>
    <x v="0"/>
    <x v="1"/>
    <x v="1"/>
    <x v="7"/>
    <s v="6"/>
    <s v="10"/>
    <s v="2024-10-26"/>
    <d v="1899-12-30T13:03:31"/>
    <x v="0"/>
  </r>
  <r>
    <s v="14"/>
    <s v="card"/>
    <n v="35.76"/>
    <x v="0"/>
    <x v="1"/>
    <x v="1"/>
    <x v="7"/>
    <s v="6"/>
    <s v="10"/>
    <s v="2024-10-26"/>
    <d v="1899-12-30T14:34:59"/>
    <x v="0"/>
  </r>
  <r>
    <s v="14"/>
    <s v="card"/>
    <n v="30.86"/>
    <x v="3"/>
    <x v="1"/>
    <x v="1"/>
    <x v="7"/>
    <s v="6"/>
    <s v="10"/>
    <s v="2024-10-26"/>
    <d v="1899-12-30T14:36:15"/>
    <x v="0"/>
  </r>
  <r>
    <s v="15"/>
    <s v="card"/>
    <n v="25.96"/>
    <x v="5"/>
    <x v="1"/>
    <x v="1"/>
    <x v="7"/>
    <s v="6"/>
    <s v="10"/>
    <s v="2024-10-26"/>
    <d v="1899-12-30T15:05:22"/>
    <x v="0"/>
  </r>
  <r>
    <s v="15"/>
    <s v="card"/>
    <n v="25.96"/>
    <x v="5"/>
    <x v="1"/>
    <x v="1"/>
    <x v="7"/>
    <s v="6"/>
    <s v="10"/>
    <s v="2024-10-26"/>
    <d v="1899-12-30T15:06:19"/>
    <x v="0"/>
  </r>
  <r>
    <s v="15"/>
    <s v="card"/>
    <n v="35.76"/>
    <x v="0"/>
    <x v="1"/>
    <x v="1"/>
    <x v="7"/>
    <s v="6"/>
    <s v="10"/>
    <s v="2024-10-26"/>
    <d v="1899-12-30T15:38:29"/>
    <x v="0"/>
  </r>
  <r>
    <s v="15"/>
    <s v="card"/>
    <n v="35.76"/>
    <x v="0"/>
    <x v="1"/>
    <x v="1"/>
    <x v="7"/>
    <s v="6"/>
    <s v="10"/>
    <s v="2024-10-26"/>
    <d v="1899-12-30T15:39:30"/>
    <x v="0"/>
  </r>
  <r>
    <s v="15"/>
    <s v="card"/>
    <n v="30.86"/>
    <x v="3"/>
    <x v="1"/>
    <x v="1"/>
    <x v="7"/>
    <s v="6"/>
    <s v="10"/>
    <s v="2024-10-26"/>
    <d v="1899-12-30T15:52:02"/>
    <x v="0"/>
  </r>
  <r>
    <s v="15"/>
    <s v="card"/>
    <n v="30.86"/>
    <x v="3"/>
    <x v="1"/>
    <x v="1"/>
    <x v="7"/>
    <s v="6"/>
    <s v="10"/>
    <s v="2024-10-26"/>
    <d v="1899-12-30T15:53:22"/>
    <x v="0"/>
  </r>
  <r>
    <s v="19"/>
    <s v="card"/>
    <n v="35.76"/>
    <x v="7"/>
    <x v="2"/>
    <x v="1"/>
    <x v="7"/>
    <s v="6"/>
    <s v="10"/>
    <s v="2024-10-26"/>
    <d v="1899-12-30T19:19:21"/>
    <x v="0"/>
  </r>
  <r>
    <s v="20"/>
    <s v="card"/>
    <n v="30.86"/>
    <x v="3"/>
    <x v="2"/>
    <x v="1"/>
    <x v="7"/>
    <s v="6"/>
    <s v="10"/>
    <s v="2024-10-26"/>
    <d v="1899-12-30T20:34:47"/>
    <x v="0"/>
  </r>
  <r>
    <s v="11"/>
    <s v="card"/>
    <n v="30.86"/>
    <x v="3"/>
    <x v="0"/>
    <x v="2"/>
    <x v="7"/>
    <s v="7"/>
    <s v="10"/>
    <s v="2024-10-27"/>
    <d v="1899-12-30T11:01:57"/>
    <x v="0"/>
  </r>
  <r>
    <s v="12"/>
    <s v="card"/>
    <n v="35.76"/>
    <x v="0"/>
    <x v="1"/>
    <x v="2"/>
    <x v="7"/>
    <s v="7"/>
    <s v="10"/>
    <s v="2024-10-27"/>
    <d v="1899-12-30T12:53:26"/>
    <x v="0"/>
  </r>
  <r>
    <s v="12"/>
    <s v="card"/>
    <n v="30.86"/>
    <x v="3"/>
    <x v="1"/>
    <x v="2"/>
    <x v="7"/>
    <s v="7"/>
    <s v="10"/>
    <s v="2024-10-27"/>
    <d v="1899-12-30T12:54:28"/>
    <x v="0"/>
  </r>
  <r>
    <s v="13"/>
    <s v="card"/>
    <n v="35.76"/>
    <x v="7"/>
    <x v="1"/>
    <x v="2"/>
    <x v="7"/>
    <s v="7"/>
    <s v="10"/>
    <s v="2024-10-27"/>
    <d v="1899-12-30T13:43:47"/>
    <x v="0"/>
  </r>
  <r>
    <s v="16"/>
    <s v="card"/>
    <n v="35.76"/>
    <x v="0"/>
    <x v="1"/>
    <x v="2"/>
    <x v="7"/>
    <s v="7"/>
    <s v="10"/>
    <s v="2024-10-27"/>
    <d v="1899-12-30T16:17:06"/>
    <x v="0"/>
  </r>
  <r>
    <s v="7"/>
    <s v="card"/>
    <n v="35.76"/>
    <x v="7"/>
    <x v="0"/>
    <x v="3"/>
    <x v="7"/>
    <s v="1"/>
    <s v="10"/>
    <s v="2024-10-28"/>
    <d v="1899-12-30T07:46:28"/>
    <x v="0"/>
  </r>
  <r>
    <s v="8"/>
    <s v="card"/>
    <n v="25.96"/>
    <x v="2"/>
    <x v="0"/>
    <x v="3"/>
    <x v="7"/>
    <s v="1"/>
    <s v="10"/>
    <s v="2024-10-28"/>
    <d v="1899-12-30T08:01:12"/>
    <x v="0"/>
  </r>
  <r>
    <s v="8"/>
    <s v="card"/>
    <n v="35.76"/>
    <x v="0"/>
    <x v="0"/>
    <x v="3"/>
    <x v="7"/>
    <s v="1"/>
    <s v="10"/>
    <s v="2024-10-28"/>
    <d v="1899-12-30T08:35:03"/>
    <x v="0"/>
  </r>
  <r>
    <s v="9"/>
    <s v="card"/>
    <n v="30.86"/>
    <x v="3"/>
    <x v="0"/>
    <x v="3"/>
    <x v="7"/>
    <s v="1"/>
    <s v="10"/>
    <s v="2024-10-28"/>
    <d v="1899-12-30T09:15:43"/>
    <x v="0"/>
  </r>
  <r>
    <s v="11"/>
    <s v="card"/>
    <n v="35.76"/>
    <x v="0"/>
    <x v="0"/>
    <x v="3"/>
    <x v="7"/>
    <s v="1"/>
    <s v="10"/>
    <s v="2024-10-28"/>
    <d v="1899-12-30T11:42:36"/>
    <x v="0"/>
  </r>
  <r>
    <s v="11"/>
    <s v="card"/>
    <n v="35.76"/>
    <x v="0"/>
    <x v="0"/>
    <x v="3"/>
    <x v="7"/>
    <s v="1"/>
    <s v="10"/>
    <s v="2024-10-28"/>
    <d v="1899-12-30T11:43:43"/>
    <x v="0"/>
  </r>
  <r>
    <s v="12"/>
    <s v="card"/>
    <n v="35.76"/>
    <x v="1"/>
    <x v="1"/>
    <x v="3"/>
    <x v="7"/>
    <s v="1"/>
    <s v="10"/>
    <s v="2024-10-28"/>
    <d v="1899-12-30T12:01:36"/>
    <x v="0"/>
  </r>
  <r>
    <s v="12"/>
    <s v="card"/>
    <n v="30.86"/>
    <x v="3"/>
    <x v="1"/>
    <x v="3"/>
    <x v="7"/>
    <s v="1"/>
    <s v="10"/>
    <s v="2024-10-28"/>
    <d v="1899-12-30T12:02:35"/>
    <x v="0"/>
  </r>
  <r>
    <s v="12"/>
    <s v="card"/>
    <n v="35.76"/>
    <x v="7"/>
    <x v="1"/>
    <x v="3"/>
    <x v="7"/>
    <s v="1"/>
    <s v="10"/>
    <s v="2024-10-28"/>
    <d v="1899-12-30T12:21:30"/>
    <x v="0"/>
  </r>
  <r>
    <s v="14"/>
    <s v="card"/>
    <n v="30.86"/>
    <x v="3"/>
    <x v="1"/>
    <x v="3"/>
    <x v="7"/>
    <s v="1"/>
    <s v="10"/>
    <s v="2024-10-28"/>
    <d v="1899-12-30T14:10:55"/>
    <x v="0"/>
  </r>
  <r>
    <s v="14"/>
    <s v="card"/>
    <n v="30.86"/>
    <x v="3"/>
    <x v="1"/>
    <x v="3"/>
    <x v="7"/>
    <s v="1"/>
    <s v="10"/>
    <s v="2024-10-28"/>
    <d v="1899-12-30T14:11:56"/>
    <x v="0"/>
  </r>
  <r>
    <s v="14"/>
    <s v="card"/>
    <n v="30.86"/>
    <x v="3"/>
    <x v="1"/>
    <x v="3"/>
    <x v="7"/>
    <s v="1"/>
    <s v="10"/>
    <s v="2024-10-28"/>
    <d v="1899-12-30T14:31:00"/>
    <x v="0"/>
  </r>
  <r>
    <s v="16"/>
    <s v="card"/>
    <n v="35.76"/>
    <x v="0"/>
    <x v="1"/>
    <x v="3"/>
    <x v="7"/>
    <s v="1"/>
    <s v="10"/>
    <s v="2024-10-28"/>
    <d v="1899-12-30T16:01:21"/>
    <x v="0"/>
  </r>
  <r>
    <s v="17"/>
    <s v="card"/>
    <n v="35.76"/>
    <x v="4"/>
    <x v="2"/>
    <x v="3"/>
    <x v="7"/>
    <s v="1"/>
    <s v="10"/>
    <s v="2024-10-28"/>
    <d v="1899-12-30T17:55:18"/>
    <x v="0"/>
  </r>
  <r>
    <s v="17"/>
    <s v="card"/>
    <n v="35.76"/>
    <x v="4"/>
    <x v="2"/>
    <x v="3"/>
    <x v="7"/>
    <s v="1"/>
    <s v="10"/>
    <s v="2024-10-28"/>
    <d v="1899-12-30T17:56:02"/>
    <x v="0"/>
  </r>
  <r>
    <s v="19"/>
    <s v="card"/>
    <n v="35.76"/>
    <x v="7"/>
    <x v="2"/>
    <x v="3"/>
    <x v="7"/>
    <s v="1"/>
    <s v="10"/>
    <s v="2024-10-28"/>
    <d v="1899-12-30T19:10:25"/>
    <x v="0"/>
  </r>
  <r>
    <s v="21"/>
    <s v="card"/>
    <n v="30.86"/>
    <x v="3"/>
    <x v="2"/>
    <x v="3"/>
    <x v="7"/>
    <s v="1"/>
    <s v="10"/>
    <s v="2024-10-28"/>
    <d v="1899-12-30T21:20:04"/>
    <x v="0"/>
  </r>
  <r>
    <s v="22"/>
    <s v="card"/>
    <n v="30.86"/>
    <x v="3"/>
    <x v="2"/>
    <x v="3"/>
    <x v="7"/>
    <s v="1"/>
    <s v="10"/>
    <s v="2024-10-28"/>
    <d v="1899-12-30T22:05:51"/>
    <x v="0"/>
  </r>
  <r>
    <s v="8"/>
    <s v="card"/>
    <n v="35.76"/>
    <x v="0"/>
    <x v="0"/>
    <x v="4"/>
    <x v="7"/>
    <s v="2"/>
    <s v="10"/>
    <s v="2024-10-29"/>
    <d v="1899-12-30T08:40:52"/>
    <x v="0"/>
  </r>
  <r>
    <s v="8"/>
    <s v="card"/>
    <n v="35.76"/>
    <x v="0"/>
    <x v="0"/>
    <x v="4"/>
    <x v="7"/>
    <s v="2"/>
    <s v="10"/>
    <s v="2024-10-29"/>
    <d v="1899-12-30T08:47:06"/>
    <x v="0"/>
  </r>
  <r>
    <s v="9"/>
    <s v="card"/>
    <n v="35.76"/>
    <x v="0"/>
    <x v="0"/>
    <x v="4"/>
    <x v="7"/>
    <s v="2"/>
    <s v="10"/>
    <s v="2024-10-29"/>
    <d v="1899-12-30T09:31:58"/>
    <x v="0"/>
  </r>
  <r>
    <s v="11"/>
    <s v="card"/>
    <n v="30.86"/>
    <x v="3"/>
    <x v="0"/>
    <x v="4"/>
    <x v="7"/>
    <s v="2"/>
    <s v="10"/>
    <s v="2024-10-29"/>
    <d v="1899-12-30T11:59:47"/>
    <x v="0"/>
  </r>
  <r>
    <s v="12"/>
    <s v="card"/>
    <n v="21.06"/>
    <x v="6"/>
    <x v="1"/>
    <x v="4"/>
    <x v="7"/>
    <s v="2"/>
    <s v="10"/>
    <s v="2024-10-29"/>
    <d v="1899-12-30T12:21:37"/>
    <x v="0"/>
  </r>
  <r>
    <s v="14"/>
    <s v="card"/>
    <n v="25.96"/>
    <x v="5"/>
    <x v="1"/>
    <x v="4"/>
    <x v="7"/>
    <s v="2"/>
    <s v="10"/>
    <s v="2024-10-29"/>
    <d v="1899-12-30T14:15:44"/>
    <x v="0"/>
  </r>
  <r>
    <s v="14"/>
    <s v="card"/>
    <n v="25.96"/>
    <x v="5"/>
    <x v="1"/>
    <x v="4"/>
    <x v="7"/>
    <s v="2"/>
    <s v="10"/>
    <s v="2024-10-29"/>
    <d v="1899-12-30T14:17:01"/>
    <x v="0"/>
  </r>
  <r>
    <s v="14"/>
    <s v="card"/>
    <n v="35.76"/>
    <x v="7"/>
    <x v="1"/>
    <x v="4"/>
    <x v="7"/>
    <s v="2"/>
    <s v="10"/>
    <s v="2024-10-29"/>
    <d v="1899-12-30T14:37:36"/>
    <x v="0"/>
  </r>
  <r>
    <s v="16"/>
    <s v="card"/>
    <n v="35.76"/>
    <x v="1"/>
    <x v="1"/>
    <x v="4"/>
    <x v="7"/>
    <s v="2"/>
    <s v="10"/>
    <s v="2024-10-29"/>
    <d v="1899-12-30T16:09:34"/>
    <x v="0"/>
  </r>
  <r>
    <s v="16"/>
    <s v="card"/>
    <n v="35.76"/>
    <x v="4"/>
    <x v="1"/>
    <x v="4"/>
    <x v="7"/>
    <s v="2"/>
    <s v="10"/>
    <s v="2024-10-29"/>
    <d v="1899-12-30T16:10:57"/>
    <x v="0"/>
  </r>
  <r>
    <s v="16"/>
    <s v="card"/>
    <n v="35.76"/>
    <x v="4"/>
    <x v="1"/>
    <x v="4"/>
    <x v="7"/>
    <s v="2"/>
    <s v="10"/>
    <s v="2024-10-29"/>
    <d v="1899-12-30T16:17:33"/>
    <x v="0"/>
  </r>
  <r>
    <s v="18"/>
    <s v="card"/>
    <n v="30.86"/>
    <x v="3"/>
    <x v="2"/>
    <x v="4"/>
    <x v="7"/>
    <s v="2"/>
    <s v="10"/>
    <s v="2024-10-29"/>
    <d v="1899-12-30T18:02:04"/>
    <x v="0"/>
  </r>
  <r>
    <s v="18"/>
    <s v="card"/>
    <n v="30.86"/>
    <x v="3"/>
    <x v="2"/>
    <x v="4"/>
    <x v="7"/>
    <s v="2"/>
    <s v="10"/>
    <s v="2024-10-29"/>
    <d v="1899-12-30T18:02:57"/>
    <x v="0"/>
  </r>
  <r>
    <s v="19"/>
    <s v="card"/>
    <n v="30.86"/>
    <x v="3"/>
    <x v="2"/>
    <x v="4"/>
    <x v="7"/>
    <s v="2"/>
    <s v="10"/>
    <s v="2024-10-29"/>
    <d v="1899-12-30T19:02:05"/>
    <x v="0"/>
  </r>
  <r>
    <s v="19"/>
    <s v="card"/>
    <n v="35.76"/>
    <x v="7"/>
    <x v="2"/>
    <x v="4"/>
    <x v="7"/>
    <s v="2"/>
    <s v="10"/>
    <s v="2024-10-29"/>
    <d v="1899-12-30T19:05:44"/>
    <x v="0"/>
  </r>
  <r>
    <s v="19"/>
    <s v="card"/>
    <n v="35.76"/>
    <x v="1"/>
    <x v="2"/>
    <x v="4"/>
    <x v="7"/>
    <s v="2"/>
    <s v="10"/>
    <s v="2024-10-29"/>
    <d v="1899-12-30T19:51:13"/>
    <x v="0"/>
  </r>
  <r>
    <s v="19"/>
    <s v="card"/>
    <n v="35.76"/>
    <x v="0"/>
    <x v="2"/>
    <x v="4"/>
    <x v="7"/>
    <s v="2"/>
    <s v="10"/>
    <s v="2024-10-29"/>
    <d v="1899-12-30T19:54:02"/>
    <x v="0"/>
  </r>
  <r>
    <s v="20"/>
    <s v="card"/>
    <n v="35.76"/>
    <x v="0"/>
    <x v="2"/>
    <x v="4"/>
    <x v="7"/>
    <s v="2"/>
    <s v="10"/>
    <s v="2024-10-29"/>
    <d v="1899-12-30T20:07:36"/>
    <x v="0"/>
  </r>
  <r>
    <s v="7"/>
    <s v="card"/>
    <n v="35.76"/>
    <x v="0"/>
    <x v="0"/>
    <x v="5"/>
    <x v="7"/>
    <s v="3"/>
    <s v="10"/>
    <s v="2024-10-30"/>
    <d v="1899-12-30T07:52:05"/>
    <x v="0"/>
  </r>
  <r>
    <s v="8"/>
    <s v="card"/>
    <n v="30.86"/>
    <x v="3"/>
    <x v="0"/>
    <x v="5"/>
    <x v="7"/>
    <s v="3"/>
    <s v="10"/>
    <s v="2024-10-30"/>
    <d v="1899-12-30T08:46:27"/>
    <x v="0"/>
  </r>
  <r>
    <s v="8"/>
    <s v="card"/>
    <n v="30.86"/>
    <x v="3"/>
    <x v="0"/>
    <x v="5"/>
    <x v="7"/>
    <s v="3"/>
    <s v="10"/>
    <s v="2024-10-30"/>
    <d v="1899-12-30T08:47:29"/>
    <x v="0"/>
  </r>
  <r>
    <s v="9"/>
    <s v="card"/>
    <n v="35.76"/>
    <x v="0"/>
    <x v="0"/>
    <x v="5"/>
    <x v="7"/>
    <s v="3"/>
    <s v="10"/>
    <s v="2024-10-30"/>
    <d v="1899-12-30T09:11:29"/>
    <x v="0"/>
  </r>
  <r>
    <s v="10"/>
    <s v="card"/>
    <n v="35.76"/>
    <x v="0"/>
    <x v="0"/>
    <x v="5"/>
    <x v="7"/>
    <s v="3"/>
    <s v="10"/>
    <s v="2024-10-30"/>
    <d v="1899-12-30T10:31:53"/>
    <x v="0"/>
  </r>
  <r>
    <s v="10"/>
    <s v="card"/>
    <n v="35.76"/>
    <x v="0"/>
    <x v="0"/>
    <x v="5"/>
    <x v="7"/>
    <s v="3"/>
    <s v="10"/>
    <s v="2024-10-30"/>
    <d v="1899-12-30T10:33:08"/>
    <x v="0"/>
  </r>
  <r>
    <s v="12"/>
    <s v="card"/>
    <n v="35.76"/>
    <x v="0"/>
    <x v="1"/>
    <x v="5"/>
    <x v="7"/>
    <s v="3"/>
    <s v="10"/>
    <s v="2024-10-30"/>
    <d v="1899-12-30T12:08:46"/>
    <x v="0"/>
  </r>
  <r>
    <s v="12"/>
    <s v="card"/>
    <n v="25.96"/>
    <x v="2"/>
    <x v="1"/>
    <x v="5"/>
    <x v="7"/>
    <s v="3"/>
    <s v="10"/>
    <s v="2024-10-30"/>
    <d v="1899-12-30T12:09:47"/>
    <x v="0"/>
  </r>
  <r>
    <s v="12"/>
    <s v="card"/>
    <n v="30.86"/>
    <x v="3"/>
    <x v="1"/>
    <x v="5"/>
    <x v="7"/>
    <s v="3"/>
    <s v="10"/>
    <s v="2024-10-30"/>
    <d v="1899-12-30T12:10:58"/>
    <x v="0"/>
  </r>
  <r>
    <s v="12"/>
    <s v="card"/>
    <n v="25.96"/>
    <x v="2"/>
    <x v="1"/>
    <x v="5"/>
    <x v="7"/>
    <s v="3"/>
    <s v="10"/>
    <s v="2024-10-30"/>
    <d v="1899-12-30T12:37:01"/>
    <x v="0"/>
  </r>
  <r>
    <s v="15"/>
    <s v="card"/>
    <n v="35.76"/>
    <x v="0"/>
    <x v="1"/>
    <x v="5"/>
    <x v="7"/>
    <s v="3"/>
    <s v="10"/>
    <s v="2024-10-30"/>
    <d v="1899-12-30T15:05:15"/>
    <x v="0"/>
  </r>
  <r>
    <s v="15"/>
    <s v="card"/>
    <n v="35.76"/>
    <x v="0"/>
    <x v="1"/>
    <x v="5"/>
    <x v="7"/>
    <s v="3"/>
    <s v="10"/>
    <s v="2024-10-30"/>
    <d v="1899-12-30T15:07:03"/>
    <x v="0"/>
  </r>
  <r>
    <s v="16"/>
    <s v="card"/>
    <n v="30.86"/>
    <x v="3"/>
    <x v="1"/>
    <x v="5"/>
    <x v="7"/>
    <s v="3"/>
    <s v="10"/>
    <s v="2024-10-30"/>
    <d v="1899-12-30T16:04:48"/>
    <x v="0"/>
  </r>
  <r>
    <s v="18"/>
    <s v="card"/>
    <n v="35.76"/>
    <x v="1"/>
    <x v="2"/>
    <x v="5"/>
    <x v="7"/>
    <s v="3"/>
    <s v="10"/>
    <s v="2024-10-30"/>
    <d v="1899-12-30T18:08:12"/>
    <x v="0"/>
  </r>
  <r>
    <s v="19"/>
    <s v="card"/>
    <n v="30.86"/>
    <x v="3"/>
    <x v="2"/>
    <x v="5"/>
    <x v="7"/>
    <s v="3"/>
    <s v="10"/>
    <s v="2024-10-30"/>
    <d v="1899-12-30T19:18:31"/>
    <x v="0"/>
  </r>
  <r>
    <s v="19"/>
    <s v="card"/>
    <n v="30.86"/>
    <x v="3"/>
    <x v="2"/>
    <x v="5"/>
    <x v="7"/>
    <s v="3"/>
    <s v="10"/>
    <s v="2024-10-30"/>
    <d v="1899-12-30T19:43:21"/>
    <x v="0"/>
  </r>
  <r>
    <s v="7"/>
    <s v="card"/>
    <n v="35.76"/>
    <x v="0"/>
    <x v="0"/>
    <x v="6"/>
    <x v="7"/>
    <s v="4"/>
    <s v="10"/>
    <s v="2024-10-31"/>
    <d v="1899-12-30T07:54:17"/>
    <x v="0"/>
  </r>
  <r>
    <s v="8"/>
    <s v="card"/>
    <n v="35.76"/>
    <x v="0"/>
    <x v="0"/>
    <x v="6"/>
    <x v="7"/>
    <s v="4"/>
    <s v="10"/>
    <s v="2024-10-31"/>
    <d v="1899-12-30T08:38:54"/>
    <x v="0"/>
  </r>
  <r>
    <s v="9"/>
    <s v="card"/>
    <n v="30.86"/>
    <x v="3"/>
    <x v="0"/>
    <x v="6"/>
    <x v="7"/>
    <s v="4"/>
    <s v="10"/>
    <s v="2024-10-31"/>
    <d v="1899-12-30T09:18:19"/>
    <x v="0"/>
  </r>
  <r>
    <s v="15"/>
    <s v="card"/>
    <n v="35.76"/>
    <x v="0"/>
    <x v="1"/>
    <x v="6"/>
    <x v="7"/>
    <s v="4"/>
    <s v="10"/>
    <s v="2024-10-31"/>
    <d v="1899-12-30T15:59:27"/>
    <x v="0"/>
  </r>
  <r>
    <s v="16"/>
    <s v="card"/>
    <n v="30.86"/>
    <x v="3"/>
    <x v="1"/>
    <x v="6"/>
    <x v="7"/>
    <s v="4"/>
    <s v="10"/>
    <s v="2024-10-31"/>
    <d v="1899-12-30T16:00:31"/>
    <x v="0"/>
  </r>
  <r>
    <s v="8"/>
    <s v="card"/>
    <n v="35.76"/>
    <x v="4"/>
    <x v="0"/>
    <x v="0"/>
    <x v="8"/>
    <s v="5"/>
    <s v="11"/>
    <s v="2024-11-01"/>
    <d v="1899-12-30T08:24:03"/>
    <x v="0"/>
  </r>
  <r>
    <s v="8"/>
    <s v="card"/>
    <n v="25.96"/>
    <x v="2"/>
    <x v="0"/>
    <x v="0"/>
    <x v="8"/>
    <s v="5"/>
    <s v="11"/>
    <s v="2024-11-01"/>
    <d v="1899-12-30T08:30:58"/>
    <x v="0"/>
  </r>
  <r>
    <s v="10"/>
    <s v="card"/>
    <n v="35.76"/>
    <x v="0"/>
    <x v="0"/>
    <x v="0"/>
    <x v="8"/>
    <s v="5"/>
    <s v="11"/>
    <s v="2024-11-01"/>
    <d v="1899-12-30T10:54:50"/>
    <x v="0"/>
  </r>
  <r>
    <s v="12"/>
    <s v="card"/>
    <n v="35.76"/>
    <x v="4"/>
    <x v="1"/>
    <x v="0"/>
    <x v="8"/>
    <s v="5"/>
    <s v="11"/>
    <s v="2024-11-01"/>
    <d v="1899-12-30T12:41:27"/>
    <x v="0"/>
  </r>
  <r>
    <s v="12"/>
    <s v="card"/>
    <n v="35.76"/>
    <x v="4"/>
    <x v="1"/>
    <x v="0"/>
    <x v="8"/>
    <s v="5"/>
    <s v="11"/>
    <s v="2024-11-01"/>
    <d v="1899-12-30T12:42:18"/>
    <x v="0"/>
  </r>
  <r>
    <s v="15"/>
    <s v="card"/>
    <n v="25.96"/>
    <x v="5"/>
    <x v="1"/>
    <x v="0"/>
    <x v="8"/>
    <s v="5"/>
    <s v="11"/>
    <s v="2024-11-01"/>
    <d v="1899-12-30T15:55:42"/>
    <x v="0"/>
  </r>
  <r>
    <s v="22"/>
    <s v="card"/>
    <n v="30.86"/>
    <x v="3"/>
    <x v="2"/>
    <x v="0"/>
    <x v="8"/>
    <s v="5"/>
    <s v="11"/>
    <s v="2024-11-01"/>
    <d v="1899-12-30T22:41:56"/>
    <x v="0"/>
  </r>
  <r>
    <s v="8"/>
    <s v="card"/>
    <n v="25.96"/>
    <x v="5"/>
    <x v="0"/>
    <x v="1"/>
    <x v="8"/>
    <s v="6"/>
    <s v="11"/>
    <s v="2024-11-02"/>
    <d v="1899-12-30T08:19:44"/>
    <x v="0"/>
  </r>
  <r>
    <s v="10"/>
    <s v="card"/>
    <n v="35.76"/>
    <x v="4"/>
    <x v="0"/>
    <x v="1"/>
    <x v="8"/>
    <s v="6"/>
    <s v="11"/>
    <s v="2024-11-02"/>
    <d v="1899-12-30T10:25:46"/>
    <x v="0"/>
  </r>
  <r>
    <s v="10"/>
    <s v="card"/>
    <n v="30.86"/>
    <x v="3"/>
    <x v="0"/>
    <x v="1"/>
    <x v="8"/>
    <s v="6"/>
    <s v="11"/>
    <s v="2024-11-02"/>
    <d v="1899-12-30T10:33:10"/>
    <x v="0"/>
  </r>
  <r>
    <s v="14"/>
    <s v="card"/>
    <n v="30.86"/>
    <x v="3"/>
    <x v="1"/>
    <x v="1"/>
    <x v="8"/>
    <s v="6"/>
    <s v="11"/>
    <s v="2024-11-02"/>
    <d v="1899-12-30T14:54:15"/>
    <x v="0"/>
  </r>
  <r>
    <s v="16"/>
    <s v="card"/>
    <n v="35.76"/>
    <x v="1"/>
    <x v="1"/>
    <x v="1"/>
    <x v="8"/>
    <s v="6"/>
    <s v="11"/>
    <s v="2024-11-02"/>
    <d v="1899-12-30T16:24:16"/>
    <x v="0"/>
  </r>
  <r>
    <s v="16"/>
    <s v="card"/>
    <n v="35.76"/>
    <x v="0"/>
    <x v="1"/>
    <x v="1"/>
    <x v="8"/>
    <s v="6"/>
    <s v="11"/>
    <s v="2024-11-02"/>
    <d v="1899-12-30T16:25:57"/>
    <x v="0"/>
  </r>
  <r>
    <s v="16"/>
    <s v="card"/>
    <n v="35.76"/>
    <x v="0"/>
    <x v="1"/>
    <x v="1"/>
    <x v="8"/>
    <s v="6"/>
    <s v="11"/>
    <s v="2024-11-02"/>
    <d v="1899-12-30T16:37:05"/>
    <x v="0"/>
  </r>
  <r>
    <s v="18"/>
    <s v="card"/>
    <n v="30.86"/>
    <x v="3"/>
    <x v="2"/>
    <x v="1"/>
    <x v="8"/>
    <s v="6"/>
    <s v="11"/>
    <s v="2024-11-02"/>
    <d v="1899-12-30T18:18:27"/>
    <x v="0"/>
  </r>
  <r>
    <s v="18"/>
    <s v="card"/>
    <n v="25.96"/>
    <x v="2"/>
    <x v="2"/>
    <x v="1"/>
    <x v="8"/>
    <s v="6"/>
    <s v="11"/>
    <s v="2024-11-02"/>
    <d v="1899-12-30T18:58:24"/>
    <x v="0"/>
  </r>
  <r>
    <s v="8"/>
    <s v="card"/>
    <n v="25.96"/>
    <x v="5"/>
    <x v="0"/>
    <x v="2"/>
    <x v="8"/>
    <s v="7"/>
    <s v="11"/>
    <s v="2024-11-03"/>
    <d v="1899-12-30T08:23:00"/>
    <x v="0"/>
  </r>
  <r>
    <s v="9"/>
    <s v="card"/>
    <n v="30.86"/>
    <x v="3"/>
    <x v="0"/>
    <x v="2"/>
    <x v="8"/>
    <s v="7"/>
    <s v="11"/>
    <s v="2024-11-03"/>
    <d v="1899-12-30T09:47:06"/>
    <x v="0"/>
  </r>
  <r>
    <s v="9"/>
    <s v="card"/>
    <n v="30.86"/>
    <x v="3"/>
    <x v="0"/>
    <x v="2"/>
    <x v="8"/>
    <s v="7"/>
    <s v="11"/>
    <s v="2024-11-03"/>
    <d v="1899-12-30T09:48:12"/>
    <x v="0"/>
  </r>
  <r>
    <s v="13"/>
    <s v="card"/>
    <n v="35.76"/>
    <x v="0"/>
    <x v="1"/>
    <x v="2"/>
    <x v="8"/>
    <s v="7"/>
    <s v="11"/>
    <s v="2024-11-03"/>
    <d v="1899-12-30T13:13:51"/>
    <x v="0"/>
  </r>
  <r>
    <s v="13"/>
    <s v="card"/>
    <n v="30.86"/>
    <x v="3"/>
    <x v="1"/>
    <x v="2"/>
    <x v="8"/>
    <s v="7"/>
    <s v="11"/>
    <s v="2024-11-03"/>
    <d v="1899-12-30T13:14:57"/>
    <x v="0"/>
  </r>
  <r>
    <s v="13"/>
    <s v="card"/>
    <n v="35.76"/>
    <x v="4"/>
    <x v="1"/>
    <x v="2"/>
    <x v="8"/>
    <s v="7"/>
    <s v="11"/>
    <s v="2024-11-03"/>
    <d v="1899-12-30T13:18:25"/>
    <x v="0"/>
  </r>
  <r>
    <s v="13"/>
    <s v="card"/>
    <n v="25.96"/>
    <x v="2"/>
    <x v="1"/>
    <x v="2"/>
    <x v="8"/>
    <s v="7"/>
    <s v="11"/>
    <s v="2024-11-03"/>
    <d v="1899-12-30T13:44:19"/>
    <x v="0"/>
  </r>
  <r>
    <s v="13"/>
    <s v="card"/>
    <n v="30.86"/>
    <x v="3"/>
    <x v="1"/>
    <x v="2"/>
    <x v="8"/>
    <s v="7"/>
    <s v="11"/>
    <s v="2024-11-03"/>
    <d v="1899-12-30T13:59:01"/>
    <x v="0"/>
  </r>
  <r>
    <s v="16"/>
    <s v="card"/>
    <n v="35.76"/>
    <x v="1"/>
    <x v="1"/>
    <x v="2"/>
    <x v="8"/>
    <s v="7"/>
    <s v="11"/>
    <s v="2024-11-03"/>
    <d v="1899-12-30T16:15:18"/>
    <x v="0"/>
  </r>
  <r>
    <s v="16"/>
    <s v="card"/>
    <n v="35.76"/>
    <x v="1"/>
    <x v="1"/>
    <x v="2"/>
    <x v="8"/>
    <s v="7"/>
    <s v="11"/>
    <s v="2024-11-03"/>
    <d v="1899-12-30T16:16:44"/>
    <x v="0"/>
  </r>
  <r>
    <s v="16"/>
    <s v="card"/>
    <n v="25.96"/>
    <x v="2"/>
    <x v="1"/>
    <x v="2"/>
    <x v="8"/>
    <s v="7"/>
    <s v="11"/>
    <s v="2024-11-03"/>
    <d v="1899-12-30T16:20:37"/>
    <x v="0"/>
  </r>
  <r>
    <s v="16"/>
    <s v="card"/>
    <n v="25.96"/>
    <x v="2"/>
    <x v="1"/>
    <x v="2"/>
    <x v="8"/>
    <s v="7"/>
    <s v="11"/>
    <s v="2024-11-03"/>
    <d v="1899-12-30T16:21:46"/>
    <x v="0"/>
  </r>
  <r>
    <s v="20"/>
    <s v="card"/>
    <n v="35.76"/>
    <x v="4"/>
    <x v="2"/>
    <x v="2"/>
    <x v="8"/>
    <s v="7"/>
    <s v="11"/>
    <s v="2024-11-03"/>
    <d v="1899-12-30T20:26:15"/>
    <x v="0"/>
  </r>
  <r>
    <s v="7"/>
    <s v="card"/>
    <n v="35.76"/>
    <x v="0"/>
    <x v="0"/>
    <x v="3"/>
    <x v="8"/>
    <s v="1"/>
    <s v="11"/>
    <s v="2024-11-04"/>
    <d v="1899-12-30T07:43:37"/>
    <x v="0"/>
  </r>
  <r>
    <s v="8"/>
    <s v="card"/>
    <n v="35.76"/>
    <x v="0"/>
    <x v="0"/>
    <x v="3"/>
    <x v="8"/>
    <s v="1"/>
    <s v="11"/>
    <s v="2024-11-04"/>
    <d v="1899-12-30T08:37:33"/>
    <x v="0"/>
  </r>
  <r>
    <s v="8"/>
    <s v="card"/>
    <n v="30.86"/>
    <x v="3"/>
    <x v="0"/>
    <x v="3"/>
    <x v="8"/>
    <s v="1"/>
    <s v="11"/>
    <s v="2024-11-04"/>
    <d v="1899-12-30T08:38:59"/>
    <x v="0"/>
  </r>
  <r>
    <s v="12"/>
    <s v="card"/>
    <n v="25.96"/>
    <x v="2"/>
    <x v="1"/>
    <x v="3"/>
    <x v="8"/>
    <s v="1"/>
    <s v="11"/>
    <s v="2024-11-04"/>
    <d v="1899-12-30T12:33:36"/>
    <x v="0"/>
  </r>
  <r>
    <s v="12"/>
    <s v="card"/>
    <n v="30.86"/>
    <x v="3"/>
    <x v="1"/>
    <x v="3"/>
    <x v="8"/>
    <s v="1"/>
    <s v="11"/>
    <s v="2024-11-04"/>
    <d v="1899-12-30T12:35:06"/>
    <x v="0"/>
  </r>
  <r>
    <s v="14"/>
    <s v="card"/>
    <n v="35.76"/>
    <x v="4"/>
    <x v="1"/>
    <x v="3"/>
    <x v="8"/>
    <s v="1"/>
    <s v="11"/>
    <s v="2024-11-04"/>
    <d v="1899-12-30T14:44:38"/>
    <x v="0"/>
  </r>
  <r>
    <s v="14"/>
    <s v="card"/>
    <n v="35.76"/>
    <x v="4"/>
    <x v="1"/>
    <x v="3"/>
    <x v="8"/>
    <s v="1"/>
    <s v="11"/>
    <s v="2024-11-04"/>
    <d v="1899-12-30T14:45:20"/>
    <x v="0"/>
  </r>
  <r>
    <s v="7"/>
    <s v="card"/>
    <n v="35.76"/>
    <x v="4"/>
    <x v="0"/>
    <x v="4"/>
    <x v="8"/>
    <s v="2"/>
    <s v="11"/>
    <s v="2024-11-05"/>
    <d v="1899-12-30T07:49:32"/>
    <x v="0"/>
  </r>
  <r>
    <s v="9"/>
    <s v="card"/>
    <n v="30.86"/>
    <x v="3"/>
    <x v="0"/>
    <x v="4"/>
    <x v="8"/>
    <s v="2"/>
    <s v="11"/>
    <s v="2024-11-05"/>
    <d v="1899-12-30T09:05:42"/>
    <x v="0"/>
  </r>
  <r>
    <s v="9"/>
    <s v="card"/>
    <n v="35.76"/>
    <x v="7"/>
    <x v="0"/>
    <x v="4"/>
    <x v="8"/>
    <s v="2"/>
    <s v="11"/>
    <s v="2024-11-05"/>
    <d v="1899-12-30T09:12:12"/>
    <x v="0"/>
  </r>
  <r>
    <s v="9"/>
    <s v="card"/>
    <n v="30.86"/>
    <x v="3"/>
    <x v="0"/>
    <x v="4"/>
    <x v="8"/>
    <s v="2"/>
    <s v="11"/>
    <s v="2024-11-05"/>
    <d v="1899-12-30T09:13:40"/>
    <x v="0"/>
  </r>
  <r>
    <s v="10"/>
    <s v="card"/>
    <n v="30.86"/>
    <x v="3"/>
    <x v="0"/>
    <x v="4"/>
    <x v="8"/>
    <s v="2"/>
    <s v="11"/>
    <s v="2024-11-05"/>
    <d v="1899-12-30T10:41:44"/>
    <x v="0"/>
  </r>
  <r>
    <s v="11"/>
    <s v="card"/>
    <n v="35.76"/>
    <x v="4"/>
    <x v="0"/>
    <x v="4"/>
    <x v="8"/>
    <s v="2"/>
    <s v="11"/>
    <s v="2024-11-05"/>
    <d v="1899-12-30T11:47:30"/>
    <x v="0"/>
  </r>
  <r>
    <s v="11"/>
    <s v="card"/>
    <n v="35.76"/>
    <x v="0"/>
    <x v="0"/>
    <x v="4"/>
    <x v="8"/>
    <s v="2"/>
    <s v="11"/>
    <s v="2024-11-05"/>
    <d v="1899-12-30T11:48:22"/>
    <x v="0"/>
  </r>
  <r>
    <s v="14"/>
    <s v="card"/>
    <n v="35.76"/>
    <x v="0"/>
    <x v="1"/>
    <x v="4"/>
    <x v="8"/>
    <s v="2"/>
    <s v="11"/>
    <s v="2024-11-05"/>
    <d v="1899-12-30T14:36:38"/>
    <x v="0"/>
  </r>
  <r>
    <s v="14"/>
    <s v="card"/>
    <n v="35.76"/>
    <x v="0"/>
    <x v="1"/>
    <x v="4"/>
    <x v="8"/>
    <s v="2"/>
    <s v="11"/>
    <s v="2024-11-05"/>
    <d v="1899-12-30T14:41:48"/>
    <x v="0"/>
  </r>
  <r>
    <s v="18"/>
    <s v="card"/>
    <n v="35.76"/>
    <x v="7"/>
    <x v="2"/>
    <x v="4"/>
    <x v="8"/>
    <s v="2"/>
    <s v="11"/>
    <s v="2024-11-05"/>
    <d v="1899-12-30T18:52:56"/>
    <x v="0"/>
  </r>
  <r>
    <s v="18"/>
    <s v="card"/>
    <n v="35.76"/>
    <x v="7"/>
    <x v="2"/>
    <x v="4"/>
    <x v="8"/>
    <s v="2"/>
    <s v="11"/>
    <s v="2024-11-05"/>
    <d v="1899-12-30T18:54:11"/>
    <x v="0"/>
  </r>
  <r>
    <s v="18"/>
    <s v="card"/>
    <n v="35.76"/>
    <x v="7"/>
    <x v="2"/>
    <x v="4"/>
    <x v="8"/>
    <s v="2"/>
    <s v="11"/>
    <s v="2024-11-05"/>
    <d v="1899-12-30T18:55:19"/>
    <x v="0"/>
  </r>
  <r>
    <s v="21"/>
    <s v="card"/>
    <n v="35.76"/>
    <x v="4"/>
    <x v="2"/>
    <x v="4"/>
    <x v="8"/>
    <s v="2"/>
    <s v="11"/>
    <s v="2024-11-05"/>
    <d v="1899-12-30T21:40:45"/>
    <x v="0"/>
  </r>
  <r>
    <s v="21"/>
    <s v="card"/>
    <n v="35.76"/>
    <x v="4"/>
    <x v="2"/>
    <x v="4"/>
    <x v="8"/>
    <s v="2"/>
    <s v="11"/>
    <s v="2024-11-05"/>
    <d v="1899-12-30T21:42:03"/>
    <x v="0"/>
  </r>
  <r>
    <s v="21"/>
    <s v="card"/>
    <n v="35.76"/>
    <x v="1"/>
    <x v="2"/>
    <x v="4"/>
    <x v="8"/>
    <s v="2"/>
    <s v="11"/>
    <s v="2024-11-05"/>
    <d v="1899-12-30T21:54:20"/>
    <x v="0"/>
  </r>
  <r>
    <s v="22"/>
    <s v="card"/>
    <n v="35.76"/>
    <x v="1"/>
    <x v="2"/>
    <x v="4"/>
    <x v="8"/>
    <s v="2"/>
    <s v="11"/>
    <s v="2024-11-05"/>
    <d v="1899-12-30T22:05:51"/>
    <x v="0"/>
  </r>
  <r>
    <s v="22"/>
    <s v="card"/>
    <n v="30.86"/>
    <x v="3"/>
    <x v="2"/>
    <x v="4"/>
    <x v="8"/>
    <s v="2"/>
    <s v="11"/>
    <s v="2024-11-05"/>
    <d v="1899-12-30T22:06:39"/>
    <x v="0"/>
  </r>
  <r>
    <s v="8"/>
    <s v="card"/>
    <n v="35.76"/>
    <x v="0"/>
    <x v="0"/>
    <x v="5"/>
    <x v="8"/>
    <s v="3"/>
    <s v="11"/>
    <s v="2024-11-06"/>
    <d v="1899-12-30T08:11:25"/>
    <x v="0"/>
  </r>
  <r>
    <s v="11"/>
    <s v="card"/>
    <n v="21.06"/>
    <x v="6"/>
    <x v="0"/>
    <x v="5"/>
    <x v="8"/>
    <s v="3"/>
    <s v="11"/>
    <s v="2024-11-06"/>
    <d v="1899-12-30T11:45:31"/>
    <x v="0"/>
  </r>
  <r>
    <s v="13"/>
    <s v="card"/>
    <n v="25.96"/>
    <x v="2"/>
    <x v="1"/>
    <x v="5"/>
    <x v="8"/>
    <s v="3"/>
    <s v="11"/>
    <s v="2024-11-06"/>
    <d v="1899-12-30T13:15:33"/>
    <x v="0"/>
  </r>
  <r>
    <s v="15"/>
    <s v="card"/>
    <n v="35.76"/>
    <x v="7"/>
    <x v="1"/>
    <x v="5"/>
    <x v="8"/>
    <s v="3"/>
    <s v="11"/>
    <s v="2024-11-06"/>
    <d v="1899-12-30T15:44:16"/>
    <x v="0"/>
  </r>
  <r>
    <s v="16"/>
    <s v="card"/>
    <n v="35.76"/>
    <x v="0"/>
    <x v="1"/>
    <x v="5"/>
    <x v="8"/>
    <s v="3"/>
    <s v="11"/>
    <s v="2024-11-06"/>
    <d v="1899-12-30T16:00:44"/>
    <x v="0"/>
  </r>
  <r>
    <s v="16"/>
    <s v="card"/>
    <n v="35.76"/>
    <x v="7"/>
    <x v="1"/>
    <x v="5"/>
    <x v="8"/>
    <s v="3"/>
    <s v="11"/>
    <s v="2024-11-06"/>
    <d v="1899-12-30T16:02:05"/>
    <x v="0"/>
  </r>
  <r>
    <s v="18"/>
    <s v="card"/>
    <n v="35.76"/>
    <x v="1"/>
    <x v="2"/>
    <x v="5"/>
    <x v="8"/>
    <s v="3"/>
    <s v="11"/>
    <s v="2024-11-06"/>
    <d v="1899-12-30T18:40:43"/>
    <x v="0"/>
  </r>
  <r>
    <s v="18"/>
    <s v="card"/>
    <n v="35.76"/>
    <x v="1"/>
    <x v="2"/>
    <x v="5"/>
    <x v="8"/>
    <s v="3"/>
    <s v="11"/>
    <s v="2024-11-06"/>
    <d v="1899-12-30T18:41:31"/>
    <x v="0"/>
  </r>
  <r>
    <s v="12"/>
    <s v="card"/>
    <n v="35.76"/>
    <x v="0"/>
    <x v="1"/>
    <x v="6"/>
    <x v="8"/>
    <s v="4"/>
    <s v="11"/>
    <s v="2024-11-07"/>
    <d v="1899-12-30T12:17:16"/>
    <x v="0"/>
  </r>
  <r>
    <s v="15"/>
    <s v="card"/>
    <n v="25.96"/>
    <x v="2"/>
    <x v="1"/>
    <x v="6"/>
    <x v="8"/>
    <s v="4"/>
    <s v="11"/>
    <s v="2024-11-07"/>
    <d v="1899-12-30T15:50:11"/>
    <x v="0"/>
  </r>
  <r>
    <s v="16"/>
    <s v="card"/>
    <n v="25.96"/>
    <x v="2"/>
    <x v="1"/>
    <x v="6"/>
    <x v="8"/>
    <s v="4"/>
    <s v="11"/>
    <s v="2024-11-07"/>
    <d v="1899-12-30T16:39:39"/>
    <x v="0"/>
  </r>
  <r>
    <s v="18"/>
    <s v="card"/>
    <n v="35.76"/>
    <x v="4"/>
    <x v="2"/>
    <x v="6"/>
    <x v="8"/>
    <s v="4"/>
    <s v="11"/>
    <s v="2024-11-07"/>
    <d v="1899-12-30T18:17:34"/>
    <x v="0"/>
  </r>
  <r>
    <s v="19"/>
    <s v="card"/>
    <n v="35.76"/>
    <x v="1"/>
    <x v="2"/>
    <x v="6"/>
    <x v="8"/>
    <s v="4"/>
    <s v="11"/>
    <s v="2024-11-07"/>
    <d v="1899-12-30T19:20:15"/>
    <x v="0"/>
  </r>
  <r>
    <s v="19"/>
    <s v="card"/>
    <n v="35.76"/>
    <x v="0"/>
    <x v="2"/>
    <x v="6"/>
    <x v="8"/>
    <s v="4"/>
    <s v="11"/>
    <s v="2024-11-07"/>
    <d v="1899-12-30T19:21:38"/>
    <x v="0"/>
  </r>
  <r>
    <s v="20"/>
    <s v="card"/>
    <n v="35.76"/>
    <x v="0"/>
    <x v="2"/>
    <x v="6"/>
    <x v="8"/>
    <s v="4"/>
    <s v="11"/>
    <s v="2024-11-07"/>
    <d v="1899-12-30T20:02:31"/>
    <x v="0"/>
  </r>
  <r>
    <s v="9"/>
    <s v="card"/>
    <n v="30.86"/>
    <x v="3"/>
    <x v="0"/>
    <x v="0"/>
    <x v="8"/>
    <s v="5"/>
    <s v="11"/>
    <s v="2024-11-08"/>
    <d v="1899-12-30T09:05:42"/>
    <x v="0"/>
  </r>
  <r>
    <s v="9"/>
    <s v="card"/>
    <n v="25.96"/>
    <x v="2"/>
    <x v="0"/>
    <x v="0"/>
    <x v="8"/>
    <s v="5"/>
    <s v="11"/>
    <s v="2024-11-08"/>
    <d v="1899-12-30T09:47:31"/>
    <x v="0"/>
  </r>
  <r>
    <s v="9"/>
    <s v="card"/>
    <n v="25.96"/>
    <x v="2"/>
    <x v="0"/>
    <x v="0"/>
    <x v="8"/>
    <s v="5"/>
    <s v="11"/>
    <s v="2024-11-08"/>
    <d v="1899-12-30T09:49:00"/>
    <x v="0"/>
  </r>
  <r>
    <s v="11"/>
    <s v="card"/>
    <n v="35.76"/>
    <x v="7"/>
    <x v="0"/>
    <x v="0"/>
    <x v="8"/>
    <s v="5"/>
    <s v="11"/>
    <s v="2024-11-08"/>
    <d v="1899-12-30T11:47:11"/>
    <x v="0"/>
  </r>
  <r>
    <s v="13"/>
    <s v="card"/>
    <n v="35.76"/>
    <x v="0"/>
    <x v="1"/>
    <x v="0"/>
    <x v="8"/>
    <s v="5"/>
    <s v="11"/>
    <s v="2024-11-08"/>
    <d v="1899-12-30T13:25:13"/>
    <x v="0"/>
  </r>
  <r>
    <s v="13"/>
    <s v="card"/>
    <n v="35.76"/>
    <x v="0"/>
    <x v="1"/>
    <x v="0"/>
    <x v="8"/>
    <s v="5"/>
    <s v="11"/>
    <s v="2024-11-08"/>
    <d v="1899-12-30T13:26:18"/>
    <x v="0"/>
  </r>
  <r>
    <s v="16"/>
    <s v="card"/>
    <n v="30.86"/>
    <x v="3"/>
    <x v="1"/>
    <x v="0"/>
    <x v="8"/>
    <s v="5"/>
    <s v="11"/>
    <s v="2024-11-08"/>
    <d v="1899-12-30T16:33:03"/>
    <x v="0"/>
  </r>
  <r>
    <s v="16"/>
    <s v="card"/>
    <n v="30.86"/>
    <x v="3"/>
    <x v="1"/>
    <x v="0"/>
    <x v="8"/>
    <s v="5"/>
    <s v="11"/>
    <s v="2024-11-08"/>
    <d v="1899-12-30T16:55:28"/>
    <x v="0"/>
  </r>
  <r>
    <s v="20"/>
    <s v="card"/>
    <n v="35.76"/>
    <x v="1"/>
    <x v="2"/>
    <x v="0"/>
    <x v="8"/>
    <s v="5"/>
    <s v="11"/>
    <s v="2024-11-08"/>
    <d v="1899-12-30T20:13:32"/>
    <x v="0"/>
  </r>
  <r>
    <s v="20"/>
    <s v="card"/>
    <n v="35.76"/>
    <x v="1"/>
    <x v="2"/>
    <x v="0"/>
    <x v="8"/>
    <s v="5"/>
    <s v="11"/>
    <s v="2024-11-08"/>
    <d v="1899-12-30T20:14:24"/>
    <x v="0"/>
  </r>
  <r>
    <s v="20"/>
    <s v="card"/>
    <n v="35.76"/>
    <x v="1"/>
    <x v="2"/>
    <x v="0"/>
    <x v="8"/>
    <s v="5"/>
    <s v="11"/>
    <s v="2024-11-08"/>
    <d v="1899-12-30T20:15:20"/>
    <x v="0"/>
  </r>
  <r>
    <s v="22"/>
    <s v="card"/>
    <n v="35.76"/>
    <x v="0"/>
    <x v="2"/>
    <x v="0"/>
    <x v="8"/>
    <s v="5"/>
    <s v="11"/>
    <s v="2024-11-08"/>
    <d v="1899-12-30T22:27:10"/>
    <x v="0"/>
  </r>
  <r>
    <s v="10"/>
    <s v="card"/>
    <n v="30.86"/>
    <x v="3"/>
    <x v="0"/>
    <x v="1"/>
    <x v="8"/>
    <s v="6"/>
    <s v="11"/>
    <s v="2024-11-09"/>
    <d v="1899-12-30T10:08:19"/>
    <x v="0"/>
  </r>
  <r>
    <s v="11"/>
    <s v="card"/>
    <n v="25.96"/>
    <x v="5"/>
    <x v="0"/>
    <x v="1"/>
    <x v="8"/>
    <s v="6"/>
    <s v="11"/>
    <s v="2024-11-09"/>
    <d v="1899-12-30T11:02:08"/>
    <x v="0"/>
  </r>
  <r>
    <s v="11"/>
    <s v="card"/>
    <n v="25.96"/>
    <x v="5"/>
    <x v="0"/>
    <x v="1"/>
    <x v="8"/>
    <s v="6"/>
    <s v="11"/>
    <s v="2024-11-09"/>
    <d v="1899-12-30T11:03:01"/>
    <x v="0"/>
  </r>
  <r>
    <s v="11"/>
    <s v="card"/>
    <n v="35.76"/>
    <x v="0"/>
    <x v="0"/>
    <x v="1"/>
    <x v="8"/>
    <s v="6"/>
    <s v="11"/>
    <s v="2024-11-09"/>
    <d v="1899-12-30T11:08:44"/>
    <x v="0"/>
  </r>
  <r>
    <s v="13"/>
    <s v="card"/>
    <n v="35.76"/>
    <x v="1"/>
    <x v="1"/>
    <x v="1"/>
    <x v="8"/>
    <s v="6"/>
    <s v="11"/>
    <s v="2024-11-09"/>
    <d v="1899-12-30T13:50:15"/>
    <x v="0"/>
  </r>
  <r>
    <s v="13"/>
    <s v="card"/>
    <n v="35.76"/>
    <x v="1"/>
    <x v="1"/>
    <x v="1"/>
    <x v="8"/>
    <s v="6"/>
    <s v="11"/>
    <s v="2024-11-09"/>
    <d v="1899-12-30T13:50:55"/>
    <x v="0"/>
  </r>
  <r>
    <s v="14"/>
    <s v="card"/>
    <n v="35.76"/>
    <x v="1"/>
    <x v="1"/>
    <x v="1"/>
    <x v="8"/>
    <s v="6"/>
    <s v="11"/>
    <s v="2024-11-09"/>
    <d v="1899-12-30T14:21:52"/>
    <x v="0"/>
  </r>
  <r>
    <s v="14"/>
    <s v="card"/>
    <n v="35.76"/>
    <x v="1"/>
    <x v="1"/>
    <x v="1"/>
    <x v="8"/>
    <s v="6"/>
    <s v="11"/>
    <s v="2024-11-09"/>
    <d v="1899-12-30T14:22:50"/>
    <x v="0"/>
  </r>
  <r>
    <s v="14"/>
    <s v="card"/>
    <n v="25.96"/>
    <x v="2"/>
    <x v="1"/>
    <x v="1"/>
    <x v="8"/>
    <s v="6"/>
    <s v="11"/>
    <s v="2024-11-09"/>
    <d v="1899-12-30T14:37:33"/>
    <x v="0"/>
  </r>
  <r>
    <s v="15"/>
    <s v="card"/>
    <n v="30.86"/>
    <x v="3"/>
    <x v="1"/>
    <x v="1"/>
    <x v="8"/>
    <s v="6"/>
    <s v="11"/>
    <s v="2024-11-09"/>
    <d v="1899-12-30T15:29:51"/>
    <x v="0"/>
  </r>
  <r>
    <s v="16"/>
    <s v="card"/>
    <n v="35.76"/>
    <x v="0"/>
    <x v="1"/>
    <x v="1"/>
    <x v="8"/>
    <s v="6"/>
    <s v="11"/>
    <s v="2024-11-09"/>
    <d v="1899-12-30T16:15:48"/>
    <x v="0"/>
  </r>
  <r>
    <s v="16"/>
    <s v="card"/>
    <n v="35.76"/>
    <x v="4"/>
    <x v="1"/>
    <x v="1"/>
    <x v="8"/>
    <s v="6"/>
    <s v="11"/>
    <s v="2024-11-09"/>
    <d v="1899-12-30T16:16:52"/>
    <x v="0"/>
  </r>
  <r>
    <s v="20"/>
    <s v="card"/>
    <n v="25.96"/>
    <x v="2"/>
    <x v="2"/>
    <x v="1"/>
    <x v="8"/>
    <s v="6"/>
    <s v="11"/>
    <s v="2024-11-09"/>
    <d v="1899-12-30T20:42:05"/>
    <x v="0"/>
  </r>
  <r>
    <s v="20"/>
    <s v="card"/>
    <n v="35.76"/>
    <x v="0"/>
    <x v="2"/>
    <x v="1"/>
    <x v="8"/>
    <s v="6"/>
    <s v="11"/>
    <s v="2024-11-09"/>
    <d v="1899-12-30T20:43:28"/>
    <x v="0"/>
  </r>
  <r>
    <s v="22"/>
    <s v="card"/>
    <n v="35.76"/>
    <x v="4"/>
    <x v="2"/>
    <x v="1"/>
    <x v="8"/>
    <s v="6"/>
    <s v="11"/>
    <s v="2024-11-09"/>
    <d v="1899-12-30T22:13:28"/>
    <x v="0"/>
  </r>
  <r>
    <s v="22"/>
    <s v="card"/>
    <n v="25.96"/>
    <x v="2"/>
    <x v="2"/>
    <x v="1"/>
    <x v="8"/>
    <s v="6"/>
    <s v="11"/>
    <s v="2024-11-09"/>
    <d v="1899-12-30T22:52:58"/>
    <x v="0"/>
  </r>
  <r>
    <s v="22"/>
    <s v="card"/>
    <n v="25.96"/>
    <x v="2"/>
    <x v="2"/>
    <x v="1"/>
    <x v="8"/>
    <s v="6"/>
    <s v="11"/>
    <s v="2024-11-09"/>
    <d v="1899-12-30T22:54:19"/>
    <x v="0"/>
  </r>
  <r>
    <s v="9"/>
    <s v="card"/>
    <n v="25.96"/>
    <x v="2"/>
    <x v="0"/>
    <x v="2"/>
    <x v="8"/>
    <s v="7"/>
    <s v="11"/>
    <s v="2024-11-10"/>
    <d v="1899-12-30T09:46:22"/>
    <x v="0"/>
  </r>
  <r>
    <s v="17"/>
    <s v="card"/>
    <n v="35.76"/>
    <x v="4"/>
    <x v="2"/>
    <x v="2"/>
    <x v="8"/>
    <s v="7"/>
    <s v="11"/>
    <s v="2024-11-10"/>
    <d v="1899-12-30T17:52:48"/>
    <x v="0"/>
  </r>
  <r>
    <s v="18"/>
    <s v="card"/>
    <n v="35.76"/>
    <x v="1"/>
    <x v="2"/>
    <x v="2"/>
    <x v="8"/>
    <s v="7"/>
    <s v="11"/>
    <s v="2024-11-10"/>
    <d v="1899-12-30T18:12:53"/>
    <x v="0"/>
  </r>
  <r>
    <s v="18"/>
    <s v="card"/>
    <n v="35.76"/>
    <x v="1"/>
    <x v="2"/>
    <x v="2"/>
    <x v="8"/>
    <s v="7"/>
    <s v="11"/>
    <s v="2024-11-10"/>
    <d v="1899-12-30T18:14:04"/>
    <x v="0"/>
  </r>
  <r>
    <s v="20"/>
    <s v="card"/>
    <n v="35.76"/>
    <x v="7"/>
    <x v="2"/>
    <x v="2"/>
    <x v="8"/>
    <s v="7"/>
    <s v="11"/>
    <s v="2024-11-10"/>
    <d v="1899-12-30T20:38:08"/>
    <x v="0"/>
  </r>
  <r>
    <s v="20"/>
    <s v="card"/>
    <n v="35.76"/>
    <x v="7"/>
    <x v="2"/>
    <x v="2"/>
    <x v="8"/>
    <s v="7"/>
    <s v="11"/>
    <s v="2024-11-10"/>
    <d v="1899-12-30T20:39:07"/>
    <x v="0"/>
  </r>
  <r>
    <s v="7"/>
    <s v="card"/>
    <n v="35.76"/>
    <x v="7"/>
    <x v="0"/>
    <x v="3"/>
    <x v="8"/>
    <s v="1"/>
    <s v="11"/>
    <s v="2024-11-11"/>
    <d v="1899-12-30T07:48:27"/>
    <x v="0"/>
  </r>
  <r>
    <s v="9"/>
    <s v="card"/>
    <n v="30.86"/>
    <x v="3"/>
    <x v="0"/>
    <x v="3"/>
    <x v="8"/>
    <s v="1"/>
    <s v="11"/>
    <s v="2024-11-11"/>
    <d v="1899-12-30T09:52:26"/>
    <x v="0"/>
  </r>
  <r>
    <s v="10"/>
    <s v="card"/>
    <n v="25.96"/>
    <x v="5"/>
    <x v="0"/>
    <x v="3"/>
    <x v="8"/>
    <s v="1"/>
    <s v="11"/>
    <s v="2024-11-11"/>
    <d v="1899-12-30T10:19:10"/>
    <x v="0"/>
  </r>
  <r>
    <s v="16"/>
    <s v="card"/>
    <n v="35.76"/>
    <x v="7"/>
    <x v="1"/>
    <x v="3"/>
    <x v="8"/>
    <s v="1"/>
    <s v="11"/>
    <s v="2024-11-11"/>
    <d v="1899-12-30T16:18:44"/>
    <x v="0"/>
  </r>
  <r>
    <s v="16"/>
    <s v="card"/>
    <n v="35.76"/>
    <x v="1"/>
    <x v="1"/>
    <x v="3"/>
    <x v="8"/>
    <s v="1"/>
    <s v="11"/>
    <s v="2024-11-11"/>
    <d v="1899-12-30T16:19:53"/>
    <x v="0"/>
  </r>
  <r>
    <s v="17"/>
    <s v="card"/>
    <n v="35.76"/>
    <x v="7"/>
    <x v="2"/>
    <x v="3"/>
    <x v="8"/>
    <s v="1"/>
    <s v="11"/>
    <s v="2024-11-11"/>
    <d v="1899-12-30T17:33:32"/>
    <x v="0"/>
  </r>
  <r>
    <s v="19"/>
    <s v="card"/>
    <n v="35.76"/>
    <x v="0"/>
    <x v="2"/>
    <x v="3"/>
    <x v="8"/>
    <s v="1"/>
    <s v="11"/>
    <s v="2024-11-11"/>
    <d v="1899-12-30T19:00:47"/>
    <x v="0"/>
  </r>
  <r>
    <s v="19"/>
    <s v="card"/>
    <n v="35.76"/>
    <x v="1"/>
    <x v="2"/>
    <x v="3"/>
    <x v="8"/>
    <s v="1"/>
    <s v="11"/>
    <s v="2024-11-11"/>
    <d v="1899-12-30T19:04:16"/>
    <x v="0"/>
  </r>
  <r>
    <s v="21"/>
    <s v="card"/>
    <n v="35.76"/>
    <x v="0"/>
    <x v="2"/>
    <x v="3"/>
    <x v="8"/>
    <s v="1"/>
    <s v="11"/>
    <s v="2024-11-11"/>
    <d v="1899-12-30T21:08:32"/>
    <x v="0"/>
  </r>
  <r>
    <s v="21"/>
    <s v="card"/>
    <n v="35.76"/>
    <x v="0"/>
    <x v="2"/>
    <x v="3"/>
    <x v="8"/>
    <s v="1"/>
    <s v="11"/>
    <s v="2024-11-11"/>
    <d v="1899-12-30T21:09:47"/>
    <x v="0"/>
  </r>
  <r>
    <s v="10"/>
    <s v="card"/>
    <n v="35.76"/>
    <x v="0"/>
    <x v="0"/>
    <x v="4"/>
    <x v="8"/>
    <s v="2"/>
    <s v="11"/>
    <s v="2024-11-12"/>
    <d v="1899-12-30T10:03:09"/>
    <x v="0"/>
  </r>
  <r>
    <s v="13"/>
    <s v="card"/>
    <n v="35.76"/>
    <x v="0"/>
    <x v="1"/>
    <x v="4"/>
    <x v="8"/>
    <s v="2"/>
    <s v="11"/>
    <s v="2024-11-12"/>
    <d v="1899-12-30T13:15:45"/>
    <x v="0"/>
  </r>
  <r>
    <s v="14"/>
    <s v="card"/>
    <n v="35.76"/>
    <x v="0"/>
    <x v="1"/>
    <x v="4"/>
    <x v="8"/>
    <s v="2"/>
    <s v="11"/>
    <s v="2024-11-12"/>
    <d v="1899-12-30T14:39:15"/>
    <x v="0"/>
  </r>
  <r>
    <s v="16"/>
    <s v="card"/>
    <n v="35.76"/>
    <x v="1"/>
    <x v="1"/>
    <x v="4"/>
    <x v="8"/>
    <s v="2"/>
    <s v="11"/>
    <s v="2024-11-12"/>
    <d v="1899-12-30T16:47:14"/>
    <x v="0"/>
  </r>
  <r>
    <s v="16"/>
    <s v="card"/>
    <n v="35.76"/>
    <x v="1"/>
    <x v="1"/>
    <x v="4"/>
    <x v="8"/>
    <s v="2"/>
    <s v="11"/>
    <s v="2024-11-12"/>
    <d v="1899-12-30T16:48:05"/>
    <x v="0"/>
  </r>
  <r>
    <s v="16"/>
    <s v="card"/>
    <n v="35.76"/>
    <x v="4"/>
    <x v="1"/>
    <x v="4"/>
    <x v="8"/>
    <s v="2"/>
    <s v="11"/>
    <s v="2024-11-12"/>
    <d v="1899-12-30T16:49:04"/>
    <x v="0"/>
  </r>
  <r>
    <s v="18"/>
    <s v="card"/>
    <n v="35.76"/>
    <x v="7"/>
    <x v="2"/>
    <x v="4"/>
    <x v="8"/>
    <s v="2"/>
    <s v="11"/>
    <s v="2024-11-12"/>
    <d v="1899-12-30T18:45:14"/>
    <x v="0"/>
  </r>
  <r>
    <s v="20"/>
    <s v="card"/>
    <n v="35.76"/>
    <x v="0"/>
    <x v="2"/>
    <x v="4"/>
    <x v="8"/>
    <s v="2"/>
    <s v="11"/>
    <s v="2024-11-12"/>
    <d v="1899-12-30T20:07:58"/>
    <x v="0"/>
  </r>
  <r>
    <s v="20"/>
    <s v="card"/>
    <n v="35.76"/>
    <x v="4"/>
    <x v="2"/>
    <x v="4"/>
    <x v="8"/>
    <s v="2"/>
    <s v="11"/>
    <s v="2024-11-12"/>
    <d v="1899-12-30T20:09:22"/>
    <x v="0"/>
  </r>
  <r>
    <s v="8"/>
    <s v="card"/>
    <n v="30.86"/>
    <x v="3"/>
    <x v="0"/>
    <x v="5"/>
    <x v="8"/>
    <s v="3"/>
    <s v="11"/>
    <s v="2024-11-13"/>
    <d v="1899-12-30T08:09:11"/>
    <x v="0"/>
  </r>
  <r>
    <s v="10"/>
    <s v="card"/>
    <n v="35.76"/>
    <x v="0"/>
    <x v="0"/>
    <x v="5"/>
    <x v="8"/>
    <s v="3"/>
    <s v="11"/>
    <s v="2024-11-13"/>
    <d v="1899-12-30T10:37:43"/>
    <x v="0"/>
  </r>
  <r>
    <s v="13"/>
    <s v="card"/>
    <n v="30.86"/>
    <x v="3"/>
    <x v="1"/>
    <x v="5"/>
    <x v="8"/>
    <s v="3"/>
    <s v="11"/>
    <s v="2024-11-13"/>
    <d v="1899-12-30T13:19:55"/>
    <x v="0"/>
  </r>
  <r>
    <s v="13"/>
    <s v="card"/>
    <n v="30.86"/>
    <x v="3"/>
    <x v="1"/>
    <x v="5"/>
    <x v="8"/>
    <s v="3"/>
    <s v="11"/>
    <s v="2024-11-13"/>
    <d v="1899-12-30T13:20:58"/>
    <x v="0"/>
  </r>
  <r>
    <s v="14"/>
    <s v="card"/>
    <n v="30.86"/>
    <x v="3"/>
    <x v="1"/>
    <x v="5"/>
    <x v="8"/>
    <s v="3"/>
    <s v="11"/>
    <s v="2024-11-13"/>
    <d v="1899-12-30T14:17:30"/>
    <x v="0"/>
  </r>
  <r>
    <s v="14"/>
    <s v="card"/>
    <n v="35.76"/>
    <x v="0"/>
    <x v="1"/>
    <x v="5"/>
    <x v="8"/>
    <s v="3"/>
    <s v="11"/>
    <s v="2024-11-13"/>
    <d v="1899-12-30T14:46:58"/>
    <x v="0"/>
  </r>
  <r>
    <s v="9"/>
    <s v="card"/>
    <n v="35.76"/>
    <x v="0"/>
    <x v="0"/>
    <x v="6"/>
    <x v="8"/>
    <s v="4"/>
    <s v="11"/>
    <s v="2024-11-14"/>
    <d v="1899-12-30T09:36:28"/>
    <x v="0"/>
  </r>
  <r>
    <s v="10"/>
    <s v="card"/>
    <n v="25.96"/>
    <x v="2"/>
    <x v="0"/>
    <x v="6"/>
    <x v="8"/>
    <s v="4"/>
    <s v="11"/>
    <s v="2024-11-14"/>
    <d v="1899-12-30T10:06:43"/>
    <x v="0"/>
  </r>
  <r>
    <s v="12"/>
    <s v="card"/>
    <n v="21.06"/>
    <x v="6"/>
    <x v="1"/>
    <x v="6"/>
    <x v="8"/>
    <s v="4"/>
    <s v="11"/>
    <s v="2024-11-14"/>
    <d v="1899-12-30T12:48:50"/>
    <x v="0"/>
  </r>
  <r>
    <s v="15"/>
    <s v="card"/>
    <n v="35.76"/>
    <x v="7"/>
    <x v="1"/>
    <x v="6"/>
    <x v="8"/>
    <s v="4"/>
    <s v="11"/>
    <s v="2024-11-14"/>
    <d v="1899-12-30T15:03:45"/>
    <x v="0"/>
  </r>
  <r>
    <s v="15"/>
    <s v="card"/>
    <n v="35.76"/>
    <x v="0"/>
    <x v="1"/>
    <x v="6"/>
    <x v="8"/>
    <s v="4"/>
    <s v="11"/>
    <s v="2024-11-14"/>
    <d v="1899-12-30T15:04:57"/>
    <x v="0"/>
  </r>
  <r>
    <s v="15"/>
    <s v="card"/>
    <n v="35.76"/>
    <x v="7"/>
    <x v="1"/>
    <x v="6"/>
    <x v="8"/>
    <s v="4"/>
    <s v="11"/>
    <s v="2024-11-14"/>
    <d v="1899-12-30T15:05:50"/>
    <x v="0"/>
  </r>
  <r>
    <s v="16"/>
    <s v="card"/>
    <n v="30.86"/>
    <x v="3"/>
    <x v="1"/>
    <x v="6"/>
    <x v="8"/>
    <s v="4"/>
    <s v="11"/>
    <s v="2024-11-14"/>
    <d v="1899-12-30T16:13:08"/>
    <x v="0"/>
  </r>
  <r>
    <s v="16"/>
    <s v="card"/>
    <n v="35.76"/>
    <x v="7"/>
    <x v="1"/>
    <x v="6"/>
    <x v="8"/>
    <s v="4"/>
    <s v="11"/>
    <s v="2024-11-14"/>
    <d v="1899-12-30T16:14:22"/>
    <x v="0"/>
  </r>
  <r>
    <s v="19"/>
    <s v="card"/>
    <n v="35.76"/>
    <x v="1"/>
    <x v="2"/>
    <x v="6"/>
    <x v="8"/>
    <s v="4"/>
    <s v="11"/>
    <s v="2024-11-14"/>
    <d v="1899-12-30T19:43:26"/>
    <x v="0"/>
  </r>
  <r>
    <s v="19"/>
    <s v="card"/>
    <n v="35.76"/>
    <x v="1"/>
    <x v="2"/>
    <x v="6"/>
    <x v="8"/>
    <s v="4"/>
    <s v="11"/>
    <s v="2024-11-14"/>
    <d v="1899-12-30T19:46:37"/>
    <x v="0"/>
  </r>
  <r>
    <s v="20"/>
    <s v="card"/>
    <n v="35.76"/>
    <x v="4"/>
    <x v="2"/>
    <x v="6"/>
    <x v="8"/>
    <s v="4"/>
    <s v="11"/>
    <s v="2024-11-14"/>
    <d v="1899-12-30T20:31:30"/>
    <x v="0"/>
  </r>
  <r>
    <s v="20"/>
    <s v="card"/>
    <n v="35.76"/>
    <x v="1"/>
    <x v="2"/>
    <x v="6"/>
    <x v="8"/>
    <s v="4"/>
    <s v="11"/>
    <s v="2024-11-14"/>
    <d v="1899-12-30T20:32:31"/>
    <x v="0"/>
  </r>
  <r>
    <s v="21"/>
    <s v="card"/>
    <n v="35.76"/>
    <x v="0"/>
    <x v="2"/>
    <x v="6"/>
    <x v="8"/>
    <s v="4"/>
    <s v="11"/>
    <s v="2024-11-14"/>
    <d v="1899-12-30T21:24:32"/>
    <x v="0"/>
  </r>
  <r>
    <s v="22"/>
    <s v="card"/>
    <n v="35.76"/>
    <x v="0"/>
    <x v="2"/>
    <x v="6"/>
    <x v="8"/>
    <s v="4"/>
    <s v="11"/>
    <s v="2024-11-14"/>
    <d v="1899-12-30T22:40:42"/>
    <x v="0"/>
  </r>
  <r>
    <s v="8"/>
    <s v="card"/>
    <n v="30.86"/>
    <x v="3"/>
    <x v="0"/>
    <x v="0"/>
    <x v="8"/>
    <s v="5"/>
    <s v="11"/>
    <s v="2024-11-15"/>
    <d v="1899-12-30T08:45:51"/>
    <x v="0"/>
  </r>
  <r>
    <s v="11"/>
    <s v="card"/>
    <n v="30.86"/>
    <x v="3"/>
    <x v="0"/>
    <x v="0"/>
    <x v="8"/>
    <s v="5"/>
    <s v="11"/>
    <s v="2024-11-15"/>
    <d v="1899-12-30T11:05:53"/>
    <x v="0"/>
  </r>
  <r>
    <s v="12"/>
    <s v="card"/>
    <n v="35.76"/>
    <x v="4"/>
    <x v="1"/>
    <x v="0"/>
    <x v="8"/>
    <s v="5"/>
    <s v="11"/>
    <s v="2024-11-15"/>
    <d v="1899-12-30T12:09:00"/>
    <x v="0"/>
  </r>
  <r>
    <s v="12"/>
    <s v="card"/>
    <n v="35.76"/>
    <x v="4"/>
    <x v="1"/>
    <x v="0"/>
    <x v="8"/>
    <s v="5"/>
    <s v="11"/>
    <s v="2024-11-15"/>
    <d v="1899-12-30T12:14:19"/>
    <x v="0"/>
  </r>
  <r>
    <s v="13"/>
    <s v="card"/>
    <n v="35.76"/>
    <x v="0"/>
    <x v="1"/>
    <x v="0"/>
    <x v="8"/>
    <s v="5"/>
    <s v="11"/>
    <s v="2024-11-15"/>
    <d v="1899-12-30T13:57:34"/>
    <x v="0"/>
  </r>
  <r>
    <s v="15"/>
    <s v="card"/>
    <n v="25.96"/>
    <x v="2"/>
    <x v="1"/>
    <x v="0"/>
    <x v="8"/>
    <s v="5"/>
    <s v="11"/>
    <s v="2024-11-15"/>
    <d v="1899-12-30T15:19:51"/>
    <x v="0"/>
  </r>
  <r>
    <s v="17"/>
    <s v="card"/>
    <n v="30.86"/>
    <x v="3"/>
    <x v="2"/>
    <x v="0"/>
    <x v="8"/>
    <s v="5"/>
    <s v="11"/>
    <s v="2024-11-15"/>
    <d v="1899-12-30T17:35:41"/>
    <x v="0"/>
  </r>
  <r>
    <s v="17"/>
    <s v="card"/>
    <n v="35.76"/>
    <x v="0"/>
    <x v="2"/>
    <x v="0"/>
    <x v="8"/>
    <s v="5"/>
    <s v="11"/>
    <s v="2024-11-15"/>
    <d v="1899-12-30T17:55:01"/>
    <x v="0"/>
  </r>
  <r>
    <s v="18"/>
    <s v="card"/>
    <n v="35.76"/>
    <x v="1"/>
    <x v="2"/>
    <x v="0"/>
    <x v="8"/>
    <s v="5"/>
    <s v="11"/>
    <s v="2024-11-15"/>
    <d v="1899-12-30T18:12:45"/>
    <x v="0"/>
  </r>
  <r>
    <s v="18"/>
    <s v="card"/>
    <n v="30.86"/>
    <x v="3"/>
    <x v="2"/>
    <x v="0"/>
    <x v="8"/>
    <s v="5"/>
    <s v="11"/>
    <s v="2024-11-15"/>
    <d v="1899-12-30T18:42:22"/>
    <x v="0"/>
  </r>
  <r>
    <s v="18"/>
    <s v="card"/>
    <n v="30.86"/>
    <x v="3"/>
    <x v="2"/>
    <x v="0"/>
    <x v="8"/>
    <s v="5"/>
    <s v="11"/>
    <s v="2024-11-15"/>
    <d v="1899-12-30T18:43:21"/>
    <x v="0"/>
  </r>
  <r>
    <s v="10"/>
    <s v="card"/>
    <n v="25.96"/>
    <x v="5"/>
    <x v="0"/>
    <x v="1"/>
    <x v="8"/>
    <s v="6"/>
    <s v="11"/>
    <s v="2024-11-16"/>
    <d v="1899-12-30T10:21:35"/>
    <x v="0"/>
  </r>
  <r>
    <s v="10"/>
    <s v="card"/>
    <n v="25.96"/>
    <x v="5"/>
    <x v="0"/>
    <x v="1"/>
    <x v="8"/>
    <s v="6"/>
    <s v="11"/>
    <s v="2024-11-16"/>
    <d v="1899-12-30T10:45:51"/>
    <x v="0"/>
  </r>
  <r>
    <s v="11"/>
    <s v="card"/>
    <n v="35.76"/>
    <x v="1"/>
    <x v="0"/>
    <x v="1"/>
    <x v="8"/>
    <s v="6"/>
    <s v="11"/>
    <s v="2024-11-16"/>
    <d v="1899-12-30T11:02:01"/>
    <x v="0"/>
  </r>
  <r>
    <s v="11"/>
    <s v="card"/>
    <n v="35.76"/>
    <x v="0"/>
    <x v="0"/>
    <x v="1"/>
    <x v="8"/>
    <s v="6"/>
    <s v="11"/>
    <s v="2024-11-16"/>
    <d v="1899-12-30T11:03:07"/>
    <x v="0"/>
  </r>
  <r>
    <s v="11"/>
    <s v="card"/>
    <n v="25.96"/>
    <x v="2"/>
    <x v="0"/>
    <x v="1"/>
    <x v="8"/>
    <s v="6"/>
    <s v="11"/>
    <s v="2024-11-16"/>
    <d v="1899-12-30T11:39:25"/>
    <x v="0"/>
  </r>
  <r>
    <s v="12"/>
    <s v="card"/>
    <n v="35.76"/>
    <x v="7"/>
    <x v="1"/>
    <x v="1"/>
    <x v="8"/>
    <s v="6"/>
    <s v="11"/>
    <s v="2024-11-16"/>
    <d v="1899-12-30T12:30:15"/>
    <x v="0"/>
  </r>
  <r>
    <s v="12"/>
    <s v="card"/>
    <n v="30.86"/>
    <x v="3"/>
    <x v="1"/>
    <x v="1"/>
    <x v="8"/>
    <s v="6"/>
    <s v="11"/>
    <s v="2024-11-16"/>
    <d v="1899-12-30T12:31:51"/>
    <x v="0"/>
  </r>
  <r>
    <s v="12"/>
    <s v="card"/>
    <n v="35.76"/>
    <x v="0"/>
    <x v="1"/>
    <x v="1"/>
    <x v="8"/>
    <s v="6"/>
    <s v="11"/>
    <s v="2024-11-16"/>
    <d v="1899-12-30T12:48:36"/>
    <x v="0"/>
  </r>
  <r>
    <s v="12"/>
    <s v="card"/>
    <n v="35.76"/>
    <x v="0"/>
    <x v="1"/>
    <x v="1"/>
    <x v="8"/>
    <s v="6"/>
    <s v="11"/>
    <s v="2024-11-16"/>
    <d v="1899-12-30T12:49:35"/>
    <x v="0"/>
  </r>
  <r>
    <s v="13"/>
    <s v="card"/>
    <n v="30.86"/>
    <x v="3"/>
    <x v="1"/>
    <x v="1"/>
    <x v="8"/>
    <s v="6"/>
    <s v="11"/>
    <s v="2024-11-16"/>
    <d v="1899-12-30T13:16:55"/>
    <x v="0"/>
  </r>
  <r>
    <s v="13"/>
    <s v="card"/>
    <n v="35.76"/>
    <x v="0"/>
    <x v="1"/>
    <x v="1"/>
    <x v="8"/>
    <s v="6"/>
    <s v="11"/>
    <s v="2024-11-16"/>
    <d v="1899-12-30T13:18:00"/>
    <x v="0"/>
  </r>
  <r>
    <s v="13"/>
    <s v="card"/>
    <n v="35.76"/>
    <x v="0"/>
    <x v="1"/>
    <x v="1"/>
    <x v="8"/>
    <s v="6"/>
    <s v="11"/>
    <s v="2024-11-16"/>
    <d v="1899-12-30T13:19:09"/>
    <x v="0"/>
  </r>
  <r>
    <s v="14"/>
    <s v="card"/>
    <n v="30.86"/>
    <x v="3"/>
    <x v="1"/>
    <x v="1"/>
    <x v="8"/>
    <s v="6"/>
    <s v="11"/>
    <s v="2024-11-16"/>
    <d v="1899-12-30T14:25:47"/>
    <x v="0"/>
  </r>
  <r>
    <s v="10"/>
    <s v="card"/>
    <n v="30.86"/>
    <x v="3"/>
    <x v="0"/>
    <x v="2"/>
    <x v="8"/>
    <s v="7"/>
    <s v="11"/>
    <s v="2024-11-17"/>
    <d v="1899-12-30T10:29:37"/>
    <x v="0"/>
  </r>
  <r>
    <s v="13"/>
    <s v="card"/>
    <n v="30.86"/>
    <x v="3"/>
    <x v="1"/>
    <x v="2"/>
    <x v="8"/>
    <s v="7"/>
    <s v="11"/>
    <s v="2024-11-17"/>
    <d v="1899-12-30T13:35:20"/>
    <x v="0"/>
  </r>
  <r>
    <s v="14"/>
    <s v="card"/>
    <n v="25.96"/>
    <x v="2"/>
    <x v="1"/>
    <x v="2"/>
    <x v="8"/>
    <s v="7"/>
    <s v="11"/>
    <s v="2024-11-17"/>
    <d v="1899-12-30T14:18:42"/>
    <x v="0"/>
  </r>
  <r>
    <s v="14"/>
    <s v="card"/>
    <n v="30.86"/>
    <x v="3"/>
    <x v="1"/>
    <x v="2"/>
    <x v="8"/>
    <s v="7"/>
    <s v="11"/>
    <s v="2024-11-17"/>
    <d v="1899-12-30T14:33:40"/>
    <x v="0"/>
  </r>
  <r>
    <s v="16"/>
    <s v="card"/>
    <n v="35.76"/>
    <x v="0"/>
    <x v="1"/>
    <x v="2"/>
    <x v="8"/>
    <s v="7"/>
    <s v="11"/>
    <s v="2024-11-17"/>
    <d v="1899-12-30T16:27:26"/>
    <x v="0"/>
  </r>
  <r>
    <s v="16"/>
    <s v="card"/>
    <n v="35.76"/>
    <x v="0"/>
    <x v="1"/>
    <x v="2"/>
    <x v="8"/>
    <s v="7"/>
    <s v="11"/>
    <s v="2024-11-17"/>
    <d v="1899-12-30T16:28:36"/>
    <x v="0"/>
  </r>
  <r>
    <s v="18"/>
    <s v="card"/>
    <n v="35.76"/>
    <x v="1"/>
    <x v="2"/>
    <x v="2"/>
    <x v="8"/>
    <s v="7"/>
    <s v="11"/>
    <s v="2024-11-17"/>
    <d v="1899-12-30T18:10:07"/>
    <x v="0"/>
  </r>
  <r>
    <s v="19"/>
    <s v="card"/>
    <n v="35.76"/>
    <x v="1"/>
    <x v="2"/>
    <x v="2"/>
    <x v="8"/>
    <s v="7"/>
    <s v="11"/>
    <s v="2024-11-17"/>
    <d v="1899-12-30T19:17:34"/>
    <x v="0"/>
  </r>
  <r>
    <s v="19"/>
    <s v="card"/>
    <n v="35.76"/>
    <x v="1"/>
    <x v="2"/>
    <x v="2"/>
    <x v="8"/>
    <s v="7"/>
    <s v="11"/>
    <s v="2024-11-17"/>
    <d v="1899-12-30T19:18:28"/>
    <x v="0"/>
  </r>
  <r>
    <s v="7"/>
    <s v="card"/>
    <n v="30.86"/>
    <x v="3"/>
    <x v="0"/>
    <x v="3"/>
    <x v="8"/>
    <s v="1"/>
    <s v="11"/>
    <s v="2024-11-18"/>
    <d v="1899-12-30T07:52:20"/>
    <x v="0"/>
  </r>
  <r>
    <s v="7"/>
    <s v="card"/>
    <n v="30.86"/>
    <x v="3"/>
    <x v="0"/>
    <x v="3"/>
    <x v="8"/>
    <s v="1"/>
    <s v="11"/>
    <s v="2024-11-18"/>
    <d v="1899-12-30T07:53:16"/>
    <x v="0"/>
  </r>
  <r>
    <s v="7"/>
    <s v="card"/>
    <n v="35.76"/>
    <x v="0"/>
    <x v="0"/>
    <x v="3"/>
    <x v="8"/>
    <s v="1"/>
    <s v="11"/>
    <s v="2024-11-18"/>
    <d v="1899-12-30T07:57:22"/>
    <x v="0"/>
  </r>
  <r>
    <s v="16"/>
    <s v="card"/>
    <n v="35.76"/>
    <x v="0"/>
    <x v="1"/>
    <x v="3"/>
    <x v="8"/>
    <s v="1"/>
    <s v="11"/>
    <s v="2024-11-18"/>
    <d v="1899-12-30T16:44:49"/>
    <x v="0"/>
  </r>
  <r>
    <s v="16"/>
    <s v="card"/>
    <n v="35.76"/>
    <x v="0"/>
    <x v="1"/>
    <x v="3"/>
    <x v="8"/>
    <s v="1"/>
    <s v="11"/>
    <s v="2024-11-18"/>
    <d v="1899-12-30T16:46:53"/>
    <x v="0"/>
  </r>
  <r>
    <s v="18"/>
    <s v="card"/>
    <n v="35.76"/>
    <x v="0"/>
    <x v="2"/>
    <x v="3"/>
    <x v="8"/>
    <s v="1"/>
    <s v="11"/>
    <s v="2024-11-18"/>
    <d v="1899-12-30T18:50:54"/>
    <x v="0"/>
  </r>
  <r>
    <s v="7"/>
    <s v="card"/>
    <n v="35.76"/>
    <x v="4"/>
    <x v="0"/>
    <x v="4"/>
    <x v="8"/>
    <s v="2"/>
    <s v="11"/>
    <s v="2024-11-19"/>
    <d v="1899-12-30T07:49:01"/>
    <x v="0"/>
  </r>
  <r>
    <s v="7"/>
    <s v="card"/>
    <n v="30.86"/>
    <x v="3"/>
    <x v="0"/>
    <x v="4"/>
    <x v="8"/>
    <s v="2"/>
    <s v="11"/>
    <s v="2024-11-19"/>
    <d v="1899-12-30T07:51:14"/>
    <x v="0"/>
  </r>
  <r>
    <s v="7"/>
    <s v="card"/>
    <n v="35.76"/>
    <x v="0"/>
    <x v="0"/>
    <x v="4"/>
    <x v="8"/>
    <s v="2"/>
    <s v="11"/>
    <s v="2024-11-19"/>
    <d v="1899-12-30T07:52:13"/>
    <x v="0"/>
  </r>
  <r>
    <s v="7"/>
    <s v="card"/>
    <n v="21.06"/>
    <x v="6"/>
    <x v="0"/>
    <x v="4"/>
    <x v="8"/>
    <s v="2"/>
    <s v="11"/>
    <s v="2024-11-19"/>
    <d v="1899-12-30T07:53:38"/>
    <x v="0"/>
  </r>
  <r>
    <s v="7"/>
    <s v="card"/>
    <n v="35.76"/>
    <x v="0"/>
    <x v="0"/>
    <x v="4"/>
    <x v="8"/>
    <s v="2"/>
    <s v="11"/>
    <s v="2024-11-19"/>
    <d v="1899-12-30T07:54:47"/>
    <x v="0"/>
  </r>
  <r>
    <s v="10"/>
    <s v="card"/>
    <n v="30.86"/>
    <x v="3"/>
    <x v="0"/>
    <x v="4"/>
    <x v="8"/>
    <s v="2"/>
    <s v="11"/>
    <s v="2024-11-19"/>
    <d v="1899-12-30T10:29:23"/>
    <x v="0"/>
  </r>
  <r>
    <s v="11"/>
    <s v="card"/>
    <n v="35.76"/>
    <x v="0"/>
    <x v="0"/>
    <x v="4"/>
    <x v="8"/>
    <s v="2"/>
    <s v="11"/>
    <s v="2024-11-19"/>
    <d v="1899-12-30T11:07:09"/>
    <x v="0"/>
  </r>
  <r>
    <s v="16"/>
    <s v="card"/>
    <n v="35.76"/>
    <x v="4"/>
    <x v="1"/>
    <x v="4"/>
    <x v="8"/>
    <s v="2"/>
    <s v="11"/>
    <s v="2024-11-19"/>
    <d v="1899-12-30T16:22:40"/>
    <x v="0"/>
  </r>
  <r>
    <s v="16"/>
    <s v="card"/>
    <n v="35.76"/>
    <x v="4"/>
    <x v="1"/>
    <x v="4"/>
    <x v="8"/>
    <s v="2"/>
    <s v="11"/>
    <s v="2024-11-19"/>
    <d v="1899-12-30T16:23:59"/>
    <x v="0"/>
  </r>
  <r>
    <s v="16"/>
    <s v="card"/>
    <n v="35.76"/>
    <x v="7"/>
    <x v="1"/>
    <x v="4"/>
    <x v="8"/>
    <s v="2"/>
    <s v="11"/>
    <s v="2024-11-19"/>
    <d v="1899-12-30T16:41:04"/>
    <x v="0"/>
  </r>
  <r>
    <s v="16"/>
    <s v="card"/>
    <n v="35.76"/>
    <x v="7"/>
    <x v="1"/>
    <x v="4"/>
    <x v="8"/>
    <s v="2"/>
    <s v="11"/>
    <s v="2024-11-19"/>
    <d v="1899-12-30T16:47:41"/>
    <x v="0"/>
  </r>
  <r>
    <s v="13"/>
    <s v="card"/>
    <n v="30.86"/>
    <x v="3"/>
    <x v="1"/>
    <x v="5"/>
    <x v="8"/>
    <s v="3"/>
    <s v="11"/>
    <s v="2024-11-20"/>
    <d v="1899-12-30T13:29:39"/>
    <x v="0"/>
  </r>
  <r>
    <s v="16"/>
    <s v="card"/>
    <n v="35.76"/>
    <x v="0"/>
    <x v="1"/>
    <x v="5"/>
    <x v="8"/>
    <s v="3"/>
    <s v="11"/>
    <s v="2024-11-20"/>
    <d v="1899-12-30T16:34:50"/>
    <x v="0"/>
  </r>
  <r>
    <s v="17"/>
    <s v="card"/>
    <n v="35.76"/>
    <x v="7"/>
    <x v="2"/>
    <x v="5"/>
    <x v="8"/>
    <s v="3"/>
    <s v="11"/>
    <s v="2024-11-20"/>
    <d v="1899-12-30T17:49:52"/>
    <x v="0"/>
  </r>
  <r>
    <s v="17"/>
    <s v="card"/>
    <n v="35.76"/>
    <x v="1"/>
    <x v="2"/>
    <x v="5"/>
    <x v="8"/>
    <s v="3"/>
    <s v="11"/>
    <s v="2024-11-20"/>
    <d v="1899-12-30T17:50:50"/>
    <x v="0"/>
  </r>
  <r>
    <s v="11"/>
    <s v="card"/>
    <n v="25.96"/>
    <x v="5"/>
    <x v="0"/>
    <x v="6"/>
    <x v="8"/>
    <s v="4"/>
    <s v="11"/>
    <s v="2024-11-21"/>
    <d v="1899-12-30T11:06:11"/>
    <x v="0"/>
  </r>
  <r>
    <s v="12"/>
    <s v="card"/>
    <n v="35.76"/>
    <x v="0"/>
    <x v="1"/>
    <x v="6"/>
    <x v="8"/>
    <s v="4"/>
    <s v="11"/>
    <s v="2024-11-21"/>
    <d v="1899-12-30T12:33:36"/>
    <x v="0"/>
  </r>
  <r>
    <s v="12"/>
    <s v="card"/>
    <n v="35.76"/>
    <x v="4"/>
    <x v="1"/>
    <x v="6"/>
    <x v="8"/>
    <s v="4"/>
    <s v="11"/>
    <s v="2024-11-21"/>
    <d v="1899-12-30T12:59:45"/>
    <x v="0"/>
  </r>
  <r>
    <s v="13"/>
    <s v="card"/>
    <n v="35.76"/>
    <x v="4"/>
    <x v="1"/>
    <x v="6"/>
    <x v="8"/>
    <s v="4"/>
    <s v="11"/>
    <s v="2024-11-21"/>
    <d v="1899-12-30T13:00:47"/>
    <x v="0"/>
  </r>
  <r>
    <s v="16"/>
    <s v="card"/>
    <n v="35.76"/>
    <x v="0"/>
    <x v="1"/>
    <x v="6"/>
    <x v="8"/>
    <s v="4"/>
    <s v="11"/>
    <s v="2024-11-21"/>
    <d v="1899-12-30T16:14:14"/>
    <x v="0"/>
  </r>
  <r>
    <s v="17"/>
    <s v="card"/>
    <n v="30.86"/>
    <x v="3"/>
    <x v="2"/>
    <x v="6"/>
    <x v="8"/>
    <s v="4"/>
    <s v="11"/>
    <s v="2024-11-21"/>
    <d v="1899-12-30T17:35:27"/>
    <x v="0"/>
  </r>
  <r>
    <s v="17"/>
    <s v="card"/>
    <n v="25.96"/>
    <x v="5"/>
    <x v="2"/>
    <x v="6"/>
    <x v="8"/>
    <s v="4"/>
    <s v="11"/>
    <s v="2024-11-21"/>
    <d v="1899-12-30T17:39:23"/>
    <x v="0"/>
  </r>
  <r>
    <s v="19"/>
    <s v="card"/>
    <n v="35.76"/>
    <x v="1"/>
    <x v="2"/>
    <x v="6"/>
    <x v="8"/>
    <s v="4"/>
    <s v="11"/>
    <s v="2024-11-21"/>
    <d v="1899-12-30T19:01:03"/>
    <x v="0"/>
  </r>
  <r>
    <s v="7"/>
    <s v="card"/>
    <n v="35.76"/>
    <x v="0"/>
    <x v="0"/>
    <x v="0"/>
    <x v="8"/>
    <s v="5"/>
    <s v="11"/>
    <s v="2024-11-22"/>
    <d v="1899-12-30T07:50:36"/>
    <x v="0"/>
  </r>
  <r>
    <s v="10"/>
    <s v="card"/>
    <n v="35.76"/>
    <x v="7"/>
    <x v="0"/>
    <x v="0"/>
    <x v="8"/>
    <s v="5"/>
    <s v="11"/>
    <s v="2024-11-22"/>
    <d v="1899-12-30T10:03:43"/>
    <x v="0"/>
  </r>
  <r>
    <s v="11"/>
    <s v="card"/>
    <n v="35.76"/>
    <x v="0"/>
    <x v="0"/>
    <x v="0"/>
    <x v="8"/>
    <s v="5"/>
    <s v="11"/>
    <s v="2024-11-22"/>
    <d v="1899-12-30T11:02:32"/>
    <x v="0"/>
  </r>
  <r>
    <s v="11"/>
    <s v="card"/>
    <n v="35.76"/>
    <x v="4"/>
    <x v="0"/>
    <x v="0"/>
    <x v="8"/>
    <s v="5"/>
    <s v="11"/>
    <s v="2024-11-22"/>
    <d v="1899-12-30T11:24:26"/>
    <x v="0"/>
  </r>
  <r>
    <s v="16"/>
    <s v="card"/>
    <n v="35.76"/>
    <x v="1"/>
    <x v="1"/>
    <x v="0"/>
    <x v="8"/>
    <s v="5"/>
    <s v="11"/>
    <s v="2024-11-22"/>
    <d v="1899-12-30T16:33:05"/>
    <x v="0"/>
  </r>
  <r>
    <s v="16"/>
    <s v="card"/>
    <n v="35.76"/>
    <x v="0"/>
    <x v="1"/>
    <x v="0"/>
    <x v="8"/>
    <s v="5"/>
    <s v="11"/>
    <s v="2024-11-22"/>
    <d v="1899-12-30T16:33:50"/>
    <x v="0"/>
  </r>
  <r>
    <s v="9"/>
    <s v="card"/>
    <n v="25.96"/>
    <x v="5"/>
    <x v="0"/>
    <x v="1"/>
    <x v="8"/>
    <s v="6"/>
    <s v="11"/>
    <s v="2024-11-23"/>
    <d v="1899-12-30T09:10:46"/>
    <x v="0"/>
  </r>
  <r>
    <s v="9"/>
    <s v="card"/>
    <n v="25.96"/>
    <x v="5"/>
    <x v="0"/>
    <x v="1"/>
    <x v="8"/>
    <s v="6"/>
    <s v="11"/>
    <s v="2024-11-23"/>
    <d v="1899-12-30T09:11:49"/>
    <x v="0"/>
  </r>
  <r>
    <s v="10"/>
    <s v="card"/>
    <n v="35.76"/>
    <x v="0"/>
    <x v="0"/>
    <x v="1"/>
    <x v="8"/>
    <s v="6"/>
    <s v="11"/>
    <s v="2024-11-23"/>
    <d v="1899-12-30T10:05:16"/>
    <x v="0"/>
  </r>
  <r>
    <s v="11"/>
    <s v="card"/>
    <n v="35.76"/>
    <x v="7"/>
    <x v="0"/>
    <x v="1"/>
    <x v="8"/>
    <s v="6"/>
    <s v="11"/>
    <s v="2024-11-23"/>
    <d v="1899-12-30T11:03:00"/>
    <x v="0"/>
  </r>
  <r>
    <s v="11"/>
    <s v="card"/>
    <n v="25.96"/>
    <x v="2"/>
    <x v="0"/>
    <x v="1"/>
    <x v="8"/>
    <s v="6"/>
    <s v="11"/>
    <s v="2024-11-23"/>
    <d v="1899-12-30T11:09:28"/>
    <x v="0"/>
  </r>
  <r>
    <s v="11"/>
    <s v="card"/>
    <n v="25.96"/>
    <x v="2"/>
    <x v="0"/>
    <x v="1"/>
    <x v="8"/>
    <s v="6"/>
    <s v="11"/>
    <s v="2024-11-23"/>
    <d v="1899-12-30T11:10:26"/>
    <x v="0"/>
  </r>
  <r>
    <s v="11"/>
    <s v="card"/>
    <n v="35.76"/>
    <x v="1"/>
    <x v="0"/>
    <x v="1"/>
    <x v="8"/>
    <s v="6"/>
    <s v="11"/>
    <s v="2024-11-23"/>
    <d v="1899-12-30T11:41:27"/>
    <x v="0"/>
  </r>
  <r>
    <s v="22"/>
    <s v="card"/>
    <n v="35.76"/>
    <x v="0"/>
    <x v="2"/>
    <x v="1"/>
    <x v="8"/>
    <s v="6"/>
    <s v="11"/>
    <s v="2024-11-23"/>
    <d v="1899-12-30T22:37:04"/>
    <x v="0"/>
  </r>
  <r>
    <s v="8"/>
    <s v="card"/>
    <n v="35.76"/>
    <x v="0"/>
    <x v="0"/>
    <x v="2"/>
    <x v="8"/>
    <s v="7"/>
    <s v="11"/>
    <s v="2024-11-24"/>
    <d v="1899-12-30T08:17:07"/>
    <x v="0"/>
  </r>
  <r>
    <s v="7"/>
    <s v="card"/>
    <n v="35.76"/>
    <x v="7"/>
    <x v="0"/>
    <x v="3"/>
    <x v="8"/>
    <s v="1"/>
    <s v="11"/>
    <s v="2024-11-25"/>
    <d v="1899-12-30T07:49:18"/>
    <x v="0"/>
  </r>
  <r>
    <s v="7"/>
    <s v="card"/>
    <n v="35.76"/>
    <x v="0"/>
    <x v="0"/>
    <x v="3"/>
    <x v="8"/>
    <s v="1"/>
    <s v="11"/>
    <s v="2024-11-25"/>
    <d v="1899-12-30T07:54:24"/>
    <x v="0"/>
  </r>
  <r>
    <s v="9"/>
    <s v="card"/>
    <n v="30.86"/>
    <x v="3"/>
    <x v="0"/>
    <x v="3"/>
    <x v="8"/>
    <s v="1"/>
    <s v="11"/>
    <s v="2024-11-25"/>
    <d v="1899-12-30T09:12:21"/>
    <x v="0"/>
  </r>
  <r>
    <s v="10"/>
    <s v="card"/>
    <n v="25.96"/>
    <x v="5"/>
    <x v="0"/>
    <x v="3"/>
    <x v="8"/>
    <s v="1"/>
    <s v="11"/>
    <s v="2024-11-25"/>
    <d v="1899-12-30T10:38:08"/>
    <x v="0"/>
  </r>
  <r>
    <s v="12"/>
    <s v="card"/>
    <n v="35.76"/>
    <x v="0"/>
    <x v="1"/>
    <x v="3"/>
    <x v="8"/>
    <s v="1"/>
    <s v="11"/>
    <s v="2024-11-25"/>
    <d v="1899-12-30T12:50:58"/>
    <x v="0"/>
  </r>
  <r>
    <s v="12"/>
    <s v="card"/>
    <n v="35.76"/>
    <x v="0"/>
    <x v="1"/>
    <x v="3"/>
    <x v="8"/>
    <s v="1"/>
    <s v="11"/>
    <s v="2024-11-25"/>
    <d v="1899-12-30T12:52:41"/>
    <x v="0"/>
  </r>
  <r>
    <s v="16"/>
    <s v="card"/>
    <n v="35.76"/>
    <x v="1"/>
    <x v="1"/>
    <x v="3"/>
    <x v="8"/>
    <s v="1"/>
    <s v="11"/>
    <s v="2024-11-25"/>
    <d v="1899-12-30T16:30:56"/>
    <x v="0"/>
  </r>
  <r>
    <s v="19"/>
    <s v="card"/>
    <n v="30.86"/>
    <x v="3"/>
    <x v="2"/>
    <x v="3"/>
    <x v="8"/>
    <s v="1"/>
    <s v="11"/>
    <s v="2024-11-25"/>
    <d v="1899-12-30T19:01:59"/>
    <x v="0"/>
  </r>
  <r>
    <s v="19"/>
    <s v="card"/>
    <n v="35.76"/>
    <x v="1"/>
    <x v="2"/>
    <x v="3"/>
    <x v="8"/>
    <s v="1"/>
    <s v="11"/>
    <s v="2024-11-25"/>
    <d v="1899-12-30T19:37:58"/>
    <x v="0"/>
  </r>
  <r>
    <s v="21"/>
    <s v="card"/>
    <n v="35.76"/>
    <x v="1"/>
    <x v="2"/>
    <x v="3"/>
    <x v="8"/>
    <s v="1"/>
    <s v="11"/>
    <s v="2024-11-25"/>
    <d v="1899-12-30T21:42:15"/>
    <x v="0"/>
  </r>
  <r>
    <s v="21"/>
    <s v="card"/>
    <n v="35.76"/>
    <x v="7"/>
    <x v="2"/>
    <x v="3"/>
    <x v="8"/>
    <s v="1"/>
    <s v="11"/>
    <s v="2024-11-25"/>
    <d v="1899-12-30T21:43:00"/>
    <x v="0"/>
  </r>
  <r>
    <s v="7"/>
    <s v="card"/>
    <n v="35.76"/>
    <x v="0"/>
    <x v="0"/>
    <x v="4"/>
    <x v="8"/>
    <s v="2"/>
    <s v="11"/>
    <s v="2024-11-26"/>
    <d v="1899-12-30T07:54:38"/>
    <x v="0"/>
  </r>
  <r>
    <s v="11"/>
    <s v="card"/>
    <n v="35.76"/>
    <x v="4"/>
    <x v="0"/>
    <x v="4"/>
    <x v="8"/>
    <s v="2"/>
    <s v="11"/>
    <s v="2024-11-26"/>
    <d v="1899-12-30T11:02:56"/>
    <x v="0"/>
  </r>
  <r>
    <s v="11"/>
    <s v="card"/>
    <n v="25.96"/>
    <x v="2"/>
    <x v="0"/>
    <x v="4"/>
    <x v="8"/>
    <s v="2"/>
    <s v="11"/>
    <s v="2024-11-26"/>
    <d v="1899-12-30T11:03:47"/>
    <x v="0"/>
  </r>
  <r>
    <s v="11"/>
    <s v="card"/>
    <n v="35.76"/>
    <x v="4"/>
    <x v="0"/>
    <x v="4"/>
    <x v="8"/>
    <s v="2"/>
    <s v="11"/>
    <s v="2024-11-26"/>
    <d v="1899-12-30T11:06:09"/>
    <x v="0"/>
  </r>
  <r>
    <s v="11"/>
    <s v="card"/>
    <n v="35.76"/>
    <x v="4"/>
    <x v="0"/>
    <x v="4"/>
    <x v="8"/>
    <s v="2"/>
    <s v="11"/>
    <s v="2024-11-26"/>
    <d v="1899-12-30T11:07:10"/>
    <x v="0"/>
  </r>
  <r>
    <s v="16"/>
    <s v="card"/>
    <n v="35.76"/>
    <x v="0"/>
    <x v="1"/>
    <x v="4"/>
    <x v="8"/>
    <s v="2"/>
    <s v="11"/>
    <s v="2024-11-26"/>
    <d v="1899-12-30T16:03:54"/>
    <x v="0"/>
  </r>
  <r>
    <s v="16"/>
    <s v="card"/>
    <n v="35.76"/>
    <x v="0"/>
    <x v="1"/>
    <x v="4"/>
    <x v="8"/>
    <s v="2"/>
    <s v="11"/>
    <s v="2024-11-26"/>
    <d v="1899-12-30T16:05:01"/>
    <x v="0"/>
  </r>
  <r>
    <s v="17"/>
    <s v="card"/>
    <n v="25.96"/>
    <x v="2"/>
    <x v="2"/>
    <x v="4"/>
    <x v="8"/>
    <s v="2"/>
    <s v="11"/>
    <s v="2024-11-26"/>
    <d v="1899-12-30T17:11:38"/>
    <x v="0"/>
  </r>
  <r>
    <s v="17"/>
    <s v="card"/>
    <n v="30.86"/>
    <x v="3"/>
    <x v="2"/>
    <x v="4"/>
    <x v="8"/>
    <s v="2"/>
    <s v="11"/>
    <s v="2024-11-26"/>
    <d v="1899-12-30T17:12:34"/>
    <x v="0"/>
  </r>
  <r>
    <s v="19"/>
    <s v="card"/>
    <n v="35.76"/>
    <x v="4"/>
    <x v="2"/>
    <x v="4"/>
    <x v="8"/>
    <s v="2"/>
    <s v="11"/>
    <s v="2024-11-26"/>
    <d v="1899-12-30T19:47:25"/>
    <x v="0"/>
  </r>
  <r>
    <s v="8"/>
    <s v="card"/>
    <n v="35.76"/>
    <x v="7"/>
    <x v="0"/>
    <x v="6"/>
    <x v="8"/>
    <s v="4"/>
    <s v="11"/>
    <s v="2024-11-28"/>
    <d v="1899-12-30T08:41:17"/>
    <x v="0"/>
  </r>
  <r>
    <s v="9"/>
    <s v="card"/>
    <n v="30.86"/>
    <x v="3"/>
    <x v="0"/>
    <x v="6"/>
    <x v="8"/>
    <s v="4"/>
    <s v="11"/>
    <s v="2024-11-28"/>
    <d v="1899-12-30T09:14:01"/>
    <x v="0"/>
  </r>
  <r>
    <s v="20"/>
    <s v="card"/>
    <n v="30.86"/>
    <x v="3"/>
    <x v="2"/>
    <x v="6"/>
    <x v="8"/>
    <s v="4"/>
    <s v="11"/>
    <s v="2024-11-28"/>
    <d v="1899-12-30T20:24:42"/>
    <x v="0"/>
  </r>
  <r>
    <s v="20"/>
    <s v="card"/>
    <n v="35.76"/>
    <x v="0"/>
    <x v="2"/>
    <x v="6"/>
    <x v="8"/>
    <s v="4"/>
    <s v="11"/>
    <s v="2024-11-28"/>
    <d v="1899-12-30T20:25:46"/>
    <x v="0"/>
  </r>
  <r>
    <s v="20"/>
    <s v="card"/>
    <n v="35.76"/>
    <x v="0"/>
    <x v="2"/>
    <x v="6"/>
    <x v="8"/>
    <s v="4"/>
    <s v="11"/>
    <s v="2024-11-28"/>
    <d v="1899-12-30T20:55:00"/>
    <x v="0"/>
  </r>
  <r>
    <s v="22"/>
    <s v="card"/>
    <n v="35.76"/>
    <x v="7"/>
    <x v="2"/>
    <x v="6"/>
    <x v="8"/>
    <s v="4"/>
    <s v="11"/>
    <s v="2024-11-28"/>
    <d v="1899-12-30T22:00:16"/>
    <x v="0"/>
  </r>
  <r>
    <s v="7"/>
    <s v="card"/>
    <n v="35.76"/>
    <x v="4"/>
    <x v="0"/>
    <x v="0"/>
    <x v="8"/>
    <s v="5"/>
    <s v="11"/>
    <s v="2024-11-29"/>
    <d v="1899-12-30T07:53:16"/>
    <x v="0"/>
  </r>
  <r>
    <s v="7"/>
    <s v="card"/>
    <n v="35.76"/>
    <x v="0"/>
    <x v="0"/>
    <x v="0"/>
    <x v="8"/>
    <s v="5"/>
    <s v="11"/>
    <s v="2024-11-29"/>
    <d v="1899-12-30T07:57:42"/>
    <x v="0"/>
  </r>
  <r>
    <s v="9"/>
    <s v="card"/>
    <n v="30.86"/>
    <x v="3"/>
    <x v="0"/>
    <x v="0"/>
    <x v="8"/>
    <s v="5"/>
    <s v="11"/>
    <s v="2024-11-29"/>
    <d v="1899-12-30T09:07:32"/>
    <x v="0"/>
  </r>
  <r>
    <s v="9"/>
    <s v="card"/>
    <n v="30.86"/>
    <x v="3"/>
    <x v="0"/>
    <x v="0"/>
    <x v="8"/>
    <s v="5"/>
    <s v="11"/>
    <s v="2024-11-29"/>
    <d v="1899-12-30T09:08:30"/>
    <x v="0"/>
  </r>
  <r>
    <s v="15"/>
    <s v="card"/>
    <n v="30.86"/>
    <x v="3"/>
    <x v="1"/>
    <x v="0"/>
    <x v="8"/>
    <s v="5"/>
    <s v="11"/>
    <s v="2024-11-29"/>
    <d v="1899-12-30T15:18:07"/>
    <x v="0"/>
  </r>
  <r>
    <s v="15"/>
    <s v="card"/>
    <n v="35.76"/>
    <x v="0"/>
    <x v="1"/>
    <x v="0"/>
    <x v="8"/>
    <s v="5"/>
    <s v="11"/>
    <s v="2024-11-29"/>
    <d v="1899-12-30T15:19:20"/>
    <x v="0"/>
  </r>
  <r>
    <s v="20"/>
    <s v="card"/>
    <n v="35.76"/>
    <x v="4"/>
    <x v="2"/>
    <x v="0"/>
    <x v="8"/>
    <s v="5"/>
    <s v="11"/>
    <s v="2024-11-29"/>
    <d v="1899-12-30T20:57:55"/>
    <x v="0"/>
  </r>
  <r>
    <s v="12"/>
    <s v="card"/>
    <n v="35.76"/>
    <x v="4"/>
    <x v="1"/>
    <x v="1"/>
    <x v="8"/>
    <s v="6"/>
    <s v="11"/>
    <s v="2024-11-30"/>
    <d v="1899-12-30T12:58:12"/>
    <x v="0"/>
  </r>
  <r>
    <s v="14"/>
    <s v="card"/>
    <n v="25.96"/>
    <x v="2"/>
    <x v="1"/>
    <x v="1"/>
    <x v="8"/>
    <s v="6"/>
    <s v="11"/>
    <s v="2024-11-30"/>
    <d v="1899-12-30T14:04:56"/>
    <x v="0"/>
  </r>
  <r>
    <s v="14"/>
    <s v="card"/>
    <n v="35.76"/>
    <x v="1"/>
    <x v="1"/>
    <x v="1"/>
    <x v="8"/>
    <s v="6"/>
    <s v="11"/>
    <s v="2024-11-30"/>
    <d v="1899-12-30T14:05:58"/>
    <x v="0"/>
  </r>
  <r>
    <s v="14"/>
    <s v="card"/>
    <n v="35.76"/>
    <x v="4"/>
    <x v="1"/>
    <x v="1"/>
    <x v="8"/>
    <s v="6"/>
    <s v="11"/>
    <s v="2024-11-30"/>
    <d v="1899-12-30T14:16:52"/>
    <x v="0"/>
  </r>
  <r>
    <s v="15"/>
    <s v="card"/>
    <n v="30.86"/>
    <x v="3"/>
    <x v="1"/>
    <x v="1"/>
    <x v="8"/>
    <s v="6"/>
    <s v="11"/>
    <s v="2024-11-30"/>
    <d v="1899-12-30T15:33:44"/>
    <x v="0"/>
  </r>
  <r>
    <s v="22"/>
    <s v="card"/>
    <n v="30.86"/>
    <x v="3"/>
    <x v="2"/>
    <x v="1"/>
    <x v="8"/>
    <s v="6"/>
    <s v="11"/>
    <s v="2024-11-30"/>
    <d v="1899-12-30T22:03:48"/>
    <x v="0"/>
  </r>
  <r>
    <s v="10"/>
    <s v="card"/>
    <n v="30.86"/>
    <x v="3"/>
    <x v="0"/>
    <x v="2"/>
    <x v="9"/>
    <s v="7"/>
    <s v="12"/>
    <s v="2024-12-01"/>
    <d v="1899-12-30T10:15:32"/>
    <x v="0"/>
  </r>
  <r>
    <s v="10"/>
    <s v="card"/>
    <n v="30.86"/>
    <x v="3"/>
    <x v="0"/>
    <x v="2"/>
    <x v="9"/>
    <s v="7"/>
    <s v="12"/>
    <s v="2024-12-01"/>
    <d v="1899-12-30T10:16:32"/>
    <x v="0"/>
  </r>
  <r>
    <s v="10"/>
    <s v="card"/>
    <n v="30.86"/>
    <x v="3"/>
    <x v="0"/>
    <x v="2"/>
    <x v="9"/>
    <s v="7"/>
    <s v="12"/>
    <s v="2024-12-01"/>
    <d v="1899-12-30T10:22:47"/>
    <x v="0"/>
  </r>
  <r>
    <s v="14"/>
    <s v="card"/>
    <n v="30.86"/>
    <x v="3"/>
    <x v="1"/>
    <x v="2"/>
    <x v="9"/>
    <s v="7"/>
    <s v="12"/>
    <s v="2024-12-01"/>
    <d v="1899-12-30T14:34:23"/>
    <x v="0"/>
  </r>
  <r>
    <s v="15"/>
    <s v="card"/>
    <n v="35.76"/>
    <x v="4"/>
    <x v="1"/>
    <x v="2"/>
    <x v="9"/>
    <s v="7"/>
    <s v="12"/>
    <s v="2024-12-01"/>
    <d v="1899-12-30T15:09:13"/>
    <x v="0"/>
  </r>
  <r>
    <s v="15"/>
    <s v="card"/>
    <n v="35.76"/>
    <x v="4"/>
    <x v="1"/>
    <x v="2"/>
    <x v="9"/>
    <s v="7"/>
    <s v="12"/>
    <s v="2024-12-01"/>
    <d v="1899-12-30T15:09:57"/>
    <x v="0"/>
  </r>
  <r>
    <s v="15"/>
    <s v="card"/>
    <n v="35.76"/>
    <x v="7"/>
    <x v="1"/>
    <x v="2"/>
    <x v="9"/>
    <s v="7"/>
    <s v="12"/>
    <s v="2024-12-01"/>
    <d v="1899-12-30T15:43:02"/>
    <x v="0"/>
  </r>
  <r>
    <s v="15"/>
    <s v="card"/>
    <n v="35.76"/>
    <x v="0"/>
    <x v="1"/>
    <x v="2"/>
    <x v="9"/>
    <s v="7"/>
    <s v="12"/>
    <s v="2024-12-01"/>
    <d v="1899-12-30T15:56:31"/>
    <x v="0"/>
  </r>
  <r>
    <s v="15"/>
    <s v="card"/>
    <n v="35.76"/>
    <x v="0"/>
    <x v="1"/>
    <x v="2"/>
    <x v="9"/>
    <s v="7"/>
    <s v="12"/>
    <s v="2024-12-01"/>
    <d v="1899-12-30T15:57:49"/>
    <x v="0"/>
  </r>
  <r>
    <s v="16"/>
    <s v="card"/>
    <n v="35.76"/>
    <x v="0"/>
    <x v="1"/>
    <x v="2"/>
    <x v="9"/>
    <s v="7"/>
    <s v="12"/>
    <s v="2024-12-01"/>
    <d v="1899-12-30T16:32:59"/>
    <x v="0"/>
  </r>
  <r>
    <s v="16"/>
    <s v="card"/>
    <n v="35.76"/>
    <x v="0"/>
    <x v="1"/>
    <x v="2"/>
    <x v="9"/>
    <s v="7"/>
    <s v="12"/>
    <s v="2024-12-01"/>
    <d v="1899-12-30T16:34:30"/>
    <x v="0"/>
  </r>
  <r>
    <s v="17"/>
    <s v="card"/>
    <n v="30.86"/>
    <x v="3"/>
    <x v="2"/>
    <x v="2"/>
    <x v="9"/>
    <s v="7"/>
    <s v="12"/>
    <s v="2024-12-01"/>
    <d v="1899-12-30T17:10:24"/>
    <x v="0"/>
  </r>
  <r>
    <s v="17"/>
    <s v="card"/>
    <n v="30.86"/>
    <x v="3"/>
    <x v="2"/>
    <x v="2"/>
    <x v="9"/>
    <s v="7"/>
    <s v="12"/>
    <s v="2024-12-01"/>
    <d v="1899-12-30T17:11:32"/>
    <x v="0"/>
  </r>
  <r>
    <s v="18"/>
    <s v="card"/>
    <n v="30.86"/>
    <x v="3"/>
    <x v="2"/>
    <x v="2"/>
    <x v="9"/>
    <s v="7"/>
    <s v="12"/>
    <s v="2024-12-01"/>
    <d v="1899-12-30T18:38:29"/>
    <x v="0"/>
  </r>
  <r>
    <s v="7"/>
    <s v="card"/>
    <n v="35.76"/>
    <x v="0"/>
    <x v="0"/>
    <x v="3"/>
    <x v="9"/>
    <s v="1"/>
    <s v="12"/>
    <s v="2024-12-02"/>
    <d v="1899-12-30T07:50:37"/>
    <x v="0"/>
  </r>
  <r>
    <s v="7"/>
    <s v="card"/>
    <n v="25.96"/>
    <x v="2"/>
    <x v="0"/>
    <x v="3"/>
    <x v="9"/>
    <s v="1"/>
    <s v="12"/>
    <s v="2024-12-02"/>
    <d v="1899-12-30T07:51:59"/>
    <x v="0"/>
  </r>
  <r>
    <s v="8"/>
    <s v="card"/>
    <n v="30.86"/>
    <x v="3"/>
    <x v="0"/>
    <x v="3"/>
    <x v="9"/>
    <s v="1"/>
    <s v="12"/>
    <s v="2024-12-02"/>
    <d v="1899-12-30T08:21:30"/>
    <x v="0"/>
  </r>
  <r>
    <s v="8"/>
    <s v="card"/>
    <n v="35.76"/>
    <x v="4"/>
    <x v="0"/>
    <x v="3"/>
    <x v="9"/>
    <s v="1"/>
    <s v="12"/>
    <s v="2024-12-02"/>
    <d v="1899-12-30T08:53:14"/>
    <x v="0"/>
  </r>
  <r>
    <s v="11"/>
    <s v="card"/>
    <n v="25.96"/>
    <x v="5"/>
    <x v="0"/>
    <x v="3"/>
    <x v="9"/>
    <s v="1"/>
    <s v="12"/>
    <s v="2024-12-02"/>
    <d v="1899-12-30T11:04:25"/>
    <x v="0"/>
  </r>
  <r>
    <s v="15"/>
    <s v="card"/>
    <n v="21.06"/>
    <x v="6"/>
    <x v="1"/>
    <x v="3"/>
    <x v="9"/>
    <s v="1"/>
    <s v="12"/>
    <s v="2024-12-02"/>
    <d v="1899-12-30T15:28:24"/>
    <x v="0"/>
  </r>
  <r>
    <s v="16"/>
    <s v="card"/>
    <n v="35.76"/>
    <x v="7"/>
    <x v="1"/>
    <x v="3"/>
    <x v="9"/>
    <s v="1"/>
    <s v="12"/>
    <s v="2024-12-02"/>
    <d v="1899-12-30T16:12:24"/>
    <x v="0"/>
  </r>
  <r>
    <s v="17"/>
    <s v="card"/>
    <n v="25.96"/>
    <x v="2"/>
    <x v="2"/>
    <x v="3"/>
    <x v="9"/>
    <s v="1"/>
    <s v="12"/>
    <s v="2024-12-02"/>
    <d v="1899-12-30T17:34:22"/>
    <x v="0"/>
  </r>
  <r>
    <s v="18"/>
    <s v="card"/>
    <n v="35.76"/>
    <x v="7"/>
    <x v="2"/>
    <x v="3"/>
    <x v="9"/>
    <s v="1"/>
    <s v="12"/>
    <s v="2024-12-02"/>
    <d v="1899-12-30T18:00:32"/>
    <x v="0"/>
  </r>
  <r>
    <s v="8"/>
    <s v="card"/>
    <n v="35.76"/>
    <x v="0"/>
    <x v="0"/>
    <x v="4"/>
    <x v="9"/>
    <s v="2"/>
    <s v="12"/>
    <s v="2024-12-03"/>
    <d v="1899-12-30T08:11:19"/>
    <x v="0"/>
  </r>
  <r>
    <s v="9"/>
    <s v="card"/>
    <n v="30.86"/>
    <x v="3"/>
    <x v="0"/>
    <x v="4"/>
    <x v="9"/>
    <s v="2"/>
    <s v="12"/>
    <s v="2024-12-03"/>
    <d v="1899-12-30T09:23:31"/>
    <x v="0"/>
  </r>
  <r>
    <s v="9"/>
    <s v="card"/>
    <n v="30.86"/>
    <x v="3"/>
    <x v="0"/>
    <x v="4"/>
    <x v="9"/>
    <s v="2"/>
    <s v="12"/>
    <s v="2024-12-03"/>
    <d v="1899-12-30T09:24:27"/>
    <x v="0"/>
  </r>
  <r>
    <s v="11"/>
    <s v="card"/>
    <n v="25.96"/>
    <x v="2"/>
    <x v="0"/>
    <x v="4"/>
    <x v="9"/>
    <s v="2"/>
    <s v="12"/>
    <s v="2024-12-03"/>
    <d v="1899-12-30T11:17:58"/>
    <x v="0"/>
  </r>
  <r>
    <s v="11"/>
    <s v="card"/>
    <n v="30.86"/>
    <x v="3"/>
    <x v="0"/>
    <x v="4"/>
    <x v="9"/>
    <s v="2"/>
    <s v="12"/>
    <s v="2024-12-03"/>
    <d v="1899-12-30T11:42:08"/>
    <x v="0"/>
  </r>
  <r>
    <s v="11"/>
    <s v="card"/>
    <n v="30.86"/>
    <x v="3"/>
    <x v="0"/>
    <x v="4"/>
    <x v="9"/>
    <s v="2"/>
    <s v="12"/>
    <s v="2024-12-03"/>
    <d v="1899-12-30T11:43:16"/>
    <x v="0"/>
  </r>
  <r>
    <s v="11"/>
    <s v="card"/>
    <n v="30.86"/>
    <x v="3"/>
    <x v="0"/>
    <x v="4"/>
    <x v="9"/>
    <s v="2"/>
    <s v="12"/>
    <s v="2024-12-03"/>
    <d v="1899-12-30T11:45:54"/>
    <x v="0"/>
  </r>
  <r>
    <s v="20"/>
    <s v="card"/>
    <n v="35.76"/>
    <x v="4"/>
    <x v="2"/>
    <x v="4"/>
    <x v="9"/>
    <s v="2"/>
    <s v="12"/>
    <s v="2024-12-03"/>
    <d v="1899-12-30T20:50:56"/>
    <x v="0"/>
  </r>
  <r>
    <s v="21"/>
    <s v="card"/>
    <n v="35.76"/>
    <x v="0"/>
    <x v="2"/>
    <x v="4"/>
    <x v="9"/>
    <s v="2"/>
    <s v="12"/>
    <s v="2024-12-03"/>
    <d v="1899-12-30T21:33:17"/>
    <x v="0"/>
  </r>
  <r>
    <s v="21"/>
    <s v="card"/>
    <n v="35.76"/>
    <x v="7"/>
    <x v="2"/>
    <x v="4"/>
    <x v="9"/>
    <s v="2"/>
    <s v="12"/>
    <s v="2024-12-03"/>
    <d v="1899-12-30T21:34:13"/>
    <x v="0"/>
  </r>
  <r>
    <s v="21"/>
    <s v="card"/>
    <n v="35.76"/>
    <x v="1"/>
    <x v="2"/>
    <x v="4"/>
    <x v="9"/>
    <s v="2"/>
    <s v="12"/>
    <s v="2024-12-03"/>
    <d v="1899-12-30T21:35:19"/>
    <x v="0"/>
  </r>
  <r>
    <s v="22"/>
    <s v="card"/>
    <n v="30.86"/>
    <x v="3"/>
    <x v="2"/>
    <x v="4"/>
    <x v="9"/>
    <s v="2"/>
    <s v="12"/>
    <s v="2024-12-03"/>
    <d v="1899-12-30T22:19:14"/>
    <x v="0"/>
  </r>
  <r>
    <s v="22"/>
    <s v="card"/>
    <n v="35.76"/>
    <x v="7"/>
    <x v="2"/>
    <x v="4"/>
    <x v="9"/>
    <s v="2"/>
    <s v="12"/>
    <s v="2024-12-03"/>
    <d v="1899-12-30T22:21:42"/>
    <x v="0"/>
  </r>
  <r>
    <s v="8"/>
    <s v="card"/>
    <n v="25.96"/>
    <x v="5"/>
    <x v="0"/>
    <x v="5"/>
    <x v="9"/>
    <s v="3"/>
    <s v="12"/>
    <s v="2024-12-04"/>
    <d v="1899-12-30T08:32:48"/>
    <x v="0"/>
  </r>
  <r>
    <s v="8"/>
    <s v="card"/>
    <n v="35.76"/>
    <x v="0"/>
    <x v="0"/>
    <x v="5"/>
    <x v="9"/>
    <s v="3"/>
    <s v="12"/>
    <s v="2024-12-04"/>
    <d v="1899-12-30T08:50:30"/>
    <x v="0"/>
  </r>
  <r>
    <s v="8"/>
    <s v="card"/>
    <n v="35.76"/>
    <x v="0"/>
    <x v="0"/>
    <x v="5"/>
    <x v="9"/>
    <s v="3"/>
    <s v="12"/>
    <s v="2024-12-04"/>
    <d v="1899-12-30T08:52:15"/>
    <x v="0"/>
  </r>
  <r>
    <s v="9"/>
    <s v="card"/>
    <n v="25.96"/>
    <x v="2"/>
    <x v="0"/>
    <x v="5"/>
    <x v="9"/>
    <s v="3"/>
    <s v="12"/>
    <s v="2024-12-04"/>
    <d v="1899-12-30T09:04:14"/>
    <x v="0"/>
  </r>
  <r>
    <s v="10"/>
    <s v="card"/>
    <n v="30.86"/>
    <x v="3"/>
    <x v="0"/>
    <x v="5"/>
    <x v="9"/>
    <s v="3"/>
    <s v="12"/>
    <s v="2024-12-04"/>
    <d v="1899-12-30T10:23:01"/>
    <x v="0"/>
  </r>
  <r>
    <s v="10"/>
    <s v="card"/>
    <n v="30.86"/>
    <x v="3"/>
    <x v="0"/>
    <x v="5"/>
    <x v="9"/>
    <s v="3"/>
    <s v="12"/>
    <s v="2024-12-04"/>
    <d v="1899-12-30T10:24:08"/>
    <x v="0"/>
  </r>
  <r>
    <s v="10"/>
    <s v="card"/>
    <n v="30.86"/>
    <x v="3"/>
    <x v="0"/>
    <x v="5"/>
    <x v="9"/>
    <s v="3"/>
    <s v="12"/>
    <s v="2024-12-04"/>
    <d v="1899-12-30T10:26:58"/>
    <x v="0"/>
  </r>
  <r>
    <s v="10"/>
    <s v="card"/>
    <n v="35.76"/>
    <x v="1"/>
    <x v="0"/>
    <x v="5"/>
    <x v="9"/>
    <s v="3"/>
    <s v="12"/>
    <s v="2024-12-04"/>
    <d v="1899-12-30T10:29:48"/>
    <x v="0"/>
  </r>
  <r>
    <s v="11"/>
    <s v="card"/>
    <n v="30.86"/>
    <x v="3"/>
    <x v="0"/>
    <x v="5"/>
    <x v="9"/>
    <s v="3"/>
    <s v="12"/>
    <s v="2024-12-04"/>
    <d v="1899-12-30T11:45:58"/>
    <x v="0"/>
  </r>
  <r>
    <s v="14"/>
    <s v="card"/>
    <n v="35.76"/>
    <x v="1"/>
    <x v="1"/>
    <x v="5"/>
    <x v="9"/>
    <s v="3"/>
    <s v="12"/>
    <s v="2024-12-04"/>
    <d v="1899-12-30T14:33:55"/>
    <x v="0"/>
  </r>
  <r>
    <s v="8"/>
    <s v="card"/>
    <n v="25.96"/>
    <x v="2"/>
    <x v="0"/>
    <x v="6"/>
    <x v="9"/>
    <s v="4"/>
    <s v="12"/>
    <s v="2024-12-05"/>
    <d v="1899-12-30T08:53:48"/>
    <x v="0"/>
  </r>
  <r>
    <s v="9"/>
    <s v="card"/>
    <n v="25.96"/>
    <x v="5"/>
    <x v="0"/>
    <x v="6"/>
    <x v="9"/>
    <s v="4"/>
    <s v="12"/>
    <s v="2024-12-05"/>
    <d v="1899-12-30T09:20:29"/>
    <x v="0"/>
  </r>
  <r>
    <s v="10"/>
    <s v="card"/>
    <n v="30.86"/>
    <x v="3"/>
    <x v="0"/>
    <x v="6"/>
    <x v="9"/>
    <s v="4"/>
    <s v="12"/>
    <s v="2024-12-05"/>
    <d v="1899-12-30T10:02:51"/>
    <x v="0"/>
  </r>
  <r>
    <s v="10"/>
    <s v="card"/>
    <n v="30.86"/>
    <x v="3"/>
    <x v="0"/>
    <x v="6"/>
    <x v="9"/>
    <s v="4"/>
    <s v="12"/>
    <s v="2024-12-05"/>
    <d v="1899-12-30T10:05:06"/>
    <x v="0"/>
  </r>
  <r>
    <s v="11"/>
    <s v="card"/>
    <n v="35.76"/>
    <x v="0"/>
    <x v="0"/>
    <x v="6"/>
    <x v="9"/>
    <s v="4"/>
    <s v="12"/>
    <s v="2024-12-05"/>
    <d v="1899-12-30T11:31:58"/>
    <x v="0"/>
  </r>
  <r>
    <s v="11"/>
    <s v="card"/>
    <n v="25.96"/>
    <x v="2"/>
    <x v="0"/>
    <x v="6"/>
    <x v="9"/>
    <s v="4"/>
    <s v="12"/>
    <s v="2024-12-05"/>
    <d v="1899-12-30T11:50:45"/>
    <x v="0"/>
  </r>
  <r>
    <s v="14"/>
    <s v="card"/>
    <n v="35.76"/>
    <x v="7"/>
    <x v="1"/>
    <x v="6"/>
    <x v="9"/>
    <s v="4"/>
    <s v="12"/>
    <s v="2024-12-05"/>
    <d v="1899-12-30T14:30:58"/>
    <x v="0"/>
  </r>
  <r>
    <s v="15"/>
    <s v="card"/>
    <n v="35.76"/>
    <x v="0"/>
    <x v="1"/>
    <x v="6"/>
    <x v="9"/>
    <s v="4"/>
    <s v="12"/>
    <s v="2024-12-05"/>
    <d v="1899-12-30T15:21:19"/>
    <x v="0"/>
  </r>
  <r>
    <s v="16"/>
    <s v="card"/>
    <n v="35.76"/>
    <x v="0"/>
    <x v="1"/>
    <x v="6"/>
    <x v="9"/>
    <s v="4"/>
    <s v="12"/>
    <s v="2024-12-05"/>
    <d v="1899-12-30T16:02:10"/>
    <x v="0"/>
  </r>
  <r>
    <s v="11"/>
    <s v="card"/>
    <n v="35.76"/>
    <x v="0"/>
    <x v="0"/>
    <x v="0"/>
    <x v="9"/>
    <s v="5"/>
    <s v="12"/>
    <s v="2024-12-06"/>
    <d v="1899-12-30T11:42:18"/>
    <x v="0"/>
  </r>
  <r>
    <s v="16"/>
    <s v="card"/>
    <n v="35.76"/>
    <x v="1"/>
    <x v="1"/>
    <x v="0"/>
    <x v="9"/>
    <s v="5"/>
    <s v="12"/>
    <s v="2024-12-06"/>
    <d v="1899-12-30T16:31:58"/>
    <x v="0"/>
  </r>
  <r>
    <s v="22"/>
    <s v="card"/>
    <n v="35.76"/>
    <x v="0"/>
    <x v="2"/>
    <x v="0"/>
    <x v="9"/>
    <s v="5"/>
    <s v="12"/>
    <s v="2024-12-06"/>
    <d v="1899-12-30T22:30:33"/>
    <x v="0"/>
  </r>
  <r>
    <s v="22"/>
    <s v="card"/>
    <n v="35.76"/>
    <x v="1"/>
    <x v="2"/>
    <x v="0"/>
    <x v="9"/>
    <s v="5"/>
    <s v="12"/>
    <s v="2024-12-06"/>
    <d v="1899-12-30T22:31:30"/>
    <x v="0"/>
  </r>
  <r>
    <s v="11"/>
    <s v="card"/>
    <n v="30.86"/>
    <x v="3"/>
    <x v="0"/>
    <x v="1"/>
    <x v="9"/>
    <s v="6"/>
    <s v="12"/>
    <s v="2024-12-07"/>
    <d v="1899-12-30T11:17:10"/>
    <x v="0"/>
  </r>
  <r>
    <s v="14"/>
    <s v="card"/>
    <n v="25.96"/>
    <x v="2"/>
    <x v="1"/>
    <x v="1"/>
    <x v="9"/>
    <s v="6"/>
    <s v="12"/>
    <s v="2024-12-07"/>
    <d v="1899-12-30T14:16:43"/>
    <x v="0"/>
  </r>
  <r>
    <s v="15"/>
    <s v="card"/>
    <n v="35.76"/>
    <x v="0"/>
    <x v="1"/>
    <x v="1"/>
    <x v="9"/>
    <s v="6"/>
    <s v="12"/>
    <s v="2024-12-07"/>
    <d v="1899-12-30T15:44:05"/>
    <x v="0"/>
  </r>
  <r>
    <s v="19"/>
    <s v="card"/>
    <n v="35.76"/>
    <x v="7"/>
    <x v="2"/>
    <x v="1"/>
    <x v="9"/>
    <s v="6"/>
    <s v="12"/>
    <s v="2024-12-07"/>
    <d v="1899-12-30T19:11:13"/>
    <x v="0"/>
  </r>
  <r>
    <s v="22"/>
    <s v="card"/>
    <n v="30.86"/>
    <x v="3"/>
    <x v="2"/>
    <x v="1"/>
    <x v="9"/>
    <s v="6"/>
    <s v="12"/>
    <s v="2024-12-07"/>
    <d v="1899-12-30T22:00:10"/>
    <x v="0"/>
  </r>
  <r>
    <s v="22"/>
    <s v="card"/>
    <n v="25.96"/>
    <x v="2"/>
    <x v="2"/>
    <x v="1"/>
    <x v="9"/>
    <s v="6"/>
    <s v="12"/>
    <s v="2024-12-07"/>
    <d v="1899-12-30T22:28:17"/>
    <x v="0"/>
  </r>
  <r>
    <s v="8"/>
    <s v="card"/>
    <n v="25.96"/>
    <x v="5"/>
    <x v="0"/>
    <x v="2"/>
    <x v="9"/>
    <s v="7"/>
    <s v="12"/>
    <s v="2024-12-08"/>
    <d v="1899-12-30T08:29:25"/>
    <x v="0"/>
  </r>
  <r>
    <s v="10"/>
    <s v="card"/>
    <n v="35.76"/>
    <x v="0"/>
    <x v="0"/>
    <x v="2"/>
    <x v="9"/>
    <s v="7"/>
    <s v="12"/>
    <s v="2024-12-08"/>
    <d v="1899-12-30T10:42:38"/>
    <x v="0"/>
  </r>
  <r>
    <s v="10"/>
    <s v="card"/>
    <n v="35.76"/>
    <x v="7"/>
    <x v="0"/>
    <x v="2"/>
    <x v="9"/>
    <s v="7"/>
    <s v="12"/>
    <s v="2024-12-08"/>
    <d v="1899-12-30T10:43:43"/>
    <x v="0"/>
  </r>
  <r>
    <s v="12"/>
    <s v="card"/>
    <n v="25.96"/>
    <x v="5"/>
    <x v="1"/>
    <x v="2"/>
    <x v="9"/>
    <s v="7"/>
    <s v="12"/>
    <s v="2024-12-08"/>
    <d v="1899-12-30T12:51:41"/>
    <x v="0"/>
  </r>
  <r>
    <s v="13"/>
    <s v="card"/>
    <n v="30.86"/>
    <x v="3"/>
    <x v="1"/>
    <x v="2"/>
    <x v="9"/>
    <s v="7"/>
    <s v="12"/>
    <s v="2024-12-08"/>
    <d v="1899-12-30T13:02:36"/>
    <x v="0"/>
  </r>
  <r>
    <s v="13"/>
    <s v="card"/>
    <n v="30.86"/>
    <x v="3"/>
    <x v="1"/>
    <x v="2"/>
    <x v="9"/>
    <s v="7"/>
    <s v="12"/>
    <s v="2024-12-08"/>
    <d v="1899-12-30T13:03:39"/>
    <x v="0"/>
  </r>
  <r>
    <s v="17"/>
    <s v="card"/>
    <n v="35.76"/>
    <x v="7"/>
    <x v="2"/>
    <x v="2"/>
    <x v="9"/>
    <s v="7"/>
    <s v="12"/>
    <s v="2024-12-08"/>
    <d v="1899-12-30T17:26:29"/>
    <x v="0"/>
  </r>
  <r>
    <s v="18"/>
    <s v="card"/>
    <n v="21.06"/>
    <x v="6"/>
    <x v="2"/>
    <x v="2"/>
    <x v="9"/>
    <s v="7"/>
    <s v="12"/>
    <s v="2024-12-08"/>
    <d v="1899-12-30T18:41:49"/>
    <x v="0"/>
  </r>
  <r>
    <s v="20"/>
    <s v="card"/>
    <n v="35.76"/>
    <x v="7"/>
    <x v="2"/>
    <x v="2"/>
    <x v="9"/>
    <s v="7"/>
    <s v="12"/>
    <s v="2024-12-08"/>
    <d v="1899-12-30T20:47:19"/>
    <x v="0"/>
  </r>
  <r>
    <s v="21"/>
    <s v="card"/>
    <n v="30.86"/>
    <x v="3"/>
    <x v="2"/>
    <x v="2"/>
    <x v="9"/>
    <s v="7"/>
    <s v="12"/>
    <s v="2024-12-08"/>
    <d v="1899-12-30T21:28:30"/>
    <x v="0"/>
  </r>
  <r>
    <s v="21"/>
    <s v="card"/>
    <n v="30.86"/>
    <x v="3"/>
    <x v="2"/>
    <x v="2"/>
    <x v="9"/>
    <s v="7"/>
    <s v="12"/>
    <s v="2024-12-08"/>
    <d v="1899-12-30T21:41:24"/>
    <x v="0"/>
  </r>
  <r>
    <s v="8"/>
    <s v="card"/>
    <n v="35.76"/>
    <x v="7"/>
    <x v="0"/>
    <x v="3"/>
    <x v="9"/>
    <s v="1"/>
    <s v="12"/>
    <s v="2024-12-09"/>
    <d v="1899-12-30T08:32:41"/>
    <x v="0"/>
  </r>
  <r>
    <s v="9"/>
    <s v="card"/>
    <n v="25.96"/>
    <x v="2"/>
    <x v="0"/>
    <x v="3"/>
    <x v="9"/>
    <s v="1"/>
    <s v="12"/>
    <s v="2024-12-09"/>
    <d v="1899-12-30T09:12:25"/>
    <x v="0"/>
  </r>
  <r>
    <s v="9"/>
    <s v="card"/>
    <n v="30.86"/>
    <x v="3"/>
    <x v="0"/>
    <x v="3"/>
    <x v="9"/>
    <s v="1"/>
    <s v="12"/>
    <s v="2024-12-09"/>
    <d v="1899-12-30T09:33:57"/>
    <x v="0"/>
  </r>
  <r>
    <s v="13"/>
    <s v="card"/>
    <n v="25.96"/>
    <x v="5"/>
    <x v="1"/>
    <x v="3"/>
    <x v="9"/>
    <s v="1"/>
    <s v="12"/>
    <s v="2024-12-09"/>
    <d v="1899-12-30T13:00:55"/>
    <x v="0"/>
  </r>
  <r>
    <s v="21"/>
    <s v="card"/>
    <n v="35.76"/>
    <x v="4"/>
    <x v="2"/>
    <x v="3"/>
    <x v="9"/>
    <s v="1"/>
    <s v="12"/>
    <s v="2024-12-09"/>
    <d v="1899-12-30T21:21:51"/>
    <x v="0"/>
  </r>
  <r>
    <s v="12"/>
    <s v="card"/>
    <n v="25.96"/>
    <x v="5"/>
    <x v="1"/>
    <x v="4"/>
    <x v="9"/>
    <s v="2"/>
    <s v="12"/>
    <s v="2024-12-10"/>
    <d v="1899-12-30T12:25:50"/>
    <x v="0"/>
  </r>
  <r>
    <s v="18"/>
    <s v="card"/>
    <n v="35.76"/>
    <x v="1"/>
    <x v="2"/>
    <x v="4"/>
    <x v="9"/>
    <s v="2"/>
    <s v="12"/>
    <s v="2024-12-10"/>
    <d v="1899-12-30T18:21:58"/>
    <x v="0"/>
  </r>
  <r>
    <s v="7"/>
    <s v="card"/>
    <n v="35.76"/>
    <x v="0"/>
    <x v="0"/>
    <x v="5"/>
    <x v="9"/>
    <s v="3"/>
    <s v="12"/>
    <s v="2024-12-11"/>
    <d v="1899-12-30T07:49:46"/>
    <x v="0"/>
  </r>
  <r>
    <s v="10"/>
    <s v="card"/>
    <n v="25.96"/>
    <x v="5"/>
    <x v="0"/>
    <x v="5"/>
    <x v="9"/>
    <s v="3"/>
    <s v="12"/>
    <s v="2024-12-11"/>
    <d v="1899-12-30T10:45:48"/>
    <x v="0"/>
  </r>
  <r>
    <s v="12"/>
    <s v="card"/>
    <n v="35.76"/>
    <x v="1"/>
    <x v="1"/>
    <x v="5"/>
    <x v="9"/>
    <s v="3"/>
    <s v="12"/>
    <s v="2024-12-11"/>
    <d v="1899-12-30T12:13:06"/>
    <x v="0"/>
  </r>
  <r>
    <s v="12"/>
    <s v="card"/>
    <n v="21.06"/>
    <x v="6"/>
    <x v="1"/>
    <x v="5"/>
    <x v="9"/>
    <s v="3"/>
    <s v="12"/>
    <s v="2024-12-11"/>
    <d v="1899-12-30T12:56:48"/>
    <x v="0"/>
  </r>
  <r>
    <s v="17"/>
    <s v="card"/>
    <n v="35.76"/>
    <x v="4"/>
    <x v="2"/>
    <x v="5"/>
    <x v="9"/>
    <s v="3"/>
    <s v="12"/>
    <s v="2024-12-11"/>
    <d v="1899-12-30T17:59:25"/>
    <x v="0"/>
  </r>
  <r>
    <s v="21"/>
    <s v="card"/>
    <n v="35.76"/>
    <x v="0"/>
    <x v="2"/>
    <x v="5"/>
    <x v="9"/>
    <s v="3"/>
    <s v="12"/>
    <s v="2024-12-11"/>
    <d v="1899-12-30T21:01:08"/>
    <x v="0"/>
  </r>
  <r>
    <s v="21"/>
    <s v="card"/>
    <n v="35.76"/>
    <x v="0"/>
    <x v="2"/>
    <x v="5"/>
    <x v="9"/>
    <s v="3"/>
    <s v="12"/>
    <s v="2024-12-11"/>
    <d v="1899-12-30T21:18:17"/>
    <x v="0"/>
  </r>
  <r>
    <s v="7"/>
    <s v="card"/>
    <n v="30.86"/>
    <x v="3"/>
    <x v="0"/>
    <x v="6"/>
    <x v="9"/>
    <s v="4"/>
    <s v="12"/>
    <s v="2024-12-12"/>
    <d v="1899-12-30T07:58:31"/>
    <x v="0"/>
  </r>
  <r>
    <s v="12"/>
    <s v="card"/>
    <n v="25.96"/>
    <x v="2"/>
    <x v="1"/>
    <x v="6"/>
    <x v="9"/>
    <s v="4"/>
    <s v="12"/>
    <s v="2024-12-12"/>
    <d v="1899-12-30T12:49:24"/>
    <x v="0"/>
  </r>
  <r>
    <s v="16"/>
    <s v="card"/>
    <n v="21.06"/>
    <x v="6"/>
    <x v="1"/>
    <x v="6"/>
    <x v="9"/>
    <s v="4"/>
    <s v="12"/>
    <s v="2024-12-12"/>
    <d v="1899-12-30T16:55:02"/>
    <x v="0"/>
  </r>
  <r>
    <s v="16"/>
    <s v="card"/>
    <n v="21.06"/>
    <x v="6"/>
    <x v="1"/>
    <x v="6"/>
    <x v="9"/>
    <s v="4"/>
    <s v="12"/>
    <s v="2024-12-12"/>
    <d v="1899-12-30T16:55:49"/>
    <x v="0"/>
  </r>
  <r>
    <s v="16"/>
    <s v="card"/>
    <n v="25.96"/>
    <x v="2"/>
    <x v="1"/>
    <x v="6"/>
    <x v="9"/>
    <s v="4"/>
    <s v="12"/>
    <s v="2024-12-12"/>
    <d v="1899-12-30T16:57:01"/>
    <x v="0"/>
  </r>
  <r>
    <s v="19"/>
    <s v="card"/>
    <n v="35.76"/>
    <x v="4"/>
    <x v="2"/>
    <x v="6"/>
    <x v="9"/>
    <s v="4"/>
    <s v="12"/>
    <s v="2024-12-12"/>
    <d v="1899-12-30T19:50:01"/>
    <x v="0"/>
  </r>
  <r>
    <s v="19"/>
    <s v="card"/>
    <n v="35.76"/>
    <x v="4"/>
    <x v="2"/>
    <x v="6"/>
    <x v="9"/>
    <s v="4"/>
    <s v="12"/>
    <s v="2024-12-12"/>
    <d v="1899-12-30T19:50:58"/>
    <x v="0"/>
  </r>
  <r>
    <s v="12"/>
    <s v="card"/>
    <n v="25.96"/>
    <x v="2"/>
    <x v="1"/>
    <x v="0"/>
    <x v="9"/>
    <s v="5"/>
    <s v="12"/>
    <s v="2024-12-13"/>
    <d v="1899-12-30T12:27:25"/>
    <x v="0"/>
  </r>
  <r>
    <s v="12"/>
    <s v="card"/>
    <n v="25.96"/>
    <x v="2"/>
    <x v="1"/>
    <x v="0"/>
    <x v="9"/>
    <s v="5"/>
    <s v="12"/>
    <s v="2024-12-13"/>
    <d v="1899-12-30T12:53:06"/>
    <x v="0"/>
  </r>
  <r>
    <s v="12"/>
    <s v="card"/>
    <n v="35.76"/>
    <x v="1"/>
    <x v="1"/>
    <x v="0"/>
    <x v="9"/>
    <s v="5"/>
    <s v="12"/>
    <s v="2024-12-13"/>
    <d v="1899-12-30T12:54:40"/>
    <x v="0"/>
  </r>
  <r>
    <s v="14"/>
    <s v="card"/>
    <n v="35.76"/>
    <x v="1"/>
    <x v="1"/>
    <x v="0"/>
    <x v="9"/>
    <s v="5"/>
    <s v="12"/>
    <s v="2024-12-13"/>
    <d v="1899-12-30T14:01:58"/>
    <x v="0"/>
  </r>
  <r>
    <s v="16"/>
    <s v="card"/>
    <n v="35.76"/>
    <x v="4"/>
    <x v="1"/>
    <x v="0"/>
    <x v="9"/>
    <s v="5"/>
    <s v="12"/>
    <s v="2024-12-13"/>
    <d v="1899-12-30T16:23:24"/>
    <x v="0"/>
  </r>
  <r>
    <s v="19"/>
    <s v="card"/>
    <n v="35.76"/>
    <x v="7"/>
    <x v="2"/>
    <x v="0"/>
    <x v="9"/>
    <s v="5"/>
    <s v="12"/>
    <s v="2024-12-13"/>
    <d v="1899-12-30T19:19:04"/>
    <x v="0"/>
  </r>
  <r>
    <s v="19"/>
    <s v="card"/>
    <n v="35.76"/>
    <x v="7"/>
    <x v="2"/>
    <x v="0"/>
    <x v="9"/>
    <s v="5"/>
    <s v="12"/>
    <s v="2024-12-13"/>
    <d v="1899-12-30T19:20:10"/>
    <x v="0"/>
  </r>
  <r>
    <s v="21"/>
    <s v="card"/>
    <n v="35.76"/>
    <x v="0"/>
    <x v="2"/>
    <x v="0"/>
    <x v="9"/>
    <s v="5"/>
    <s v="12"/>
    <s v="2024-12-13"/>
    <d v="1899-12-30T21:35:42"/>
    <x v="0"/>
  </r>
  <r>
    <s v="8"/>
    <s v="card"/>
    <n v="30.86"/>
    <x v="3"/>
    <x v="0"/>
    <x v="1"/>
    <x v="9"/>
    <s v="6"/>
    <s v="12"/>
    <s v="2024-12-14"/>
    <d v="1899-12-30T08:27:32"/>
    <x v="0"/>
  </r>
  <r>
    <s v="9"/>
    <s v="card"/>
    <n v="35.76"/>
    <x v="4"/>
    <x v="0"/>
    <x v="1"/>
    <x v="9"/>
    <s v="6"/>
    <s v="12"/>
    <s v="2024-12-14"/>
    <d v="1899-12-30T09:03:06"/>
    <x v="0"/>
  </r>
  <r>
    <s v="11"/>
    <s v="card"/>
    <n v="35.76"/>
    <x v="7"/>
    <x v="0"/>
    <x v="1"/>
    <x v="9"/>
    <s v="6"/>
    <s v="12"/>
    <s v="2024-12-14"/>
    <d v="1899-12-30T11:41:58"/>
    <x v="0"/>
  </r>
  <r>
    <s v="13"/>
    <s v="card"/>
    <n v="25.96"/>
    <x v="2"/>
    <x v="1"/>
    <x v="1"/>
    <x v="9"/>
    <s v="6"/>
    <s v="12"/>
    <s v="2024-12-14"/>
    <d v="1899-12-30T13:19:07"/>
    <x v="0"/>
  </r>
  <r>
    <s v="13"/>
    <s v="card"/>
    <n v="35.76"/>
    <x v="0"/>
    <x v="1"/>
    <x v="1"/>
    <x v="9"/>
    <s v="6"/>
    <s v="12"/>
    <s v="2024-12-14"/>
    <d v="1899-12-30T13:20:09"/>
    <x v="0"/>
  </r>
  <r>
    <s v="16"/>
    <s v="card"/>
    <n v="35.76"/>
    <x v="4"/>
    <x v="1"/>
    <x v="1"/>
    <x v="9"/>
    <s v="6"/>
    <s v="12"/>
    <s v="2024-12-14"/>
    <d v="1899-12-30T16:10:30"/>
    <x v="0"/>
  </r>
  <r>
    <s v="16"/>
    <s v="card"/>
    <n v="25.96"/>
    <x v="2"/>
    <x v="1"/>
    <x v="1"/>
    <x v="9"/>
    <s v="6"/>
    <s v="12"/>
    <s v="2024-12-14"/>
    <d v="1899-12-30T16:29:59"/>
    <x v="0"/>
  </r>
  <r>
    <s v="16"/>
    <s v="card"/>
    <n v="25.96"/>
    <x v="2"/>
    <x v="1"/>
    <x v="1"/>
    <x v="9"/>
    <s v="6"/>
    <s v="12"/>
    <s v="2024-12-14"/>
    <d v="1899-12-30T16:30:50"/>
    <x v="0"/>
  </r>
  <r>
    <s v="17"/>
    <s v="card"/>
    <n v="25.96"/>
    <x v="2"/>
    <x v="2"/>
    <x v="1"/>
    <x v="9"/>
    <s v="6"/>
    <s v="12"/>
    <s v="2024-12-14"/>
    <d v="1899-12-30T17:00:16"/>
    <x v="0"/>
  </r>
  <r>
    <s v="17"/>
    <s v="card"/>
    <n v="25.96"/>
    <x v="2"/>
    <x v="2"/>
    <x v="1"/>
    <x v="9"/>
    <s v="6"/>
    <s v="12"/>
    <s v="2024-12-14"/>
    <d v="1899-12-30T17:01:29"/>
    <x v="0"/>
  </r>
  <r>
    <s v="18"/>
    <s v="card"/>
    <n v="30.86"/>
    <x v="3"/>
    <x v="2"/>
    <x v="1"/>
    <x v="9"/>
    <s v="6"/>
    <s v="12"/>
    <s v="2024-12-14"/>
    <d v="1899-12-30T18:23:44"/>
    <x v="0"/>
  </r>
  <r>
    <s v="11"/>
    <s v="card"/>
    <n v="35.76"/>
    <x v="0"/>
    <x v="0"/>
    <x v="2"/>
    <x v="9"/>
    <s v="7"/>
    <s v="12"/>
    <s v="2024-12-15"/>
    <d v="1899-12-30T11:09:25"/>
    <x v="0"/>
  </r>
  <r>
    <s v="11"/>
    <s v="card"/>
    <n v="35.76"/>
    <x v="4"/>
    <x v="0"/>
    <x v="2"/>
    <x v="9"/>
    <s v="7"/>
    <s v="12"/>
    <s v="2024-12-15"/>
    <d v="1899-12-30T11:10:26"/>
    <x v="0"/>
  </r>
  <r>
    <s v="17"/>
    <s v="card"/>
    <n v="35.76"/>
    <x v="1"/>
    <x v="2"/>
    <x v="2"/>
    <x v="9"/>
    <s v="7"/>
    <s v="12"/>
    <s v="2024-12-15"/>
    <d v="1899-12-30T17:58:05"/>
    <x v="0"/>
  </r>
  <r>
    <s v="7"/>
    <s v="card"/>
    <n v="35.76"/>
    <x v="0"/>
    <x v="0"/>
    <x v="3"/>
    <x v="9"/>
    <s v="1"/>
    <s v="12"/>
    <s v="2024-12-16"/>
    <d v="1899-12-30T07:52:18"/>
    <x v="0"/>
  </r>
  <r>
    <s v="8"/>
    <s v="card"/>
    <n v="35.76"/>
    <x v="1"/>
    <x v="0"/>
    <x v="3"/>
    <x v="9"/>
    <s v="1"/>
    <s v="12"/>
    <s v="2024-12-16"/>
    <d v="1899-12-30T08:03:31"/>
    <x v="0"/>
  </r>
  <r>
    <s v="8"/>
    <s v="card"/>
    <n v="35.76"/>
    <x v="4"/>
    <x v="0"/>
    <x v="3"/>
    <x v="9"/>
    <s v="1"/>
    <s v="12"/>
    <s v="2024-12-16"/>
    <d v="1899-12-30T08:46:54"/>
    <x v="0"/>
  </r>
  <r>
    <s v="12"/>
    <s v="card"/>
    <n v="30.86"/>
    <x v="3"/>
    <x v="1"/>
    <x v="3"/>
    <x v="9"/>
    <s v="1"/>
    <s v="12"/>
    <s v="2024-12-16"/>
    <d v="1899-12-30T12:19:08"/>
    <x v="0"/>
  </r>
  <r>
    <s v="13"/>
    <s v="card"/>
    <n v="35.76"/>
    <x v="0"/>
    <x v="1"/>
    <x v="3"/>
    <x v="9"/>
    <s v="1"/>
    <s v="12"/>
    <s v="2024-12-16"/>
    <d v="1899-12-30T13:08:53"/>
    <x v="0"/>
  </r>
  <r>
    <s v="14"/>
    <s v="card"/>
    <n v="35.76"/>
    <x v="1"/>
    <x v="1"/>
    <x v="3"/>
    <x v="9"/>
    <s v="1"/>
    <s v="12"/>
    <s v="2024-12-16"/>
    <d v="1899-12-30T14:13:18"/>
    <x v="0"/>
  </r>
  <r>
    <s v="18"/>
    <s v="card"/>
    <n v="35.76"/>
    <x v="0"/>
    <x v="2"/>
    <x v="3"/>
    <x v="9"/>
    <s v="1"/>
    <s v="12"/>
    <s v="2024-12-16"/>
    <d v="1899-12-30T18:23:07"/>
    <x v="0"/>
  </r>
  <r>
    <s v="18"/>
    <s v="card"/>
    <n v="30.86"/>
    <x v="3"/>
    <x v="2"/>
    <x v="3"/>
    <x v="9"/>
    <s v="1"/>
    <s v="12"/>
    <s v="2024-12-16"/>
    <d v="1899-12-30T18:24:01"/>
    <x v="0"/>
  </r>
  <r>
    <s v="8"/>
    <s v="card"/>
    <n v="25.96"/>
    <x v="5"/>
    <x v="0"/>
    <x v="4"/>
    <x v="9"/>
    <s v="2"/>
    <s v="12"/>
    <s v="2024-12-17"/>
    <d v="1899-12-30T08:48:18"/>
    <x v="0"/>
  </r>
  <r>
    <s v="8"/>
    <s v="card"/>
    <n v="35.76"/>
    <x v="7"/>
    <x v="0"/>
    <x v="4"/>
    <x v="9"/>
    <s v="2"/>
    <s v="12"/>
    <s v="2024-12-17"/>
    <d v="1899-12-30T08:52:33"/>
    <x v="0"/>
  </r>
  <r>
    <s v="10"/>
    <s v="card"/>
    <n v="30.86"/>
    <x v="3"/>
    <x v="0"/>
    <x v="4"/>
    <x v="9"/>
    <s v="2"/>
    <s v="12"/>
    <s v="2024-12-17"/>
    <d v="1899-12-30T10:49:06"/>
    <x v="0"/>
  </r>
  <r>
    <s v="16"/>
    <s v="card"/>
    <n v="25.96"/>
    <x v="2"/>
    <x v="1"/>
    <x v="4"/>
    <x v="9"/>
    <s v="2"/>
    <s v="12"/>
    <s v="2024-12-17"/>
    <d v="1899-12-30T16:22:35"/>
    <x v="0"/>
  </r>
  <r>
    <s v="16"/>
    <s v="card"/>
    <n v="35.76"/>
    <x v="4"/>
    <x v="1"/>
    <x v="4"/>
    <x v="9"/>
    <s v="2"/>
    <s v="12"/>
    <s v="2024-12-17"/>
    <d v="1899-12-30T16:23:37"/>
    <x v="0"/>
  </r>
  <r>
    <s v="17"/>
    <s v="card"/>
    <n v="35.76"/>
    <x v="7"/>
    <x v="2"/>
    <x v="4"/>
    <x v="9"/>
    <s v="2"/>
    <s v="12"/>
    <s v="2024-12-17"/>
    <d v="1899-12-30T17:14:22"/>
    <x v="0"/>
  </r>
  <r>
    <s v="18"/>
    <s v="card"/>
    <n v="35.76"/>
    <x v="4"/>
    <x v="2"/>
    <x v="4"/>
    <x v="9"/>
    <s v="2"/>
    <s v="12"/>
    <s v="2024-12-17"/>
    <d v="1899-12-30T18:54:57"/>
    <x v="0"/>
  </r>
  <r>
    <s v="9"/>
    <s v="card"/>
    <n v="35.76"/>
    <x v="0"/>
    <x v="0"/>
    <x v="5"/>
    <x v="9"/>
    <s v="3"/>
    <s v="12"/>
    <s v="2024-12-18"/>
    <d v="1899-12-30T09:30:28"/>
    <x v="0"/>
  </r>
  <r>
    <s v="10"/>
    <s v="card"/>
    <n v="30.86"/>
    <x v="3"/>
    <x v="0"/>
    <x v="5"/>
    <x v="9"/>
    <s v="3"/>
    <s v="12"/>
    <s v="2024-12-18"/>
    <d v="1899-12-30T10:01:21"/>
    <x v="0"/>
  </r>
  <r>
    <s v="10"/>
    <s v="card"/>
    <n v="35.76"/>
    <x v="0"/>
    <x v="0"/>
    <x v="5"/>
    <x v="9"/>
    <s v="3"/>
    <s v="12"/>
    <s v="2024-12-18"/>
    <d v="1899-12-30T10:03:02"/>
    <x v="0"/>
  </r>
  <r>
    <s v="10"/>
    <s v="card"/>
    <n v="35.76"/>
    <x v="7"/>
    <x v="0"/>
    <x v="5"/>
    <x v="9"/>
    <s v="3"/>
    <s v="12"/>
    <s v="2024-12-18"/>
    <d v="1899-12-30T10:04:03"/>
    <x v="0"/>
  </r>
  <r>
    <s v="10"/>
    <s v="card"/>
    <n v="35.76"/>
    <x v="1"/>
    <x v="0"/>
    <x v="6"/>
    <x v="9"/>
    <s v="4"/>
    <s v="12"/>
    <s v="2024-12-19"/>
    <d v="1899-12-30T10:12:11"/>
    <x v="0"/>
  </r>
  <r>
    <s v="11"/>
    <s v="card"/>
    <n v="30.86"/>
    <x v="3"/>
    <x v="0"/>
    <x v="6"/>
    <x v="9"/>
    <s v="4"/>
    <s v="12"/>
    <s v="2024-12-19"/>
    <d v="1899-12-30T11:25:44"/>
    <x v="0"/>
  </r>
  <r>
    <s v="12"/>
    <s v="card"/>
    <n v="21.06"/>
    <x v="6"/>
    <x v="1"/>
    <x v="6"/>
    <x v="9"/>
    <s v="4"/>
    <s v="12"/>
    <s v="2024-12-19"/>
    <d v="1899-12-30T12:10:52"/>
    <x v="0"/>
  </r>
  <r>
    <s v="13"/>
    <s v="card"/>
    <n v="35.76"/>
    <x v="1"/>
    <x v="1"/>
    <x v="6"/>
    <x v="9"/>
    <s v="4"/>
    <s v="12"/>
    <s v="2024-12-19"/>
    <d v="1899-12-30T13:38:57"/>
    <x v="0"/>
  </r>
  <r>
    <s v="19"/>
    <s v="card"/>
    <n v="35.76"/>
    <x v="7"/>
    <x v="2"/>
    <x v="6"/>
    <x v="9"/>
    <s v="4"/>
    <s v="12"/>
    <s v="2024-12-19"/>
    <d v="1899-12-30T19:00:56"/>
    <x v="0"/>
  </r>
  <r>
    <s v="19"/>
    <s v="card"/>
    <n v="35.76"/>
    <x v="7"/>
    <x v="2"/>
    <x v="6"/>
    <x v="9"/>
    <s v="4"/>
    <s v="12"/>
    <s v="2024-12-19"/>
    <d v="1899-12-30T19:10:41"/>
    <x v="0"/>
  </r>
  <r>
    <s v="19"/>
    <s v="card"/>
    <n v="30.86"/>
    <x v="3"/>
    <x v="2"/>
    <x v="6"/>
    <x v="9"/>
    <s v="4"/>
    <s v="12"/>
    <s v="2024-12-19"/>
    <d v="1899-12-30T19:48:18"/>
    <x v="0"/>
  </r>
  <r>
    <s v="19"/>
    <s v="card"/>
    <n v="35.76"/>
    <x v="1"/>
    <x v="2"/>
    <x v="6"/>
    <x v="9"/>
    <s v="4"/>
    <s v="12"/>
    <s v="2024-12-19"/>
    <d v="1899-12-30T19:49:43"/>
    <x v="0"/>
  </r>
  <r>
    <s v="21"/>
    <s v="card"/>
    <n v="35.76"/>
    <x v="0"/>
    <x v="2"/>
    <x v="6"/>
    <x v="9"/>
    <s v="4"/>
    <s v="12"/>
    <s v="2024-12-19"/>
    <d v="1899-12-30T21:08:12"/>
    <x v="0"/>
  </r>
  <r>
    <s v="21"/>
    <s v="card"/>
    <n v="35.76"/>
    <x v="7"/>
    <x v="2"/>
    <x v="6"/>
    <x v="9"/>
    <s v="4"/>
    <s v="12"/>
    <s v="2024-12-19"/>
    <d v="1899-12-30T21:09:16"/>
    <x v="0"/>
  </r>
  <r>
    <s v="8"/>
    <s v="card"/>
    <n v="25.96"/>
    <x v="5"/>
    <x v="0"/>
    <x v="0"/>
    <x v="9"/>
    <s v="5"/>
    <s v="12"/>
    <s v="2024-12-20"/>
    <d v="1899-12-30T08:14:52"/>
    <x v="0"/>
  </r>
  <r>
    <s v="9"/>
    <s v="card"/>
    <n v="30.86"/>
    <x v="3"/>
    <x v="0"/>
    <x v="0"/>
    <x v="9"/>
    <s v="5"/>
    <s v="12"/>
    <s v="2024-12-20"/>
    <d v="1899-12-30T09:39:30"/>
    <x v="0"/>
  </r>
  <r>
    <s v="10"/>
    <s v="card"/>
    <n v="35.76"/>
    <x v="7"/>
    <x v="0"/>
    <x v="0"/>
    <x v="9"/>
    <s v="5"/>
    <s v="12"/>
    <s v="2024-12-20"/>
    <d v="1899-12-30T10:12:43"/>
    <x v="0"/>
  </r>
  <r>
    <s v="10"/>
    <s v="card"/>
    <n v="25.96"/>
    <x v="5"/>
    <x v="0"/>
    <x v="0"/>
    <x v="9"/>
    <s v="5"/>
    <s v="12"/>
    <s v="2024-12-20"/>
    <d v="1899-12-30T10:55:29"/>
    <x v="0"/>
  </r>
  <r>
    <s v="12"/>
    <s v="card"/>
    <n v="21.06"/>
    <x v="6"/>
    <x v="1"/>
    <x v="0"/>
    <x v="9"/>
    <s v="5"/>
    <s v="12"/>
    <s v="2024-12-20"/>
    <d v="1899-12-30T12:21:17"/>
    <x v="0"/>
  </r>
  <r>
    <s v="12"/>
    <s v="card"/>
    <n v="30.86"/>
    <x v="3"/>
    <x v="1"/>
    <x v="0"/>
    <x v="9"/>
    <s v="5"/>
    <s v="12"/>
    <s v="2024-12-20"/>
    <d v="1899-12-30T12:22:49"/>
    <x v="0"/>
  </r>
  <r>
    <s v="14"/>
    <s v="card"/>
    <n v="25.96"/>
    <x v="5"/>
    <x v="1"/>
    <x v="0"/>
    <x v="9"/>
    <s v="5"/>
    <s v="12"/>
    <s v="2024-12-20"/>
    <d v="1899-12-30T14:58:20"/>
    <x v="0"/>
  </r>
  <r>
    <s v="18"/>
    <s v="card"/>
    <n v="35.76"/>
    <x v="7"/>
    <x v="2"/>
    <x v="0"/>
    <x v="9"/>
    <s v="5"/>
    <s v="12"/>
    <s v="2024-12-20"/>
    <d v="1899-12-30T18:28:22"/>
    <x v="0"/>
  </r>
  <r>
    <s v="18"/>
    <s v="card"/>
    <n v="35.76"/>
    <x v="7"/>
    <x v="2"/>
    <x v="0"/>
    <x v="9"/>
    <s v="5"/>
    <s v="12"/>
    <s v="2024-12-20"/>
    <d v="1899-12-30T18:57:13"/>
    <x v="0"/>
  </r>
  <r>
    <s v="10"/>
    <s v="card"/>
    <n v="35.76"/>
    <x v="7"/>
    <x v="0"/>
    <x v="1"/>
    <x v="9"/>
    <s v="6"/>
    <s v="12"/>
    <s v="2024-12-21"/>
    <d v="1899-12-30T10:19:24"/>
    <x v="0"/>
  </r>
  <r>
    <s v="10"/>
    <s v="card"/>
    <n v="35.76"/>
    <x v="0"/>
    <x v="0"/>
    <x v="1"/>
    <x v="9"/>
    <s v="6"/>
    <s v="12"/>
    <s v="2024-12-21"/>
    <d v="1899-12-30T10:20:41"/>
    <x v="0"/>
  </r>
  <r>
    <s v="10"/>
    <s v="card"/>
    <n v="25.96"/>
    <x v="2"/>
    <x v="0"/>
    <x v="1"/>
    <x v="9"/>
    <s v="6"/>
    <s v="12"/>
    <s v="2024-12-21"/>
    <d v="1899-12-30T10:32:03"/>
    <x v="0"/>
  </r>
  <r>
    <s v="15"/>
    <s v="card"/>
    <n v="35.76"/>
    <x v="1"/>
    <x v="1"/>
    <x v="1"/>
    <x v="9"/>
    <s v="6"/>
    <s v="12"/>
    <s v="2024-12-21"/>
    <d v="1899-12-30T15:33:04"/>
    <x v="0"/>
  </r>
  <r>
    <s v="15"/>
    <s v="card"/>
    <n v="35.76"/>
    <x v="0"/>
    <x v="1"/>
    <x v="1"/>
    <x v="9"/>
    <s v="6"/>
    <s v="12"/>
    <s v="2024-12-21"/>
    <d v="1899-12-30T15:33:50"/>
    <x v="0"/>
  </r>
  <r>
    <s v="15"/>
    <s v="card"/>
    <n v="30.86"/>
    <x v="3"/>
    <x v="1"/>
    <x v="1"/>
    <x v="9"/>
    <s v="6"/>
    <s v="12"/>
    <s v="2024-12-21"/>
    <d v="1899-12-30T15:35:29"/>
    <x v="0"/>
  </r>
  <r>
    <s v="15"/>
    <s v="card"/>
    <n v="35.76"/>
    <x v="0"/>
    <x v="1"/>
    <x v="1"/>
    <x v="9"/>
    <s v="6"/>
    <s v="12"/>
    <s v="2024-12-21"/>
    <d v="1899-12-30T15:58:07"/>
    <x v="0"/>
  </r>
  <r>
    <s v="17"/>
    <s v="card"/>
    <n v="35.76"/>
    <x v="4"/>
    <x v="2"/>
    <x v="1"/>
    <x v="9"/>
    <s v="6"/>
    <s v="12"/>
    <s v="2024-12-21"/>
    <d v="1899-12-30T17:47:28"/>
    <x v="0"/>
  </r>
  <r>
    <s v="18"/>
    <s v="card"/>
    <n v="35.76"/>
    <x v="1"/>
    <x v="2"/>
    <x v="1"/>
    <x v="9"/>
    <s v="6"/>
    <s v="12"/>
    <s v="2024-12-21"/>
    <d v="1899-12-30T18:02:37"/>
    <x v="0"/>
  </r>
  <r>
    <s v="18"/>
    <s v="card"/>
    <n v="25.96"/>
    <x v="5"/>
    <x v="2"/>
    <x v="1"/>
    <x v="9"/>
    <s v="6"/>
    <s v="12"/>
    <s v="2024-12-21"/>
    <d v="1899-12-30T18:08:17"/>
    <x v="0"/>
  </r>
  <r>
    <s v="19"/>
    <s v="card"/>
    <n v="30.86"/>
    <x v="3"/>
    <x v="2"/>
    <x v="1"/>
    <x v="9"/>
    <s v="6"/>
    <s v="12"/>
    <s v="2024-12-21"/>
    <d v="1899-12-30T19:48:13"/>
    <x v="0"/>
  </r>
  <r>
    <s v="19"/>
    <s v="card"/>
    <n v="25.96"/>
    <x v="5"/>
    <x v="2"/>
    <x v="1"/>
    <x v="9"/>
    <s v="6"/>
    <s v="12"/>
    <s v="2024-12-21"/>
    <d v="1899-12-30T19:49:46"/>
    <x v="0"/>
  </r>
  <r>
    <s v="21"/>
    <s v="card"/>
    <n v="25.96"/>
    <x v="5"/>
    <x v="2"/>
    <x v="1"/>
    <x v="9"/>
    <s v="6"/>
    <s v="12"/>
    <s v="2024-12-21"/>
    <d v="1899-12-30T21:49:47"/>
    <x v="0"/>
  </r>
  <r>
    <s v="21"/>
    <s v="card"/>
    <n v="35.76"/>
    <x v="0"/>
    <x v="2"/>
    <x v="1"/>
    <x v="9"/>
    <s v="6"/>
    <s v="12"/>
    <s v="2024-12-21"/>
    <d v="1899-12-30T21:58:49"/>
    <x v="0"/>
  </r>
  <r>
    <s v="22"/>
    <s v="card"/>
    <n v="25.96"/>
    <x v="5"/>
    <x v="2"/>
    <x v="1"/>
    <x v="9"/>
    <s v="6"/>
    <s v="12"/>
    <s v="2024-12-21"/>
    <d v="1899-12-30T22:16:14"/>
    <x v="0"/>
  </r>
  <r>
    <s v="10"/>
    <s v="card"/>
    <n v="35.76"/>
    <x v="7"/>
    <x v="0"/>
    <x v="2"/>
    <x v="9"/>
    <s v="7"/>
    <s v="12"/>
    <s v="2024-12-22"/>
    <d v="1899-12-30T10:42:56"/>
    <x v="0"/>
  </r>
  <r>
    <s v="18"/>
    <s v="card"/>
    <n v="35.76"/>
    <x v="7"/>
    <x v="2"/>
    <x v="2"/>
    <x v="9"/>
    <s v="7"/>
    <s v="12"/>
    <s v="2024-12-22"/>
    <d v="1899-12-30T18:55:45"/>
    <x v="0"/>
  </r>
  <r>
    <s v="19"/>
    <s v="card"/>
    <n v="35.76"/>
    <x v="1"/>
    <x v="2"/>
    <x v="2"/>
    <x v="9"/>
    <s v="7"/>
    <s v="12"/>
    <s v="2024-12-22"/>
    <d v="1899-12-30T19:35:46"/>
    <x v="0"/>
  </r>
  <r>
    <s v="19"/>
    <s v="card"/>
    <n v="35.76"/>
    <x v="1"/>
    <x v="2"/>
    <x v="2"/>
    <x v="9"/>
    <s v="7"/>
    <s v="12"/>
    <s v="2024-12-22"/>
    <d v="1899-12-30T19:36:30"/>
    <x v="0"/>
  </r>
  <r>
    <s v="20"/>
    <s v="card"/>
    <n v="35.76"/>
    <x v="1"/>
    <x v="2"/>
    <x v="2"/>
    <x v="9"/>
    <s v="7"/>
    <s v="12"/>
    <s v="2024-12-22"/>
    <d v="1899-12-30T20:26:37"/>
    <x v="0"/>
  </r>
  <r>
    <s v="21"/>
    <s v="card"/>
    <n v="35.76"/>
    <x v="4"/>
    <x v="2"/>
    <x v="2"/>
    <x v="9"/>
    <s v="7"/>
    <s v="12"/>
    <s v="2024-12-22"/>
    <d v="1899-12-30T21:55:19"/>
    <x v="0"/>
  </r>
  <r>
    <s v="21"/>
    <s v="card"/>
    <n v="25.96"/>
    <x v="5"/>
    <x v="2"/>
    <x v="2"/>
    <x v="9"/>
    <s v="7"/>
    <s v="12"/>
    <s v="2024-12-22"/>
    <d v="1899-12-30T21:56:56"/>
    <x v="0"/>
  </r>
  <r>
    <s v="9"/>
    <s v="card"/>
    <n v="25.96"/>
    <x v="5"/>
    <x v="0"/>
    <x v="3"/>
    <x v="9"/>
    <s v="1"/>
    <s v="12"/>
    <s v="2024-12-23"/>
    <d v="1899-12-30T09:03:21"/>
    <x v="0"/>
  </r>
  <r>
    <s v="9"/>
    <s v="card"/>
    <n v="30.86"/>
    <x v="3"/>
    <x v="0"/>
    <x v="3"/>
    <x v="9"/>
    <s v="1"/>
    <s v="12"/>
    <s v="2024-12-23"/>
    <d v="1899-12-30T09:22:18"/>
    <x v="0"/>
  </r>
  <r>
    <s v="10"/>
    <s v="card"/>
    <n v="30.86"/>
    <x v="3"/>
    <x v="0"/>
    <x v="3"/>
    <x v="9"/>
    <s v="1"/>
    <s v="12"/>
    <s v="2024-12-23"/>
    <d v="1899-12-30T10:42:03"/>
    <x v="0"/>
  </r>
  <r>
    <s v="11"/>
    <s v="card"/>
    <n v="35.76"/>
    <x v="7"/>
    <x v="0"/>
    <x v="3"/>
    <x v="9"/>
    <s v="1"/>
    <s v="12"/>
    <s v="2024-12-23"/>
    <d v="1899-12-30T11:35:54"/>
    <x v="0"/>
  </r>
  <r>
    <s v="14"/>
    <s v="card"/>
    <n v="35.76"/>
    <x v="0"/>
    <x v="1"/>
    <x v="3"/>
    <x v="9"/>
    <s v="1"/>
    <s v="12"/>
    <s v="2024-12-23"/>
    <d v="1899-12-30T14:05:32"/>
    <x v="0"/>
  </r>
  <r>
    <s v="15"/>
    <s v="card"/>
    <n v="30.86"/>
    <x v="3"/>
    <x v="1"/>
    <x v="3"/>
    <x v="9"/>
    <s v="1"/>
    <s v="12"/>
    <s v="2024-12-23"/>
    <d v="1899-12-30T15:00:24"/>
    <x v="0"/>
  </r>
  <r>
    <s v="16"/>
    <s v="card"/>
    <n v="35.76"/>
    <x v="0"/>
    <x v="1"/>
    <x v="3"/>
    <x v="9"/>
    <s v="1"/>
    <s v="12"/>
    <s v="2024-12-23"/>
    <d v="1899-12-30T16:14:50"/>
    <x v="0"/>
  </r>
  <r>
    <s v="17"/>
    <s v="card"/>
    <n v="25.96"/>
    <x v="5"/>
    <x v="2"/>
    <x v="3"/>
    <x v="9"/>
    <s v="1"/>
    <s v="12"/>
    <s v="2024-12-23"/>
    <d v="1899-12-30T17:21:20"/>
    <x v="0"/>
  </r>
  <r>
    <s v="17"/>
    <s v="card"/>
    <n v="35.76"/>
    <x v="0"/>
    <x v="2"/>
    <x v="3"/>
    <x v="9"/>
    <s v="1"/>
    <s v="12"/>
    <s v="2024-12-23"/>
    <d v="1899-12-30T17:22:40"/>
    <x v="0"/>
  </r>
  <r>
    <s v="20"/>
    <s v="card"/>
    <n v="25.96"/>
    <x v="5"/>
    <x v="2"/>
    <x v="3"/>
    <x v="9"/>
    <s v="1"/>
    <s v="12"/>
    <s v="2024-12-23"/>
    <d v="1899-12-30T20:46:07"/>
    <x v="0"/>
  </r>
  <r>
    <s v="15"/>
    <s v="card"/>
    <n v="30.86"/>
    <x v="3"/>
    <x v="1"/>
    <x v="4"/>
    <x v="9"/>
    <s v="2"/>
    <s v="12"/>
    <s v="2024-12-24"/>
    <d v="1899-12-30T15:10:43"/>
    <x v="0"/>
  </r>
  <r>
    <s v="16"/>
    <s v="card"/>
    <n v="35.76"/>
    <x v="1"/>
    <x v="1"/>
    <x v="4"/>
    <x v="9"/>
    <s v="2"/>
    <s v="12"/>
    <s v="2024-12-24"/>
    <d v="1899-12-30T16:08:38"/>
    <x v="0"/>
  </r>
  <r>
    <s v="17"/>
    <s v="card"/>
    <n v="25.96"/>
    <x v="5"/>
    <x v="2"/>
    <x v="4"/>
    <x v="9"/>
    <s v="2"/>
    <s v="12"/>
    <s v="2024-12-24"/>
    <d v="1899-12-30T17:55:29"/>
    <x v="0"/>
  </r>
  <r>
    <s v="19"/>
    <s v="card"/>
    <n v="35.76"/>
    <x v="1"/>
    <x v="2"/>
    <x v="4"/>
    <x v="9"/>
    <s v="2"/>
    <s v="12"/>
    <s v="2024-12-24"/>
    <d v="1899-12-30T19:10:36"/>
    <x v="0"/>
  </r>
  <r>
    <s v="19"/>
    <s v="card"/>
    <n v="35.76"/>
    <x v="0"/>
    <x v="2"/>
    <x v="4"/>
    <x v="9"/>
    <s v="2"/>
    <s v="12"/>
    <s v="2024-12-24"/>
    <d v="1899-12-30T19:11:37"/>
    <x v="0"/>
  </r>
  <r>
    <s v="19"/>
    <s v="card"/>
    <n v="21.06"/>
    <x v="6"/>
    <x v="2"/>
    <x v="4"/>
    <x v="9"/>
    <s v="2"/>
    <s v="12"/>
    <s v="2024-12-24"/>
    <d v="1899-12-30T19:12:35"/>
    <x v="0"/>
  </r>
  <r>
    <s v="19"/>
    <s v="card"/>
    <n v="35.76"/>
    <x v="7"/>
    <x v="2"/>
    <x v="4"/>
    <x v="9"/>
    <s v="2"/>
    <s v="12"/>
    <s v="2024-12-24"/>
    <d v="1899-12-30T19:36:02"/>
    <x v="0"/>
  </r>
  <r>
    <s v="10"/>
    <s v="card"/>
    <n v="35.76"/>
    <x v="0"/>
    <x v="0"/>
    <x v="5"/>
    <x v="9"/>
    <s v="3"/>
    <s v="12"/>
    <s v="2024-12-25"/>
    <d v="1899-12-30T10:43:57"/>
    <x v="0"/>
  </r>
  <r>
    <s v="10"/>
    <s v="card"/>
    <n v="35.76"/>
    <x v="0"/>
    <x v="0"/>
    <x v="5"/>
    <x v="9"/>
    <s v="3"/>
    <s v="12"/>
    <s v="2024-12-25"/>
    <d v="1899-12-30T10:45:02"/>
    <x v="0"/>
  </r>
  <r>
    <s v="12"/>
    <s v="card"/>
    <n v="30.86"/>
    <x v="3"/>
    <x v="1"/>
    <x v="5"/>
    <x v="9"/>
    <s v="3"/>
    <s v="12"/>
    <s v="2024-12-25"/>
    <d v="1899-12-30T12:35:03"/>
    <x v="0"/>
  </r>
  <r>
    <s v="12"/>
    <s v="card"/>
    <n v="25.96"/>
    <x v="2"/>
    <x v="1"/>
    <x v="5"/>
    <x v="9"/>
    <s v="3"/>
    <s v="12"/>
    <s v="2024-12-25"/>
    <d v="1899-12-30T12:36:00"/>
    <x v="0"/>
  </r>
  <r>
    <s v="13"/>
    <s v="card"/>
    <n v="30.86"/>
    <x v="3"/>
    <x v="1"/>
    <x v="5"/>
    <x v="9"/>
    <s v="3"/>
    <s v="12"/>
    <s v="2024-12-25"/>
    <d v="1899-12-30T13:17:11"/>
    <x v="0"/>
  </r>
  <r>
    <s v="13"/>
    <s v="card"/>
    <n v="25.96"/>
    <x v="2"/>
    <x v="1"/>
    <x v="5"/>
    <x v="9"/>
    <s v="3"/>
    <s v="12"/>
    <s v="2024-12-25"/>
    <d v="1899-12-30T13:32:48"/>
    <x v="0"/>
  </r>
  <r>
    <s v="20"/>
    <s v="card"/>
    <n v="35.76"/>
    <x v="7"/>
    <x v="2"/>
    <x v="5"/>
    <x v="9"/>
    <s v="3"/>
    <s v="12"/>
    <s v="2024-12-25"/>
    <d v="1899-12-30T20:02:40"/>
    <x v="0"/>
  </r>
  <r>
    <s v="21"/>
    <s v="card"/>
    <n v="35.76"/>
    <x v="4"/>
    <x v="2"/>
    <x v="5"/>
    <x v="9"/>
    <s v="3"/>
    <s v="12"/>
    <s v="2024-12-25"/>
    <d v="1899-12-30T21:18:50"/>
    <x v="0"/>
  </r>
  <r>
    <s v="21"/>
    <s v="card"/>
    <n v="35.76"/>
    <x v="4"/>
    <x v="2"/>
    <x v="5"/>
    <x v="9"/>
    <s v="3"/>
    <s v="12"/>
    <s v="2024-12-25"/>
    <d v="1899-12-30T21:19:42"/>
    <x v="0"/>
  </r>
  <r>
    <s v="21"/>
    <s v="card"/>
    <n v="35.76"/>
    <x v="0"/>
    <x v="2"/>
    <x v="5"/>
    <x v="9"/>
    <s v="3"/>
    <s v="12"/>
    <s v="2024-12-25"/>
    <d v="1899-12-30T21:57:30"/>
    <x v="0"/>
  </r>
  <r>
    <s v="22"/>
    <s v="card"/>
    <n v="35.76"/>
    <x v="7"/>
    <x v="2"/>
    <x v="5"/>
    <x v="9"/>
    <s v="3"/>
    <s v="12"/>
    <s v="2024-12-25"/>
    <d v="1899-12-30T22:51:03"/>
    <x v="0"/>
  </r>
  <r>
    <s v="22"/>
    <s v="card"/>
    <n v="30.86"/>
    <x v="3"/>
    <x v="2"/>
    <x v="5"/>
    <x v="9"/>
    <s v="3"/>
    <s v="12"/>
    <s v="2024-12-25"/>
    <d v="1899-12-30T22:53:06"/>
    <x v="0"/>
  </r>
  <r>
    <s v="13"/>
    <s v="card"/>
    <n v="35.76"/>
    <x v="7"/>
    <x v="1"/>
    <x v="6"/>
    <x v="9"/>
    <s v="4"/>
    <s v="12"/>
    <s v="2024-12-26"/>
    <d v="1899-12-30T13:12:38"/>
    <x v="0"/>
  </r>
  <r>
    <s v="15"/>
    <s v="card"/>
    <n v="21.06"/>
    <x v="6"/>
    <x v="1"/>
    <x v="6"/>
    <x v="9"/>
    <s v="4"/>
    <s v="12"/>
    <s v="2024-12-26"/>
    <d v="1899-12-30T15:04:34"/>
    <x v="0"/>
  </r>
  <r>
    <s v="7"/>
    <s v="card"/>
    <n v="25.96"/>
    <x v="2"/>
    <x v="0"/>
    <x v="0"/>
    <x v="9"/>
    <s v="5"/>
    <s v="12"/>
    <s v="2024-12-27"/>
    <d v="1899-12-30T07:50:21"/>
    <x v="0"/>
  </r>
  <r>
    <s v="8"/>
    <s v="card"/>
    <n v="25.96"/>
    <x v="5"/>
    <x v="0"/>
    <x v="0"/>
    <x v="9"/>
    <s v="5"/>
    <s v="12"/>
    <s v="2024-12-27"/>
    <d v="1899-12-30T08:57:39"/>
    <x v="0"/>
  </r>
  <r>
    <s v="9"/>
    <s v="card"/>
    <n v="25.96"/>
    <x v="5"/>
    <x v="0"/>
    <x v="0"/>
    <x v="9"/>
    <s v="5"/>
    <s v="12"/>
    <s v="2024-12-27"/>
    <d v="1899-12-30T09:09:55"/>
    <x v="0"/>
  </r>
  <r>
    <s v="10"/>
    <s v="card"/>
    <n v="30.86"/>
    <x v="3"/>
    <x v="0"/>
    <x v="0"/>
    <x v="9"/>
    <s v="5"/>
    <s v="12"/>
    <s v="2024-12-27"/>
    <d v="1899-12-30T10:12:53"/>
    <x v="0"/>
  </r>
  <r>
    <s v="17"/>
    <s v="card"/>
    <n v="35.76"/>
    <x v="0"/>
    <x v="2"/>
    <x v="0"/>
    <x v="9"/>
    <s v="5"/>
    <s v="12"/>
    <s v="2024-12-27"/>
    <d v="1899-12-30T17:12:05"/>
    <x v="0"/>
  </r>
  <r>
    <s v="19"/>
    <s v="card"/>
    <n v="25.96"/>
    <x v="2"/>
    <x v="2"/>
    <x v="0"/>
    <x v="9"/>
    <s v="5"/>
    <s v="12"/>
    <s v="2024-12-27"/>
    <d v="1899-12-30T19:47:28"/>
    <x v="0"/>
  </r>
  <r>
    <s v="19"/>
    <s v="card"/>
    <n v="30.86"/>
    <x v="3"/>
    <x v="2"/>
    <x v="0"/>
    <x v="9"/>
    <s v="5"/>
    <s v="12"/>
    <s v="2024-12-27"/>
    <d v="1899-12-30T19:48:22"/>
    <x v="0"/>
  </r>
  <r>
    <s v="22"/>
    <s v="card"/>
    <n v="35.76"/>
    <x v="4"/>
    <x v="2"/>
    <x v="0"/>
    <x v="9"/>
    <s v="5"/>
    <s v="12"/>
    <s v="2024-12-27"/>
    <d v="1899-12-30T22:54:33"/>
    <x v="0"/>
  </r>
  <r>
    <s v="9"/>
    <s v="card"/>
    <n v="25.96"/>
    <x v="5"/>
    <x v="0"/>
    <x v="1"/>
    <x v="9"/>
    <s v="6"/>
    <s v="12"/>
    <s v="2024-12-28"/>
    <d v="1899-12-30T09:00:23"/>
    <x v="0"/>
  </r>
  <r>
    <s v="9"/>
    <s v="card"/>
    <n v="25.96"/>
    <x v="5"/>
    <x v="0"/>
    <x v="1"/>
    <x v="9"/>
    <s v="6"/>
    <s v="12"/>
    <s v="2024-12-28"/>
    <d v="1899-12-30T09:50:38"/>
    <x v="0"/>
  </r>
  <r>
    <s v="10"/>
    <s v="card"/>
    <n v="30.86"/>
    <x v="3"/>
    <x v="0"/>
    <x v="1"/>
    <x v="9"/>
    <s v="6"/>
    <s v="12"/>
    <s v="2024-12-28"/>
    <d v="1899-12-30T10:18:44"/>
    <x v="0"/>
  </r>
  <r>
    <s v="10"/>
    <s v="card"/>
    <n v="35.76"/>
    <x v="0"/>
    <x v="0"/>
    <x v="1"/>
    <x v="9"/>
    <s v="6"/>
    <s v="12"/>
    <s v="2024-12-28"/>
    <d v="1899-12-30T10:52:03"/>
    <x v="0"/>
  </r>
  <r>
    <s v="14"/>
    <s v="card"/>
    <n v="35.76"/>
    <x v="7"/>
    <x v="1"/>
    <x v="1"/>
    <x v="9"/>
    <s v="6"/>
    <s v="12"/>
    <s v="2024-12-28"/>
    <d v="1899-12-30T14:10:01"/>
    <x v="0"/>
  </r>
  <r>
    <s v="14"/>
    <s v="card"/>
    <n v="35.76"/>
    <x v="1"/>
    <x v="1"/>
    <x v="1"/>
    <x v="9"/>
    <s v="6"/>
    <s v="12"/>
    <s v="2024-12-28"/>
    <d v="1899-12-30T14:13:17"/>
    <x v="0"/>
  </r>
  <r>
    <s v="17"/>
    <s v="card"/>
    <n v="35.76"/>
    <x v="0"/>
    <x v="2"/>
    <x v="1"/>
    <x v="9"/>
    <s v="6"/>
    <s v="12"/>
    <s v="2024-12-28"/>
    <d v="1899-12-30T17:23:40"/>
    <x v="0"/>
  </r>
  <r>
    <s v="22"/>
    <s v="card"/>
    <n v="35.76"/>
    <x v="7"/>
    <x v="2"/>
    <x v="1"/>
    <x v="9"/>
    <s v="6"/>
    <s v="12"/>
    <s v="2024-12-28"/>
    <d v="1899-12-30T22:11:02"/>
    <x v="0"/>
  </r>
  <r>
    <s v="13"/>
    <s v="card"/>
    <n v="25.96"/>
    <x v="5"/>
    <x v="1"/>
    <x v="2"/>
    <x v="9"/>
    <s v="7"/>
    <s v="12"/>
    <s v="2024-12-29"/>
    <d v="1899-12-30T13:46:16"/>
    <x v="0"/>
  </r>
  <r>
    <s v="15"/>
    <s v="card"/>
    <n v="21.06"/>
    <x v="6"/>
    <x v="1"/>
    <x v="2"/>
    <x v="9"/>
    <s v="7"/>
    <s v="12"/>
    <s v="2024-12-29"/>
    <d v="1899-12-30T15:04:27"/>
    <x v="0"/>
  </r>
  <r>
    <s v="15"/>
    <s v="card"/>
    <n v="25.96"/>
    <x v="2"/>
    <x v="1"/>
    <x v="2"/>
    <x v="9"/>
    <s v="7"/>
    <s v="12"/>
    <s v="2024-12-29"/>
    <d v="1899-12-30T15:05:16"/>
    <x v="0"/>
  </r>
  <r>
    <s v="17"/>
    <s v="card"/>
    <n v="25.96"/>
    <x v="5"/>
    <x v="2"/>
    <x v="2"/>
    <x v="9"/>
    <s v="7"/>
    <s v="12"/>
    <s v="2024-12-29"/>
    <d v="1899-12-30T17:30:05"/>
    <x v="0"/>
  </r>
  <r>
    <s v="17"/>
    <s v="card"/>
    <n v="21.06"/>
    <x v="6"/>
    <x v="2"/>
    <x v="2"/>
    <x v="9"/>
    <s v="7"/>
    <s v="12"/>
    <s v="2024-12-29"/>
    <d v="1899-12-30T17:31:47"/>
    <x v="0"/>
  </r>
  <r>
    <s v="19"/>
    <s v="card"/>
    <n v="25.96"/>
    <x v="5"/>
    <x v="2"/>
    <x v="2"/>
    <x v="9"/>
    <s v="7"/>
    <s v="12"/>
    <s v="2024-12-29"/>
    <d v="1899-12-30T19:47:44"/>
    <x v="0"/>
  </r>
  <r>
    <s v="20"/>
    <s v="card"/>
    <n v="35.76"/>
    <x v="1"/>
    <x v="2"/>
    <x v="2"/>
    <x v="9"/>
    <s v="7"/>
    <s v="12"/>
    <s v="2024-12-29"/>
    <d v="1899-12-30T20:25:54"/>
    <x v="0"/>
  </r>
  <r>
    <s v="21"/>
    <s v="card"/>
    <n v="35.76"/>
    <x v="0"/>
    <x v="2"/>
    <x v="2"/>
    <x v="9"/>
    <s v="7"/>
    <s v="12"/>
    <s v="2024-12-29"/>
    <d v="1899-12-30T21:17:19"/>
    <x v="0"/>
  </r>
  <r>
    <s v="9"/>
    <s v="card"/>
    <n v="25.96"/>
    <x v="5"/>
    <x v="0"/>
    <x v="3"/>
    <x v="9"/>
    <s v="1"/>
    <s v="12"/>
    <s v="2024-12-30"/>
    <d v="1899-12-30T09:02:44"/>
    <x v="0"/>
  </r>
  <r>
    <s v="9"/>
    <s v="card"/>
    <n v="30.86"/>
    <x v="3"/>
    <x v="0"/>
    <x v="3"/>
    <x v="9"/>
    <s v="1"/>
    <s v="12"/>
    <s v="2024-12-30"/>
    <d v="1899-12-30T09:44:12"/>
    <x v="0"/>
  </r>
  <r>
    <s v="13"/>
    <s v="card"/>
    <n v="35.76"/>
    <x v="0"/>
    <x v="1"/>
    <x v="3"/>
    <x v="9"/>
    <s v="1"/>
    <s v="12"/>
    <s v="2024-12-30"/>
    <d v="1899-12-30T13:52:31"/>
    <x v="0"/>
  </r>
  <r>
    <s v="13"/>
    <s v="card"/>
    <n v="35.76"/>
    <x v="1"/>
    <x v="1"/>
    <x v="3"/>
    <x v="9"/>
    <s v="1"/>
    <s v="12"/>
    <s v="2024-12-30"/>
    <d v="1899-12-30T13:53:39"/>
    <x v="0"/>
  </r>
  <r>
    <s v="15"/>
    <s v="card"/>
    <n v="35.76"/>
    <x v="0"/>
    <x v="1"/>
    <x v="3"/>
    <x v="9"/>
    <s v="1"/>
    <s v="12"/>
    <s v="2024-12-30"/>
    <d v="1899-12-30T15:12:45"/>
    <x v="0"/>
  </r>
  <r>
    <s v="15"/>
    <s v="card"/>
    <n v="30.86"/>
    <x v="3"/>
    <x v="1"/>
    <x v="3"/>
    <x v="9"/>
    <s v="1"/>
    <s v="12"/>
    <s v="2024-12-30"/>
    <d v="1899-12-30T15:13:39"/>
    <x v="0"/>
  </r>
  <r>
    <s v="16"/>
    <s v="card"/>
    <n v="30.86"/>
    <x v="3"/>
    <x v="1"/>
    <x v="3"/>
    <x v="9"/>
    <s v="1"/>
    <s v="12"/>
    <s v="2024-12-30"/>
    <d v="1899-12-30T16:29:54"/>
    <x v="0"/>
  </r>
  <r>
    <s v="16"/>
    <s v="card"/>
    <n v="25.96"/>
    <x v="2"/>
    <x v="1"/>
    <x v="3"/>
    <x v="9"/>
    <s v="1"/>
    <s v="12"/>
    <s v="2024-12-30"/>
    <d v="1899-12-30T16:31:29"/>
    <x v="0"/>
  </r>
  <r>
    <s v="16"/>
    <s v="card"/>
    <n v="35.76"/>
    <x v="7"/>
    <x v="1"/>
    <x v="3"/>
    <x v="9"/>
    <s v="1"/>
    <s v="12"/>
    <s v="2024-12-30"/>
    <d v="1899-12-30T16:36:46"/>
    <x v="0"/>
  </r>
  <r>
    <s v="8"/>
    <s v="card"/>
    <n v="25.96"/>
    <x v="5"/>
    <x v="0"/>
    <x v="4"/>
    <x v="9"/>
    <s v="2"/>
    <s v="12"/>
    <s v="2024-12-31"/>
    <d v="1899-12-30T08:52:29"/>
    <x v="0"/>
  </r>
  <r>
    <s v="9"/>
    <s v="card"/>
    <n v="35.76"/>
    <x v="7"/>
    <x v="0"/>
    <x v="4"/>
    <x v="9"/>
    <s v="2"/>
    <s v="12"/>
    <s v="2024-12-31"/>
    <d v="1899-12-30T09:36:50"/>
    <x v="0"/>
  </r>
  <r>
    <s v="9"/>
    <s v="card"/>
    <n v="25.96"/>
    <x v="5"/>
    <x v="0"/>
    <x v="4"/>
    <x v="9"/>
    <s v="2"/>
    <s v="12"/>
    <s v="2024-12-31"/>
    <d v="1899-12-30T09:39:41"/>
    <x v="0"/>
  </r>
  <r>
    <s v="9"/>
    <s v="card"/>
    <n v="35.76"/>
    <x v="4"/>
    <x v="0"/>
    <x v="4"/>
    <x v="9"/>
    <s v="2"/>
    <s v="12"/>
    <s v="2024-12-31"/>
    <d v="1899-12-30T09:45:29"/>
    <x v="0"/>
  </r>
  <r>
    <s v="10"/>
    <s v="card"/>
    <n v="30.86"/>
    <x v="3"/>
    <x v="0"/>
    <x v="4"/>
    <x v="9"/>
    <s v="2"/>
    <s v="12"/>
    <s v="2024-12-31"/>
    <d v="1899-12-30T10:26:53"/>
    <x v="0"/>
  </r>
  <r>
    <s v="10"/>
    <s v="card"/>
    <n v="30.86"/>
    <x v="3"/>
    <x v="0"/>
    <x v="4"/>
    <x v="9"/>
    <s v="2"/>
    <s v="12"/>
    <s v="2024-12-31"/>
    <d v="1899-12-30T10:29:28"/>
    <x v="0"/>
  </r>
  <r>
    <s v="11"/>
    <s v="card"/>
    <n v="35.76"/>
    <x v="7"/>
    <x v="0"/>
    <x v="4"/>
    <x v="9"/>
    <s v="2"/>
    <s v="12"/>
    <s v="2024-12-31"/>
    <d v="1899-12-30T11:11:31"/>
    <x v="0"/>
  </r>
  <r>
    <s v="11"/>
    <s v="card"/>
    <n v="30.86"/>
    <x v="3"/>
    <x v="0"/>
    <x v="4"/>
    <x v="9"/>
    <s v="2"/>
    <s v="12"/>
    <s v="2024-12-31"/>
    <d v="1899-12-30T11:12:42"/>
    <x v="0"/>
  </r>
  <r>
    <s v="15"/>
    <s v="card"/>
    <n v="21.06"/>
    <x v="6"/>
    <x v="1"/>
    <x v="4"/>
    <x v="9"/>
    <s v="2"/>
    <s v="12"/>
    <s v="2024-12-31"/>
    <d v="1899-12-30T15:42:14"/>
    <x v="0"/>
  </r>
  <r>
    <s v="15"/>
    <s v="card"/>
    <n v="25.96"/>
    <x v="2"/>
    <x v="1"/>
    <x v="4"/>
    <x v="9"/>
    <s v="2"/>
    <s v="12"/>
    <s v="2024-12-31"/>
    <d v="1899-12-30T15:43:13"/>
    <x v="0"/>
  </r>
  <r>
    <s v="16"/>
    <s v="card"/>
    <n v="35.76"/>
    <x v="7"/>
    <x v="1"/>
    <x v="4"/>
    <x v="9"/>
    <s v="2"/>
    <s v="12"/>
    <s v="2024-12-31"/>
    <d v="1899-12-30T16:07:19"/>
    <x v="0"/>
  </r>
  <r>
    <s v="17"/>
    <s v="card"/>
    <n v="35.76"/>
    <x v="0"/>
    <x v="2"/>
    <x v="4"/>
    <x v="9"/>
    <s v="2"/>
    <s v="12"/>
    <s v="2024-12-31"/>
    <d v="1899-12-30T17:10:18"/>
    <x v="0"/>
  </r>
  <r>
    <s v="17"/>
    <s v="card"/>
    <n v="30.86"/>
    <x v="3"/>
    <x v="2"/>
    <x v="4"/>
    <x v="9"/>
    <s v="2"/>
    <s v="12"/>
    <s v="2024-12-31"/>
    <d v="1899-12-30T17:30:53"/>
    <x v="0"/>
  </r>
  <r>
    <s v="17"/>
    <s v="card"/>
    <n v="35.76"/>
    <x v="7"/>
    <x v="2"/>
    <x v="4"/>
    <x v="9"/>
    <s v="2"/>
    <s v="12"/>
    <s v="2024-12-31"/>
    <d v="1899-12-30T17:31:49"/>
    <x v="0"/>
  </r>
  <r>
    <s v="19"/>
    <s v="card"/>
    <n v="35.76"/>
    <x v="0"/>
    <x v="2"/>
    <x v="4"/>
    <x v="9"/>
    <s v="2"/>
    <s v="12"/>
    <s v="2024-12-31"/>
    <d v="1899-12-30T19:07:25"/>
    <x v="0"/>
  </r>
  <r>
    <s v="19"/>
    <s v="card"/>
    <n v="35.76"/>
    <x v="1"/>
    <x v="2"/>
    <x v="4"/>
    <x v="9"/>
    <s v="2"/>
    <s v="12"/>
    <s v="2024-12-31"/>
    <d v="1899-12-30T19:08:39"/>
    <x v="0"/>
  </r>
  <r>
    <s v="9"/>
    <s v="card"/>
    <n v="30.86"/>
    <x v="3"/>
    <x v="0"/>
    <x v="6"/>
    <x v="10"/>
    <s v="4"/>
    <s v="1"/>
    <s v="2025-01-02"/>
    <d v="1899-12-30T09:58:05"/>
    <x v="1"/>
  </r>
  <r>
    <s v="13"/>
    <s v="card"/>
    <n v="35.76"/>
    <x v="4"/>
    <x v="1"/>
    <x v="6"/>
    <x v="10"/>
    <s v="4"/>
    <s v="1"/>
    <s v="2025-01-02"/>
    <d v="1899-12-30T13:29:40"/>
    <x v="1"/>
  </r>
  <r>
    <s v="13"/>
    <s v="card"/>
    <n v="35.76"/>
    <x v="4"/>
    <x v="1"/>
    <x v="6"/>
    <x v="10"/>
    <s v="4"/>
    <s v="1"/>
    <s v="2025-01-02"/>
    <d v="1899-12-30T13:30:39"/>
    <x v="1"/>
  </r>
  <r>
    <s v="14"/>
    <s v="card"/>
    <n v="25.96"/>
    <x v="5"/>
    <x v="1"/>
    <x v="6"/>
    <x v="10"/>
    <s v="4"/>
    <s v="1"/>
    <s v="2025-01-02"/>
    <d v="1899-12-30T14:41:11"/>
    <x v="1"/>
  </r>
  <r>
    <s v="14"/>
    <s v="card"/>
    <n v="25.96"/>
    <x v="5"/>
    <x v="1"/>
    <x v="6"/>
    <x v="10"/>
    <s v="4"/>
    <s v="1"/>
    <s v="2025-01-02"/>
    <d v="1899-12-30T14:42:46"/>
    <x v="1"/>
  </r>
  <r>
    <s v="16"/>
    <s v="card"/>
    <n v="25.96"/>
    <x v="2"/>
    <x v="1"/>
    <x v="6"/>
    <x v="10"/>
    <s v="4"/>
    <s v="1"/>
    <s v="2025-01-02"/>
    <d v="1899-12-30T16:22:32"/>
    <x v="1"/>
  </r>
  <r>
    <s v="16"/>
    <s v="card"/>
    <n v="35.76"/>
    <x v="1"/>
    <x v="1"/>
    <x v="6"/>
    <x v="10"/>
    <s v="4"/>
    <s v="1"/>
    <s v="2025-01-02"/>
    <d v="1899-12-30T16:34:59"/>
    <x v="1"/>
  </r>
  <r>
    <s v="16"/>
    <s v="card"/>
    <n v="30.86"/>
    <x v="3"/>
    <x v="1"/>
    <x v="6"/>
    <x v="10"/>
    <s v="4"/>
    <s v="1"/>
    <s v="2025-01-02"/>
    <d v="1899-12-30T16:35:44"/>
    <x v="1"/>
  </r>
  <r>
    <s v="17"/>
    <s v="card"/>
    <n v="35.76"/>
    <x v="7"/>
    <x v="2"/>
    <x v="6"/>
    <x v="10"/>
    <s v="4"/>
    <s v="1"/>
    <s v="2025-01-02"/>
    <d v="1899-12-30T17:43:10"/>
    <x v="1"/>
  </r>
  <r>
    <s v="9"/>
    <s v="card"/>
    <n v="25.96"/>
    <x v="5"/>
    <x v="0"/>
    <x v="0"/>
    <x v="10"/>
    <s v="5"/>
    <s v="1"/>
    <s v="2025-01-03"/>
    <d v="1899-12-30T09:03:23"/>
    <x v="1"/>
  </r>
  <r>
    <s v="10"/>
    <s v="card"/>
    <n v="30.86"/>
    <x v="3"/>
    <x v="0"/>
    <x v="0"/>
    <x v="10"/>
    <s v="5"/>
    <s v="1"/>
    <s v="2025-01-03"/>
    <d v="1899-12-30T10:10:31"/>
    <x v="1"/>
  </r>
  <r>
    <s v="16"/>
    <s v="card"/>
    <n v="30.86"/>
    <x v="3"/>
    <x v="1"/>
    <x v="0"/>
    <x v="10"/>
    <s v="5"/>
    <s v="1"/>
    <s v="2025-01-03"/>
    <d v="1899-12-30T16:58:09"/>
    <x v="1"/>
  </r>
  <r>
    <s v="22"/>
    <s v="card"/>
    <n v="35.76"/>
    <x v="7"/>
    <x v="2"/>
    <x v="0"/>
    <x v="10"/>
    <s v="5"/>
    <s v="1"/>
    <s v="2025-01-03"/>
    <d v="1899-12-30T22:13:29"/>
    <x v="1"/>
  </r>
  <r>
    <s v="22"/>
    <s v="card"/>
    <n v="25.96"/>
    <x v="2"/>
    <x v="2"/>
    <x v="0"/>
    <x v="10"/>
    <s v="5"/>
    <s v="1"/>
    <s v="2025-01-03"/>
    <d v="1899-12-30T22:18:20"/>
    <x v="1"/>
  </r>
  <r>
    <s v="22"/>
    <s v="card"/>
    <n v="25.96"/>
    <x v="2"/>
    <x v="2"/>
    <x v="0"/>
    <x v="10"/>
    <s v="5"/>
    <s v="1"/>
    <s v="2025-01-03"/>
    <d v="1899-12-30T22:19:14"/>
    <x v="1"/>
  </r>
  <r>
    <s v="22"/>
    <s v="card"/>
    <n v="35.76"/>
    <x v="0"/>
    <x v="2"/>
    <x v="0"/>
    <x v="10"/>
    <s v="5"/>
    <s v="1"/>
    <s v="2025-01-03"/>
    <d v="1899-12-30T22:21:26"/>
    <x v="1"/>
  </r>
  <r>
    <s v="8"/>
    <s v="card"/>
    <n v="25.96"/>
    <x v="5"/>
    <x v="0"/>
    <x v="1"/>
    <x v="10"/>
    <s v="6"/>
    <s v="1"/>
    <s v="2025-01-04"/>
    <d v="1899-12-30T08:58:27"/>
    <x v="1"/>
  </r>
  <r>
    <s v="9"/>
    <s v="card"/>
    <n v="25.96"/>
    <x v="2"/>
    <x v="0"/>
    <x v="1"/>
    <x v="10"/>
    <s v="6"/>
    <s v="1"/>
    <s v="2025-01-04"/>
    <d v="1899-12-30T09:59:28"/>
    <x v="1"/>
  </r>
  <r>
    <s v="13"/>
    <s v="card"/>
    <n v="35.76"/>
    <x v="7"/>
    <x v="1"/>
    <x v="1"/>
    <x v="10"/>
    <s v="6"/>
    <s v="1"/>
    <s v="2025-01-04"/>
    <d v="1899-12-30T13:40:00"/>
    <x v="1"/>
  </r>
  <r>
    <s v="15"/>
    <s v="card"/>
    <n v="35.76"/>
    <x v="4"/>
    <x v="1"/>
    <x v="1"/>
    <x v="10"/>
    <s v="6"/>
    <s v="1"/>
    <s v="2025-01-04"/>
    <d v="1899-12-30T15:59:33"/>
    <x v="1"/>
  </r>
  <r>
    <s v="16"/>
    <s v="card"/>
    <n v="30.86"/>
    <x v="3"/>
    <x v="1"/>
    <x v="1"/>
    <x v="10"/>
    <s v="6"/>
    <s v="1"/>
    <s v="2025-01-04"/>
    <d v="1899-12-30T16:12:55"/>
    <x v="1"/>
  </r>
  <r>
    <s v="16"/>
    <s v="card"/>
    <n v="35.76"/>
    <x v="7"/>
    <x v="1"/>
    <x v="1"/>
    <x v="10"/>
    <s v="6"/>
    <s v="1"/>
    <s v="2025-01-04"/>
    <d v="1899-12-30T16:14:10"/>
    <x v="1"/>
  </r>
  <r>
    <s v="16"/>
    <s v="card"/>
    <n v="35.76"/>
    <x v="7"/>
    <x v="1"/>
    <x v="1"/>
    <x v="10"/>
    <s v="6"/>
    <s v="1"/>
    <s v="2025-01-04"/>
    <d v="1899-12-30T16:16:11"/>
    <x v="1"/>
  </r>
  <r>
    <s v="16"/>
    <s v="card"/>
    <n v="25.96"/>
    <x v="5"/>
    <x v="1"/>
    <x v="1"/>
    <x v="10"/>
    <s v="6"/>
    <s v="1"/>
    <s v="2025-01-04"/>
    <d v="1899-12-30T16:18:04"/>
    <x v="1"/>
  </r>
  <r>
    <s v="18"/>
    <s v="card"/>
    <n v="25.96"/>
    <x v="2"/>
    <x v="2"/>
    <x v="1"/>
    <x v="10"/>
    <s v="6"/>
    <s v="1"/>
    <s v="2025-01-04"/>
    <d v="1899-12-30T18:11:39"/>
    <x v="1"/>
  </r>
  <r>
    <s v="22"/>
    <s v="card"/>
    <n v="35.76"/>
    <x v="0"/>
    <x v="2"/>
    <x v="1"/>
    <x v="10"/>
    <s v="6"/>
    <s v="1"/>
    <s v="2025-01-04"/>
    <d v="1899-12-30T22:23:31"/>
    <x v="1"/>
  </r>
  <r>
    <s v="9"/>
    <s v="card"/>
    <n v="30.86"/>
    <x v="3"/>
    <x v="0"/>
    <x v="2"/>
    <x v="10"/>
    <s v="7"/>
    <s v="1"/>
    <s v="2025-01-05"/>
    <d v="1899-12-30T09:45:58"/>
    <x v="1"/>
  </r>
  <r>
    <s v="10"/>
    <s v="card"/>
    <n v="35.76"/>
    <x v="0"/>
    <x v="0"/>
    <x v="2"/>
    <x v="10"/>
    <s v="7"/>
    <s v="1"/>
    <s v="2025-01-05"/>
    <d v="1899-12-30T10:53:01"/>
    <x v="1"/>
  </r>
  <r>
    <s v="22"/>
    <s v="card"/>
    <n v="30.86"/>
    <x v="3"/>
    <x v="2"/>
    <x v="2"/>
    <x v="10"/>
    <s v="7"/>
    <s v="1"/>
    <s v="2025-01-05"/>
    <d v="1899-12-30T22:07:16"/>
    <x v="1"/>
  </r>
  <r>
    <s v="19"/>
    <s v="card"/>
    <n v="25.96"/>
    <x v="2"/>
    <x v="2"/>
    <x v="3"/>
    <x v="10"/>
    <s v="1"/>
    <s v="1"/>
    <s v="2025-01-06"/>
    <d v="1899-12-30T19:58:51"/>
    <x v="1"/>
  </r>
  <r>
    <s v="13"/>
    <s v="card"/>
    <n v="35.76"/>
    <x v="7"/>
    <x v="1"/>
    <x v="4"/>
    <x v="10"/>
    <s v="2"/>
    <s v="1"/>
    <s v="2025-01-07"/>
    <d v="1899-12-30T13:29:03"/>
    <x v="1"/>
  </r>
  <r>
    <s v="22"/>
    <s v="card"/>
    <n v="35.76"/>
    <x v="4"/>
    <x v="2"/>
    <x v="4"/>
    <x v="10"/>
    <s v="2"/>
    <s v="1"/>
    <s v="2025-01-07"/>
    <d v="1899-12-30T22:32:45"/>
    <x v="1"/>
  </r>
  <r>
    <s v="22"/>
    <s v="card"/>
    <n v="35.76"/>
    <x v="4"/>
    <x v="2"/>
    <x v="4"/>
    <x v="10"/>
    <s v="2"/>
    <s v="1"/>
    <s v="2025-01-07"/>
    <d v="1899-12-30T22:33:59"/>
    <x v="1"/>
  </r>
  <r>
    <s v="7"/>
    <s v="card"/>
    <n v="30.86"/>
    <x v="3"/>
    <x v="0"/>
    <x v="5"/>
    <x v="10"/>
    <s v="3"/>
    <s v="1"/>
    <s v="2025-01-08"/>
    <d v="1899-12-30T07:30:02"/>
    <x v="1"/>
  </r>
  <r>
    <s v="9"/>
    <s v="card"/>
    <n v="35.76"/>
    <x v="0"/>
    <x v="0"/>
    <x v="5"/>
    <x v="10"/>
    <s v="3"/>
    <s v="1"/>
    <s v="2025-01-08"/>
    <d v="1899-12-30T09:11:15"/>
    <x v="1"/>
  </r>
  <r>
    <s v="10"/>
    <s v="card"/>
    <n v="25.96"/>
    <x v="5"/>
    <x v="0"/>
    <x v="5"/>
    <x v="10"/>
    <s v="3"/>
    <s v="1"/>
    <s v="2025-01-08"/>
    <d v="1899-12-30T10:30:29"/>
    <x v="1"/>
  </r>
  <r>
    <s v="17"/>
    <s v="card"/>
    <n v="35.76"/>
    <x v="7"/>
    <x v="2"/>
    <x v="5"/>
    <x v="10"/>
    <s v="3"/>
    <s v="1"/>
    <s v="2025-01-08"/>
    <d v="1899-12-30T17:22:52"/>
    <x v="1"/>
  </r>
  <r>
    <s v="8"/>
    <s v="card"/>
    <n v="25.96"/>
    <x v="2"/>
    <x v="0"/>
    <x v="6"/>
    <x v="10"/>
    <s v="4"/>
    <s v="1"/>
    <s v="2025-01-09"/>
    <d v="1899-12-30T08:07:08"/>
    <x v="1"/>
  </r>
  <r>
    <s v="8"/>
    <s v="card"/>
    <n v="35.76"/>
    <x v="0"/>
    <x v="0"/>
    <x v="6"/>
    <x v="10"/>
    <s v="4"/>
    <s v="1"/>
    <s v="2025-01-09"/>
    <d v="1899-12-30T08:56:35"/>
    <x v="1"/>
  </r>
  <r>
    <s v="9"/>
    <s v="card"/>
    <n v="30.86"/>
    <x v="3"/>
    <x v="0"/>
    <x v="6"/>
    <x v="10"/>
    <s v="4"/>
    <s v="1"/>
    <s v="2025-01-09"/>
    <d v="1899-12-30T09:02:32"/>
    <x v="1"/>
  </r>
  <r>
    <s v="14"/>
    <s v="card"/>
    <n v="21.06"/>
    <x v="6"/>
    <x v="1"/>
    <x v="6"/>
    <x v="10"/>
    <s v="4"/>
    <s v="1"/>
    <s v="2025-01-09"/>
    <d v="1899-12-30T14:27:24"/>
    <x v="1"/>
  </r>
  <r>
    <s v="15"/>
    <s v="card"/>
    <n v="35.76"/>
    <x v="0"/>
    <x v="1"/>
    <x v="6"/>
    <x v="10"/>
    <s v="4"/>
    <s v="1"/>
    <s v="2025-01-09"/>
    <d v="1899-12-30T15:36:59"/>
    <x v="1"/>
  </r>
  <r>
    <s v="15"/>
    <s v="card"/>
    <n v="30.86"/>
    <x v="3"/>
    <x v="1"/>
    <x v="6"/>
    <x v="10"/>
    <s v="4"/>
    <s v="1"/>
    <s v="2025-01-09"/>
    <d v="1899-12-30T15:48:10"/>
    <x v="1"/>
  </r>
  <r>
    <s v="15"/>
    <s v="card"/>
    <n v="25.96"/>
    <x v="5"/>
    <x v="1"/>
    <x v="6"/>
    <x v="10"/>
    <s v="4"/>
    <s v="1"/>
    <s v="2025-01-09"/>
    <d v="1899-12-30T15:49:12"/>
    <x v="1"/>
  </r>
  <r>
    <s v="20"/>
    <s v="card"/>
    <n v="30.86"/>
    <x v="3"/>
    <x v="2"/>
    <x v="6"/>
    <x v="10"/>
    <s v="4"/>
    <s v="1"/>
    <s v="2025-01-09"/>
    <d v="1899-12-30T20:30:29"/>
    <x v="1"/>
  </r>
  <r>
    <s v="22"/>
    <s v="card"/>
    <n v="35.76"/>
    <x v="0"/>
    <x v="2"/>
    <x v="6"/>
    <x v="10"/>
    <s v="4"/>
    <s v="1"/>
    <s v="2025-01-09"/>
    <d v="1899-12-30T22:10:21"/>
    <x v="1"/>
  </r>
  <r>
    <s v="8"/>
    <s v="card"/>
    <n v="30.86"/>
    <x v="3"/>
    <x v="0"/>
    <x v="0"/>
    <x v="10"/>
    <s v="5"/>
    <s v="1"/>
    <s v="2025-01-10"/>
    <d v="1899-12-30T08:49:21"/>
    <x v="1"/>
  </r>
  <r>
    <s v="9"/>
    <s v="card"/>
    <n v="30.86"/>
    <x v="3"/>
    <x v="0"/>
    <x v="0"/>
    <x v="10"/>
    <s v="5"/>
    <s v="1"/>
    <s v="2025-01-10"/>
    <d v="1899-12-30T09:16:36"/>
    <x v="1"/>
  </r>
  <r>
    <s v="17"/>
    <s v="card"/>
    <n v="35.76"/>
    <x v="7"/>
    <x v="2"/>
    <x v="0"/>
    <x v="10"/>
    <s v="5"/>
    <s v="1"/>
    <s v="2025-01-10"/>
    <d v="1899-12-30T17:51:19"/>
    <x v="1"/>
  </r>
  <r>
    <s v="17"/>
    <s v="card"/>
    <n v="35.76"/>
    <x v="1"/>
    <x v="2"/>
    <x v="0"/>
    <x v="10"/>
    <s v="5"/>
    <s v="1"/>
    <s v="2025-01-10"/>
    <d v="1899-12-30T17:55:53"/>
    <x v="1"/>
  </r>
  <r>
    <s v="17"/>
    <s v="card"/>
    <n v="30.86"/>
    <x v="3"/>
    <x v="2"/>
    <x v="0"/>
    <x v="10"/>
    <s v="5"/>
    <s v="1"/>
    <s v="2025-01-10"/>
    <d v="1899-12-30T17:59:39"/>
    <x v="1"/>
  </r>
  <r>
    <s v="7"/>
    <s v="card"/>
    <n v="30.86"/>
    <x v="3"/>
    <x v="0"/>
    <x v="1"/>
    <x v="10"/>
    <s v="6"/>
    <s v="1"/>
    <s v="2025-01-11"/>
    <d v="1899-12-30T07:44:30"/>
    <x v="1"/>
  </r>
  <r>
    <s v="10"/>
    <s v="card"/>
    <n v="35.76"/>
    <x v="1"/>
    <x v="0"/>
    <x v="1"/>
    <x v="10"/>
    <s v="6"/>
    <s v="1"/>
    <s v="2025-01-11"/>
    <d v="1899-12-30T10:49:41"/>
    <x v="1"/>
  </r>
  <r>
    <s v="11"/>
    <s v="card"/>
    <n v="25.96"/>
    <x v="2"/>
    <x v="0"/>
    <x v="1"/>
    <x v="10"/>
    <s v="6"/>
    <s v="1"/>
    <s v="2025-01-11"/>
    <d v="1899-12-30T11:13:54"/>
    <x v="1"/>
  </r>
  <r>
    <s v="11"/>
    <s v="card"/>
    <n v="35.76"/>
    <x v="0"/>
    <x v="0"/>
    <x v="1"/>
    <x v="10"/>
    <s v="6"/>
    <s v="1"/>
    <s v="2025-01-11"/>
    <d v="1899-12-30T11:20:18"/>
    <x v="1"/>
  </r>
  <r>
    <s v="11"/>
    <s v="card"/>
    <n v="35.76"/>
    <x v="0"/>
    <x v="0"/>
    <x v="1"/>
    <x v="10"/>
    <s v="6"/>
    <s v="1"/>
    <s v="2025-01-11"/>
    <d v="1899-12-30T11:21:26"/>
    <x v="1"/>
  </r>
  <r>
    <s v="12"/>
    <s v="card"/>
    <n v="35.76"/>
    <x v="0"/>
    <x v="1"/>
    <x v="1"/>
    <x v="10"/>
    <s v="6"/>
    <s v="1"/>
    <s v="2025-01-11"/>
    <d v="1899-12-30T12:10:59"/>
    <x v="1"/>
  </r>
  <r>
    <s v="12"/>
    <s v="card"/>
    <n v="35.76"/>
    <x v="0"/>
    <x v="1"/>
    <x v="1"/>
    <x v="10"/>
    <s v="6"/>
    <s v="1"/>
    <s v="2025-01-11"/>
    <d v="1899-12-30T12:13:25"/>
    <x v="1"/>
  </r>
  <r>
    <s v="14"/>
    <s v="card"/>
    <n v="30.86"/>
    <x v="3"/>
    <x v="1"/>
    <x v="1"/>
    <x v="10"/>
    <s v="6"/>
    <s v="1"/>
    <s v="2025-01-11"/>
    <d v="1899-12-30T14:12:55"/>
    <x v="1"/>
  </r>
  <r>
    <s v="14"/>
    <s v="card"/>
    <n v="30.86"/>
    <x v="3"/>
    <x v="1"/>
    <x v="1"/>
    <x v="10"/>
    <s v="6"/>
    <s v="1"/>
    <s v="2025-01-11"/>
    <d v="1899-12-30T14:15:38"/>
    <x v="1"/>
  </r>
  <r>
    <s v="14"/>
    <s v="card"/>
    <n v="35.76"/>
    <x v="7"/>
    <x v="1"/>
    <x v="1"/>
    <x v="10"/>
    <s v="6"/>
    <s v="1"/>
    <s v="2025-01-11"/>
    <d v="1899-12-30T14:16:44"/>
    <x v="1"/>
  </r>
  <r>
    <s v="14"/>
    <s v="card"/>
    <n v="35.76"/>
    <x v="0"/>
    <x v="1"/>
    <x v="1"/>
    <x v="10"/>
    <s v="6"/>
    <s v="1"/>
    <s v="2025-01-11"/>
    <d v="1899-12-30T14:47:03"/>
    <x v="1"/>
  </r>
  <r>
    <s v="17"/>
    <s v="card"/>
    <n v="25.96"/>
    <x v="5"/>
    <x v="2"/>
    <x v="1"/>
    <x v="10"/>
    <s v="6"/>
    <s v="1"/>
    <s v="2025-01-11"/>
    <d v="1899-12-30T17:19:34"/>
    <x v="1"/>
  </r>
  <r>
    <s v="17"/>
    <s v="card"/>
    <n v="35.76"/>
    <x v="0"/>
    <x v="2"/>
    <x v="1"/>
    <x v="10"/>
    <s v="6"/>
    <s v="1"/>
    <s v="2025-01-11"/>
    <d v="1899-12-30T17:20:57"/>
    <x v="1"/>
  </r>
  <r>
    <s v="17"/>
    <s v="card"/>
    <n v="25.96"/>
    <x v="5"/>
    <x v="2"/>
    <x v="1"/>
    <x v="10"/>
    <s v="6"/>
    <s v="1"/>
    <s v="2025-01-11"/>
    <d v="1899-12-30T17:22:05"/>
    <x v="1"/>
  </r>
  <r>
    <s v="18"/>
    <s v="card"/>
    <n v="30.86"/>
    <x v="3"/>
    <x v="2"/>
    <x v="1"/>
    <x v="10"/>
    <s v="6"/>
    <s v="1"/>
    <s v="2025-01-11"/>
    <d v="1899-12-30T18:01:28"/>
    <x v="1"/>
  </r>
  <r>
    <s v="11"/>
    <s v="card"/>
    <n v="30.86"/>
    <x v="3"/>
    <x v="0"/>
    <x v="2"/>
    <x v="10"/>
    <s v="7"/>
    <s v="1"/>
    <s v="2025-01-12"/>
    <d v="1899-12-30T11:45:32"/>
    <x v="1"/>
  </r>
  <r>
    <s v="11"/>
    <s v="card"/>
    <n v="25.96"/>
    <x v="2"/>
    <x v="0"/>
    <x v="2"/>
    <x v="10"/>
    <s v="7"/>
    <s v="1"/>
    <s v="2025-01-12"/>
    <d v="1899-12-30T11:48:19"/>
    <x v="1"/>
  </r>
  <r>
    <s v="11"/>
    <s v="card"/>
    <n v="30.86"/>
    <x v="3"/>
    <x v="0"/>
    <x v="2"/>
    <x v="10"/>
    <s v="7"/>
    <s v="1"/>
    <s v="2025-01-12"/>
    <d v="1899-12-30T11:49:50"/>
    <x v="1"/>
  </r>
  <r>
    <s v="16"/>
    <s v="card"/>
    <n v="35.76"/>
    <x v="1"/>
    <x v="1"/>
    <x v="2"/>
    <x v="10"/>
    <s v="7"/>
    <s v="1"/>
    <s v="2025-01-12"/>
    <d v="1899-12-30T16:15:59"/>
    <x v="1"/>
  </r>
  <r>
    <s v="20"/>
    <s v="card"/>
    <n v="30.86"/>
    <x v="3"/>
    <x v="2"/>
    <x v="2"/>
    <x v="10"/>
    <s v="7"/>
    <s v="1"/>
    <s v="2025-01-12"/>
    <d v="1899-12-30T20:56:04"/>
    <x v="1"/>
  </r>
  <r>
    <s v="8"/>
    <s v="card"/>
    <n v="30.86"/>
    <x v="3"/>
    <x v="0"/>
    <x v="3"/>
    <x v="10"/>
    <s v="1"/>
    <s v="1"/>
    <s v="2025-01-13"/>
    <d v="1899-12-30T08:08:20"/>
    <x v="1"/>
  </r>
  <r>
    <s v="9"/>
    <s v="card"/>
    <n v="30.86"/>
    <x v="3"/>
    <x v="0"/>
    <x v="3"/>
    <x v="10"/>
    <s v="1"/>
    <s v="1"/>
    <s v="2025-01-13"/>
    <d v="1899-12-30T09:17:20"/>
    <x v="1"/>
  </r>
  <r>
    <s v="13"/>
    <s v="card"/>
    <n v="25.96"/>
    <x v="5"/>
    <x v="1"/>
    <x v="3"/>
    <x v="10"/>
    <s v="1"/>
    <s v="1"/>
    <s v="2025-01-13"/>
    <d v="1899-12-30T13:02:57"/>
    <x v="1"/>
  </r>
  <r>
    <s v="13"/>
    <s v="card"/>
    <n v="35.76"/>
    <x v="0"/>
    <x v="1"/>
    <x v="3"/>
    <x v="10"/>
    <s v="1"/>
    <s v="1"/>
    <s v="2025-01-13"/>
    <d v="1899-12-30T13:50:47"/>
    <x v="1"/>
  </r>
  <r>
    <s v="14"/>
    <s v="card"/>
    <n v="35.76"/>
    <x v="0"/>
    <x v="1"/>
    <x v="3"/>
    <x v="10"/>
    <s v="1"/>
    <s v="1"/>
    <s v="2025-01-13"/>
    <d v="1899-12-30T14:11:27"/>
    <x v="1"/>
  </r>
  <r>
    <s v="14"/>
    <s v="card"/>
    <n v="35.76"/>
    <x v="7"/>
    <x v="1"/>
    <x v="3"/>
    <x v="10"/>
    <s v="1"/>
    <s v="1"/>
    <s v="2025-01-13"/>
    <d v="1899-12-30T14:12:28"/>
    <x v="1"/>
  </r>
  <r>
    <s v="16"/>
    <s v="card"/>
    <n v="35.76"/>
    <x v="0"/>
    <x v="1"/>
    <x v="3"/>
    <x v="10"/>
    <s v="1"/>
    <s v="1"/>
    <s v="2025-01-13"/>
    <d v="1899-12-30T16:25:36"/>
    <x v="1"/>
  </r>
  <r>
    <s v="20"/>
    <s v="card"/>
    <n v="21.06"/>
    <x v="6"/>
    <x v="2"/>
    <x v="3"/>
    <x v="10"/>
    <s v="1"/>
    <s v="1"/>
    <s v="2025-01-13"/>
    <d v="1899-12-30T20:51:18"/>
    <x v="1"/>
  </r>
  <r>
    <s v="7"/>
    <s v="card"/>
    <n v="35.76"/>
    <x v="0"/>
    <x v="0"/>
    <x v="4"/>
    <x v="10"/>
    <s v="2"/>
    <s v="1"/>
    <s v="2025-01-14"/>
    <d v="1899-12-30T07:37:42"/>
    <x v="1"/>
  </r>
  <r>
    <s v="9"/>
    <s v="card"/>
    <n v="25.96"/>
    <x v="5"/>
    <x v="0"/>
    <x v="4"/>
    <x v="10"/>
    <s v="2"/>
    <s v="1"/>
    <s v="2025-01-14"/>
    <d v="1899-12-30T09:53:43"/>
    <x v="1"/>
  </r>
  <r>
    <s v="10"/>
    <s v="card"/>
    <n v="30.86"/>
    <x v="3"/>
    <x v="0"/>
    <x v="4"/>
    <x v="10"/>
    <s v="2"/>
    <s v="1"/>
    <s v="2025-01-14"/>
    <d v="1899-12-30T10:21:46"/>
    <x v="1"/>
  </r>
  <r>
    <s v="12"/>
    <s v="card"/>
    <n v="35.76"/>
    <x v="0"/>
    <x v="1"/>
    <x v="4"/>
    <x v="10"/>
    <s v="2"/>
    <s v="1"/>
    <s v="2025-01-14"/>
    <d v="1899-12-30T12:49:14"/>
    <x v="1"/>
  </r>
  <r>
    <s v="16"/>
    <s v="card"/>
    <n v="30.86"/>
    <x v="3"/>
    <x v="1"/>
    <x v="4"/>
    <x v="10"/>
    <s v="2"/>
    <s v="1"/>
    <s v="2025-01-14"/>
    <d v="1899-12-30T16:18:19"/>
    <x v="1"/>
  </r>
  <r>
    <s v="16"/>
    <s v="card"/>
    <n v="30.86"/>
    <x v="3"/>
    <x v="1"/>
    <x v="4"/>
    <x v="10"/>
    <s v="2"/>
    <s v="1"/>
    <s v="2025-01-14"/>
    <d v="1899-12-30T16:19:27"/>
    <x v="1"/>
  </r>
  <r>
    <s v="19"/>
    <s v="card"/>
    <n v="35.76"/>
    <x v="7"/>
    <x v="2"/>
    <x v="4"/>
    <x v="10"/>
    <s v="2"/>
    <s v="1"/>
    <s v="2025-01-14"/>
    <d v="1899-12-30T19:41:56"/>
    <x v="1"/>
  </r>
  <r>
    <s v="21"/>
    <s v="card"/>
    <n v="35.76"/>
    <x v="0"/>
    <x v="2"/>
    <x v="4"/>
    <x v="10"/>
    <s v="2"/>
    <s v="1"/>
    <s v="2025-01-14"/>
    <d v="1899-12-30T21:02:36"/>
    <x v="1"/>
  </r>
  <r>
    <s v="9"/>
    <s v="card"/>
    <n v="30.86"/>
    <x v="3"/>
    <x v="0"/>
    <x v="5"/>
    <x v="10"/>
    <s v="3"/>
    <s v="1"/>
    <s v="2025-01-15"/>
    <d v="1899-12-30T09:12:04"/>
    <x v="1"/>
  </r>
  <r>
    <s v="11"/>
    <s v="card"/>
    <n v="25.96"/>
    <x v="2"/>
    <x v="0"/>
    <x v="5"/>
    <x v="10"/>
    <s v="3"/>
    <s v="1"/>
    <s v="2025-01-15"/>
    <d v="1899-12-30T11:10:24"/>
    <x v="1"/>
  </r>
  <r>
    <s v="13"/>
    <s v="card"/>
    <n v="35.76"/>
    <x v="7"/>
    <x v="1"/>
    <x v="5"/>
    <x v="10"/>
    <s v="3"/>
    <s v="1"/>
    <s v="2025-01-15"/>
    <d v="1899-12-30T13:14:15"/>
    <x v="1"/>
  </r>
  <r>
    <s v="15"/>
    <s v="card"/>
    <n v="35.76"/>
    <x v="0"/>
    <x v="1"/>
    <x v="5"/>
    <x v="10"/>
    <s v="3"/>
    <s v="1"/>
    <s v="2025-01-15"/>
    <d v="1899-12-30T15:35:22"/>
    <x v="1"/>
  </r>
  <r>
    <s v="15"/>
    <s v="card"/>
    <n v="35.76"/>
    <x v="7"/>
    <x v="1"/>
    <x v="5"/>
    <x v="10"/>
    <s v="3"/>
    <s v="1"/>
    <s v="2025-01-15"/>
    <d v="1899-12-30T15:36:48"/>
    <x v="1"/>
  </r>
  <r>
    <s v="15"/>
    <s v="card"/>
    <n v="35.76"/>
    <x v="0"/>
    <x v="1"/>
    <x v="5"/>
    <x v="10"/>
    <s v="3"/>
    <s v="1"/>
    <s v="2025-01-15"/>
    <d v="1899-12-30T15:37:56"/>
    <x v="1"/>
  </r>
  <r>
    <s v="16"/>
    <s v="card"/>
    <n v="35.76"/>
    <x v="0"/>
    <x v="1"/>
    <x v="5"/>
    <x v="10"/>
    <s v="3"/>
    <s v="1"/>
    <s v="2025-01-15"/>
    <d v="1899-12-30T16:55:26"/>
    <x v="1"/>
  </r>
  <r>
    <s v="18"/>
    <s v="card"/>
    <n v="35.76"/>
    <x v="0"/>
    <x v="2"/>
    <x v="5"/>
    <x v="10"/>
    <s v="3"/>
    <s v="1"/>
    <s v="2025-01-15"/>
    <d v="1899-12-30T18:06:12"/>
    <x v="1"/>
  </r>
  <r>
    <s v="19"/>
    <s v="card"/>
    <n v="35.76"/>
    <x v="0"/>
    <x v="2"/>
    <x v="5"/>
    <x v="10"/>
    <s v="3"/>
    <s v="1"/>
    <s v="2025-01-15"/>
    <d v="1899-12-30T19:51:14"/>
    <x v="1"/>
  </r>
  <r>
    <s v="21"/>
    <s v="card"/>
    <n v="35.76"/>
    <x v="7"/>
    <x v="2"/>
    <x v="5"/>
    <x v="10"/>
    <s v="3"/>
    <s v="1"/>
    <s v="2025-01-15"/>
    <d v="1899-12-30T21:41:14"/>
    <x v="1"/>
  </r>
  <r>
    <s v="9"/>
    <s v="card"/>
    <n v="35.76"/>
    <x v="0"/>
    <x v="0"/>
    <x v="6"/>
    <x v="10"/>
    <s v="4"/>
    <s v="1"/>
    <s v="2025-01-16"/>
    <d v="1899-12-30T09:32:58"/>
    <x v="1"/>
  </r>
  <r>
    <s v="9"/>
    <s v="card"/>
    <n v="30.86"/>
    <x v="3"/>
    <x v="0"/>
    <x v="6"/>
    <x v="10"/>
    <s v="4"/>
    <s v="1"/>
    <s v="2025-01-16"/>
    <d v="1899-12-30T09:38:09"/>
    <x v="1"/>
  </r>
  <r>
    <s v="10"/>
    <s v="card"/>
    <n v="30.86"/>
    <x v="3"/>
    <x v="0"/>
    <x v="6"/>
    <x v="10"/>
    <s v="4"/>
    <s v="1"/>
    <s v="2025-01-16"/>
    <d v="1899-12-30T10:41:41"/>
    <x v="1"/>
  </r>
  <r>
    <s v="12"/>
    <s v="card"/>
    <n v="25.96"/>
    <x v="5"/>
    <x v="1"/>
    <x v="6"/>
    <x v="10"/>
    <s v="4"/>
    <s v="1"/>
    <s v="2025-01-16"/>
    <d v="1899-12-30T12:12:16"/>
    <x v="1"/>
  </r>
  <r>
    <s v="15"/>
    <s v="card"/>
    <n v="35.76"/>
    <x v="0"/>
    <x v="1"/>
    <x v="6"/>
    <x v="10"/>
    <s v="4"/>
    <s v="1"/>
    <s v="2025-01-16"/>
    <d v="1899-12-30T15:16:19"/>
    <x v="1"/>
  </r>
  <r>
    <s v="16"/>
    <s v="card"/>
    <n v="35.76"/>
    <x v="0"/>
    <x v="1"/>
    <x v="6"/>
    <x v="10"/>
    <s v="4"/>
    <s v="1"/>
    <s v="2025-01-16"/>
    <d v="1899-12-30T16:35:11"/>
    <x v="1"/>
  </r>
  <r>
    <s v="18"/>
    <s v="card"/>
    <n v="35.76"/>
    <x v="7"/>
    <x v="2"/>
    <x v="6"/>
    <x v="10"/>
    <s v="4"/>
    <s v="1"/>
    <s v="2025-01-16"/>
    <d v="1899-12-30T18:15:57"/>
    <x v="1"/>
  </r>
  <r>
    <s v="21"/>
    <s v="card"/>
    <n v="35.76"/>
    <x v="1"/>
    <x v="2"/>
    <x v="6"/>
    <x v="10"/>
    <s v="4"/>
    <s v="1"/>
    <s v="2025-01-16"/>
    <d v="1899-12-30T21:16:00"/>
    <x v="1"/>
  </r>
  <r>
    <s v="21"/>
    <s v="card"/>
    <n v="35.76"/>
    <x v="1"/>
    <x v="2"/>
    <x v="6"/>
    <x v="10"/>
    <s v="4"/>
    <s v="1"/>
    <s v="2025-01-16"/>
    <d v="1899-12-30T21:16:59"/>
    <x v="1"/>
  </r>
  <r>
    <s v="21"/>
    <s v="card"/>
    <n v="25.96"/>
    <x v="5"/>
    <x v="2"/>
    <x v="6"/>
    <x v="10"/>
    <s v="4"/>
    <s v="1"/>
    <s v="2025-01-16"/>
    <d v="1899-12-30T21:40:13"/>
    <x v="1"/>
  </r>
  <r>
    <s v="7"/>
    <s v="card"/>
    <n v="35.76"/>
    <x v="4"/>
    <x v="0"/>
    <x v="0"/>
    <x v="10"/>
    <s v="5"/>
    <s v="1"/>
    <s v="2025-01-17"/>
    <d v="1899-12-30T07:38:20"/>
    <x v="1"/>
  </r>
  <r>
    <s v="8"/>
    <s v="card"/>
    <n v="35.76"/>
    <x v="0"/>
    <x v="0"/>
    <x v="0"/>
    <x v="10"/>
    <s v="5"/>
    <s v="1"/>
    <s v="2025-01-17"/>
    <d v="1899-12-30T08:26:21"/>
    <x v="1"/>
  </r>
  <r>
    <s v="8"/>
    <s v="card"/>
    <n v="35.76"/>
    <x v="7"/>
    <x v="0"/>
    <x v="0"/>
    <x v="10"/>
    <s v="5"/>
    <s v="1"/>
    <s v="2025-01-17"/>
    <d v="1899-12-30T08:27:48"/>
    <x v="1"/>
  </r>
  <r>
    <s v="8"/>
    <s v="card"/>
    <n v="30.86"/>
    <x v="3"/>
    <x v="0"/>
    <x v="0"/>
    <x v="10"/>
    <s v="5"/>
    <s v="1"/>
    <s v="2025-01-17"/>
    <d v="1899-12-30T08:47:56"/>
    <x v="1"/>
  </r>
  <r>
    <s v="9"/>
    <s v="card"/>
    <n v="30.86"/>
    <x v="3"/>
    <x v="0"/>
    <x v="0"/>
    <x v="10"/>
    <s v="5"/>
    <s v="1"/>
    <s v="2025-01-17"/>
    <d v="1899-12-30T09:27:38"/>
    <x v="1"/>
  </r>
  <r>
    <s v="14"/>
    <s v="card"/>
    <n v="35.76"/>
    <x v="4"/>
    <x v="1"/>
    <x v="0"/>
    <x v="10"/>
    <s v="5"/>
    <s v="1"/>
    <s v="2025-01-17"/>
    <d v="1899-12-30T14:20:54"/>
    <x v="1"/>
  </r>
  <r>
    <s v="14"/>
    <s v="card"/>
    <n v="35.76"/>
    <x v="4"/>
    <x v="1"/>
    <x v="0"/>
    <x v="10"/>
    <s v="5"/>
    <s v="1"/>
    <s v="2025-01-17"/>
    <d v="1899-12-30T14:22:03"/>
    <x v="1"/>
  </r>
  <r>
    <s v="17"/>
    <s v="card"/>
    <n v="35.76"/>
    <x v="1"/>
    <x v="2"/>
    <x v="0"/>
    <x v="10"/>
    <s v="5"/>
    <s v="1"/>
    <s v="2025-01-17"/>
    <d v="1899-12-30T17:39:11"/>
    <x v="1"/>
  </r>
  <r>
    <s v="21"/>
    <s v="card"/>
    <n v="35.76"/>
    <x v="1"/>
    <x v="2"/>
    <x v="0"/>
    <x v="10"/>
    <s v="5"/>
    <s v="1"/>
    <s v="2025-01-17"/>
    <d v="1899-12-30T21:22:19"/>
    <x v="1"/>
  </r>
  <r>
    <s v="10"/>
    <s v="card"/>
    <n v="30.86"/>
    <x v="3"/>
    <x v="0"/>
    <x v="1"/>
    <x v="10"/>
    <s v="6"/>
    <s v="1"/>
    <s v="2025-01-18"/>
    <d v="1899-12-30T10:12:38"/>
    <x v="1"/>
  </r>
  <r>
    <s v="16"/>
    <s v="card"/>
    <n v="35.76"/>
    <x v="1"/>
    <x v="1"/>
    <x v="1"/>
    <x v="10"/>
    <s v="6"/>
    <s v="1"/>
    <s v="2025-01-18"/>
    <d v="1899-12-30T16:33:40"/>
    <x v="1"/>
  </r>
  <r>
    <s v="16"/>
    <s v="card"/>
    <n v="35.76"/>
    <x v="0"/>
    <x v="1"/>
    <x v="1"/>
    <x v="10"/>
    <s v="6"/>
    <s v="1"/>
    <s v="2025-01-18"/>
    <d v="1899-12-30T16:35:14"/>
    <x v="1"/>
  </r>
  <r>
    <s v="16"/>
    <s v="card"/>
    <n v="35.76"/>
    <x v="1"/>
    <x v="1"/>
    <x v="1"/>
    <x v="10"/>
    <s v="6"/>
    <s v="1"/>
    <s v="2025-01-18"/>
    <d v="1899-12-30T16:36:29"/>
    <x v="1"/>
  </r>
  <r>
    <s v="8"/>
    <s v="card"/>
    <n v="30.86"/>
    <x v="3"/>
    <x v="0"/>
    <x v="3"/>
    <x v="10"/>
    <s v="1"/>
    <s v="1"/>
    <s v="2025-01-20"/>
    <d v="1899-12-30T08:29:48"/>
    <x v="1"/>
  </r>
  <r>
    <s v="10"/>
    <s v="card"/>
    <n v="30.86"/>
    <x v="3"/>
    <x v="0"/>
    <x v="3"/>
    <x v="10"/>
    <s v="1"/>
    <s v="1"/>
    <s v="2025-01-20"/>
    <d v="1899-12-30T10:57:25"/>
    <x v="1"/>
  </r>
  <r>
    <s v="11"/>
    <s v="card"/>
    <n v="25.96"/>
    <x v="5"/>
    <x v="0"/>
    <x v="3"/>
    <x v="10"/>
    <s v="1"/>
    <s v="1"/>
    <s v="2025-01-20"/>
    <d v="1899-12-30T11:40:24"/>
    <x v="1"/>
  </r>
  <r>
    <s v="12"/>
    <s v="card"/>
    <n v="25.96"/>
    <x v="2"/>
    <x v="1"/>
    <x v="3"/>
    <x v="10"/>
    <s v="1"/>
    <s v="1"/>
    <s v="2025-01-20"/>
    <d v="1899-12-30T12:04:50"/>
    <x v="1"/>
  </r>
  <r>
    <s v="12"/>
    <s v="card"/>
    <n v="25.96"/>
    <x v="5"/>
    <x v="1"/>
    <x v="3"/>
    <x v="10"/>
    <s v="1"/>
    <s v="1"/>
    <s v="2025-01-20"/>
    <d v="1899-12-30T12:06:01"/>
    <x v="1"/>
  </r>
  <r>
    <s v="13"/>
    <s v="card"/>
    <n v="30.86"/>
    <x v="3"/>
    <x v="1"/>
    <x v="3"/>
    <x v="10"/>
    <s v="1"/>
    <s v="1"/>
    <s v="2025-01-20"/>
    <d v="1899-12-30T13:45:14"/>
    <x v="1"/>
  </r>
  <r>
    <s v="20"/>
    <s v="card"/>
    <n v="35.76"/>
    <x v="1"/>
    <x v="2"/>
    <x v="3"/>
    <x v="10"/>
    <s v="1"/>
    <s v="1"/>
    <s v="2025-01-20"/>
    <d v="1899-12-30T20:08:11"/>
    <x v="1"/>
  </r>
  <r>
    <s v="20"/>
    <s v="card"/>
    <n v="35.76"/>
    <x v="7"/>
    <x v="2"/>
    <x v="3"/>
    <x v="10"/>
    <s v="1"/>
    <s v="1"/>
    <s v="2025-01-20"/>
    <d v="1899-12-30T20:26:25"/>
    <x v="1"/>
  </r>
  <r>
    <s v="20"/>
    <s v="card"/>
    <n v="35.76"/>
    <x v="7"/>
    <x v="2"/>
    <x v="3"/>
    <x v="10"/>
    <s v="1"/>
    <s v="1"/>
    <s v="2025-01-20"/>
    <d v="1899-12-30T20:27:29"/>
    <x v="1"/>
  </r>
  <r>
    <s v="21"/>
    <s v="card"/>
    <n v="35.76"/>
    <x v="0"/>
    <x v="2"/>
    <x v="3"/>
    <x v="10"/>
    <s v="1"/>
    <s v="1"/>
    <s v="2025-01-20"/>
    <d v="1899-12-30T21:13:45"/>
    <x v="1"/>
  </r>
  <r>
    <s v="8"/>
    <s v="card"/>
    <n v="35.76"/>
    <x v="4"/>
    <x v="0"/>
    <x v="4"/>
    <x v="10"/>
    <s v="2"/>
    <s v="1"/>
    <s v="2025-01-21"/>
    <d v="1899-12-30T08:05:04"/>
    <x v="1"/>
  </r>
  <r>
    <s v="8"/>
    <s v="card"/>
    <n v="25.96"/>
    <x v="5"/>
    <x v="0"/>
    <x v="4"/>
    <x v="10"/>
    <s v="2"/>
    <s v="1"/>
    <s v="2025-01-21"/>
    <d v="1899-12-30T08:18:19"/>
    <x v="1"/>
  </r>
  <r>
    <s v="8"/>
    <s v="card"/>
    <n v="30.86"/>
    <x v="3"/>
    <x v="0"/>
    <x v="4"/>
    <x v="10"/>
    <s v="2"/>
    <s v="1"/>
    <s v="2025-01-21"/>
    <d v="1899-12-30T08:19:28"/>
    <x v="1"/>
  </r>
  <r>
    <s v="15"/>
    <s v="card"/>
    <n v="25.96"/>
    <x v="2"/>
    <x v="1"/>
    <x v="4"/>
    <x v="10"/>
    <s v="2"/>
    <s v="1"/>
    <s v="2025-01-21"/>
    <d v="1899-12-30T15:35:17"/>
    <x v="1"/>
  </r>
  <r>
    <s v="18"/>
    <s v="card"/>
    <n v="35.76"/>
    <x v="1"/>
    <x v="2"/>
    <x v="4"/>
    <x v="10"/>
    <s v="2"/>
    <s v="1"/>
    <s v="2025-01-21"/>
    <d v="1899-12-30T18:32:33"/>
    <x v="1"/>
  </r>
  <r>
    <s v="18"/>
    <s v="card"/>
    <n v="35.76"/>
    <x v="0"/>
    <x v="2"/>
    <x v="4"/>
    <x v="10"/>
    <s v="2"/>
    <s v="1"/>
    <s v="2025-01-21"/>
    <d v="1899-12-30T18:54:13"/>
    <x v="1"/>
  </r>
  <r>
    <s v="18"/>
    <s v="card"/>
    <n v="35.76"/>
    <x v="0"/>
    <x v="2"/>
    <x v="4"/>
    <x v="10"/>
    <s v="2"/>
    <s v="1"/>
    <s v="2025-01-21"/>
    <d v="1899-12-30T18:56:15"/>
    <x v="1"/>
  </r>
  <r>
    <s v="19"/>
    <s v="card"/>
    <n v="25.96"/>
    <x v="2"/>
    <x v="2"/>
    <x v="4"/>
    <x v="10"/>
    <s v="2"/>
    <s v="1"/>
    <s v="2025-01-21"/>
    <d v="1899-12-30T19:15:21"/>
    <x v="1"/>
  </r>
  <r>
    <s v="11"/>
    <s v="card"/>
    <n v="21.06"/>
    <x v="6"/>
    <x v="0"/>
    <x v="5"/>
    <x v="10"/>
    <s v="3"/>
    <s v="1"/>
    <s v="2025-01-22"/>
    <d v="1899-12-30T11:24:46"/>
    <x v="1"/>
  </r>
  <r>
    <s v="17"/>
    <s v="card"/>
    <n v="30.86"/>
    <x v="3"/>
    <x v="2"/>
    <x v="5"/>
    <x v="10"/>
    <s v="3"/>
    <s v="1"/>
    <s v="2025-01-22"/>
    <d v="1899-12-30T17:32:07"/>
    <x v="1"/>
  </r>
  <r>
    <s v="18"/>
    <s v="card"/>
    <n v="35.76"/>
    <x v="4"/>
    <x v="2"/>
    <x v="5"/>
    <x v="10"/>
    <s v="3"/>
    <s v="1"/>
    <s v="2025-01-22"/>
    <d v="1899-12-30T18:49:59"/>
    <x v="1"/>
  </r>
  <r>
    <s v="19"/>
    <s v="card"/>
    <n v="30.86"/>
    <x v="3"/>
    <x v="2"/>
    <x v="5"/>
    <x v="10"/>
    <s v="3"/>
    <s v="1"/>
    <s v="2025-01-22"/>
    <d v="1899-12-30T19:10:26"/>
    <x v="1"/>
  </r>
  <r>
    <s v="19"/>
    <s v="card"/>
    <n v="35.76"/>
    <x v="7"/>
    <x v="2"/>
    <x v="5"/>
    <x v="10"/>
    <s v="3"/>
    <s v="1"/>
    <s v="2025-01-22"/>
    <d v="1899-12-30T19:11:23"/>
    <x v="1"/>
  </r>
  <r>
    <s v="19"/>
    <s v="card"/>
    <n v="35.76"/>
    <x v="0"/>
    <x v="2"/>
    <x v="5"/>
    <x v="10"/>
    <s v="3"/>
    <s v="1"/>
    <s v="2025-01-22"/>
    <d v="1899-12-30T19:29:16"/>
    <x v="1"/>
  </r>
  <r>
    <s v="20"/>
    <s v="card"/>
    <n v="30.86"/>
    <x v="3"/>
    <x v="2"/>
    <x v="5"/>
    <x v="10"/>
    <s v="3"/>
    <s v="1"/>
    <s v="2025-01-22"/>
    <d v="1899-12-30T20:14:31"/>
    <x v="1"/>
  </r>
  <r>
    <s v="13"/>
    <s v="card"/>
    <n v="35.76"/>
    <x v="7"/>
    <x v="1"/>
    <x v="0"/>
    <x v="10"/>
    <s v="5"/>
    <s v="1"/>
    <s v="2025-01-24"/>
    <d v="1899-12-30T13:42:17"/>
    <x v="1"/>
  </r>
  <r>
    <s v="13"/>
    <s v="card"/>
    <n v="25.96"/>
    <x v="5"/>
    <x v="1"/>
    <x v="0"/>
    <x v="10"/>
    <s v="5"/>
    <s v="1"/>
    <s v="2025-01-24"/>
    <d v="1899-12-30T13:43:38"/>
    <x v="1"/>
  </r>
  <r>
    <s v="15"/>
    <s v="card"/>
    <n v="35.76"/>
    <x v="4"/>
    <x v="1"/>
    <x v="0"/>
    <x v="10"/>
    <s v="5"/>
    <s v="1"/>
    <s v="2025-01-24"/>
    <d v="1899-12-30T15:28:39"/>
    <x v="1"/>
  </r>
  <r>
    <s v="17"/>
    <s v="card"/>
    <n v="25.96"/>
    <x v="2"/>
    <x v="2"/>
    <x v="0"/>
    <x v="10"/>
    <s v="5"/>
    <s v="1"/>
    <s v="2025-01-24"/>
    <d v="1899-12-30T17:41:49"/>
    <x v="1"/>
  </r>
  <r>
    <s v="21"/>
    <s v="card"/>
    <n v="35.76"/>
    <x v="4"/>
    <x v="2"/>
    <x v="0"/>
    <x v="10"/>
    <s v="5"/>
    <s v="1"/>
    <s v="2025-01-24"/>
    <d v="1899-12-30T21:16:26"/>
    <x v="1"/>
  </r>
  <r>
    <s v="22"/>
    <s v="card"/>
    <n v="35.76"/>
    <x v="1"/>
    <x v="2"/>
    <x v="0"/>
    <x v="10"/>
    <s v="5"/>
    <s v="1"/>
    <s v="2025-01-24"/>
    <d v="1899-12-30T22:31:56"/>
    <x v="1"/>
  </r>
  <r>
    <s v="22"/>
    <s v="card"/>
    <n v="35.76"/>
    <x v="0"/>
    <x v="2"/>
    <x v="0"/>
    <x v="10"/>
    <s v="5"/>
    <s v="1"/>
    <s v="2025-01-24"/>
    <d v="1899-12-30T22:32:58"/>
    <x v="1"/>
  </r>
  <r>
    <s v="13"/>
    <s v="card"/>
    <n v="35.76"/>
    <x v="7"/>
    <x v="1"/>
    <x v="1"/>
    <x v="10"/>
    <s v="6"/>
    <s v="1"/>
    <s v="2025-01-25"/>
    <d v="1899-12-30T13:21:04"/>
    <x v="1"/>
  </r>
  <r>
    <s v="14"/>
    <s v="card"/>
    <n v="35.76"/>
    <x v="7"/>
    <x v="1"/>
    <x v="1"/>
    <x v="10"/>
    <s v="6"/>
    <s v="1"/>
    <s v="2025-01-25"/>
    <d v="1899-12-30T14:38:25"/>
    <x v="1"/>
  </r>
  <r>
    <s v="14"/>
    <s v="card"/>
    <n v="25.96"/>
    <x v="2"/>
    <x v="1"/>
    <x v="1"/>
    <x v="10"/>
    <s v="6"/>
    <s v="1"/>
    <s v="2025-01-25"/>
    <d v="1899-12-30T14:39:35"/>
    <x v="1"/>
  </r>
  <r>
    <s v="12"/>
    <s v="card"/>
    <n v="25.96"/>
    <x v="2"/>
    <x v="1"/>
    <x v="2"/>
    <x v="10"/>
    <s v="7"/>
    <s v="1"/>
    <s v="2025-01-26"/>
    <d v="1899-12-30T12:35:23"/>
    <x v="1"/>
  </r>
  <r>
    <s v="12"/>
    <s v="card"/>
    <n v="21.06"/>
    <x v="6"/>
    <x v="1"/>
    <x v="2"/>
    <x v="10"/>
    <s v="7"/>
    <s v="1"/>
    <s v="2025-01-26"/>
    <d v="1899-12-30T12:36:34"/>
    <x v="1"/>
  </r>
  <r>
    <s v="8"/>
    <s v="card"/>
    <n v="25.96"/>
    <x v="5"/>
    <x v="0"/>
    <x v="3"/>
    <x v="10"/>
    <s v="1"/>
    <s v="1"/>
    <s v="2025-01-27"/>
    <d v="1899-12-30T08:07:42"/>
    <x v="1"/>
  </r>
  <r>
    <s v="8"/>
    <s v="card"/>
    <n v="25.96"/>
    <x v="2"/>
    <x v="0"/>
    <x v="3"/>
    <x v="10"/>
    <s v="1"/>
    <s v="1"/>
    <s v="2025-01-27"/>
    <d v="1899-12-30T08:32:44"/>
    <x v="1"/>
  </r>
  <r>
    <s v="12"/>
    <s v="card"/>
    <n v="35.76"/>
    <x v="7"/>
    <x v="1"/>
    <x v="3"/>
    <x v="10"/>
    <s v="1"/>
    <s v="1"/>
    <s v="2025-01-27"/>
    <d v="1899-12-30T12:05:02"/>
    <x v="1"/>
  </r>
  <r>
    <s v="13"/>
    <s v="card"/>
    <n v="30.86"/>
    <x v="3"/>
    <x v="1"/>
    <x v="3"/>
    <x v="10"/>
    <s v="1"/>
    <s v="1"/>
    <s v="2025-01-27"/>
    <d v="1899-12-30T13:45:09"/>
    <x v="1"/>
  </r>
  <r>
    <s v="15"/>
    <s v="card"/>
    <n v="30.86"/>
    <x v="3"/>
    <x v="1"/>
    <x v="3"/>
    <x v="10"/>
    <s v="1"/>
    <s v="1"/>
    <s v="2025-01-27"/>
    <d v="1899-12-30T15:27:54"/>
    <x v="1"/>
  </r>
  <r>
    <s v="15"/>
    <s v="card"/>
    <n v="25.96"/>
    <x v="5"/>
    <x v="1"/>
    <x v="3"/>
    <x v="10"/>
    <s v="1"/>
    <s v="1"/>
    <s v="2025-01-27"/>
    <d v="1899-12-30T15:29:01"/>
    <x v="1"/>
  </r>
  <r>
    <s v="15"/>
    <s v="card"/>
    <n v="30.86"/>
    <x v="3"/>
    <x v="1"/>
    <x v="3"/>
    <x v="10"/>
    <s v="1"/>
    <s v="1"/>
    <s v="2025-01-27"/>
    <d v="1899-12-30T15:30:13"/>
    <x v="1"/>
  </r>
  <r>
    <s v="18"/>
    <s v="card"/>
    <n v="35.76"/>
    <x v="0"/>
    <x v="2"/>
    <x v="3"/>
    <x v="10"/>
    <s v="1"/>
    <s v="1"/>
    <s v="2025-01-27"/>
    <d v="1899-12-30T18:55:19"/>
    <x v="1"/>
  </r>
  <r>
    <s v="19"/>
    <s v="card"/>
    <n v="35.76"/>
    <x v="0"/>
    <x v="2"/>
    <x v="3"/>
    <x v="10"/>
    <s v="1"/>
    <s v="1"/>
    <s v="2025-01-27"/>
    <d v="1899-12-30T19:02:40"/>
    <x v="1"/>
  </r>
  <r>
    <s v="19"/>
    <s v="card"/>
    <n v="35.76"/>
    <x v="0"/>
    <x v="2"/>
    <x v="3"/>
    <x v="10"/>
    <s v="1"/>
    <s v="1"/>
    <s v="2025-01-27"/>
    <d v="1899-12-30T19:03:45"/>
    <x v="1"/>
  </r>
  <r>
    <s v="8"/>
    <s v="card"/>
    <n v="35.76"/>
    <x v="0"/>
    <x v="0"/>
    <x v="4"/>
    <x v="10"/>
    <s v="2"/>
    <s v="1"/>
    <s v="2025-01-28"/>
    <d v="1899-12-30T08:26:37"/>
    <x v="1"/>
  </r>
  <r>
    <s v="9"/>
    <s v="card"/>
    <n v="25.96"/>
    <x v="2"/>
    <x v="0"/>
    <x v="4"/>
    <x v="10"/>
    <s v="2"/>
    <s v="1"/>
    <s v="2025-01-28"/>
    <d v="1899-12-30T09:33:17"/>
    <x v="1"/>
  </r>
  <r>
    <s v="11"/>
    <s v="card"/>
    <n v="30.86"/>
    <x v="3"/>
    <x v="0"/>
    <x v="4"/>
    <x v="10"/>
    <s v="2"/>
    <s v="1"/>
    <s v="2025-01-28"/>
    <d v="1899-12-30T11:56:27"/>
    <x v="1"/>
  </r>
  <r>
    <s v="12"/>
    <s v="card"/>
    <n v="25.96"/>
    <x v="2"/>
    <x v="1"/>
    <x v="4"/>
    <x v="10"/>
    <s v="2"/>
    <s v="1"/>
    <s v="2025-01-28"/>
    <d v="1899-12-30T12:22:01"/>
    <x v="1"/>
  </r>
  <r>
    <s v="16"/>
    <s v="card"/>
    <n v="35.76"/>
    <x v="4"/>
    <x v="1"/>
    <x v="4"/>
    <x v="10"/>
    <s v="2"/>
    <s v="1"/>
    <s v="2025-01-28"/>
    <d v="1899-12-30T16:19:08"/>
    <x v="1"/>
  </r>
  <r>
    <s v="16"/>
    <s v="card"/>
    <n v="25.96"/>
    <x v="5"/>
    <x v="1"/>
    <x v="4"/>
    <x v="10"/>
    <s v="2"/>
    <s v="1"/>
    <s v="2025-01-28"/>
    <d v="1899-12-30T16:20:45"/>
    <x v="1"/>
  </r>
  <r>
    <s v="17"/>
    <s v="card"/>
    <n v="25.96"/>
    <x v="2"/>
    <x v="2"/>
    <x v="4"/>
    <x v="10"/>
    <s v="2"/>
    <s v="1"/>
    <s v="2025-01-28"/>
    <d v="1899-12-30T17:40:01"/>
    <x v="1"/>
  </r>
  <r>
    <s v="20"/>
    <s v="card"/>
    <n v="35.76"/>
    <x v="0"/>
    <x v="2"/>
    <x v="4"/>
    <x v="10"/>
    <s v="2"/>
    <s v="1"/>
    <s v="2025-01-28"/>
    <d v="1899-12-30T20:11:51"/>
    <x v="1"/>
  </r>
  <r>
    <s v="20"/>
    <s v="card"/>
    <n v="35.76"/>
    <x v="7"/>
    <x v="2"/>
    <x v="4"/>
    <x v="10"/>
    <s v="2"/>
    <s v="1"/>
    <s v="2025-01-28"/>
    <d v="1899-12-30T20:13:45"/>
    <x v="1"/>
  </r>
  <r>
    <s v="9"/>
    <s v="card"/>
    <n v="25.96"/>
    <x v="2"/>
    <x v="0"/>
    <x v="5"/>
    <x v="10"/>
    <s v="3"/>
    <s v="1"/>
    <s v="2025-01-29"/>
    <d v="1899-12-30T09:38:47"/>
    <x v="1"/>
  </r>
  <r>
    <s v="16"/>
    <s v="card"/>
    <n v="25.96"/>
    <x v="2"/>
    <x v="1"/>
    <x v="5"/>
    <x v="10"/>
    <s v="3"/>
    <s v="1"/>
    <s v="2025-01-29"/>
    <d v="1899-12-30T16:25:37"/>
    <x v="1"/>
  </r>
  <r>
    <s v="19"/>
    <s v="card"/>
    <n v="30.86"/>
    <x v="3"/>
    <x v="2"/>
    <x v="5"/>
    <x v="10"/>
    <s v="3"/>
    <s v="1"/>
    <s v="2025-01-29"/>
    <d v="1899-12-30T19:19:08"/>
    <x v="1"/>
  </r>
  <r>
    <s v="19"/>
    <s v="card"/>
    <n v="21.06"/>
    <x v="6"/>
    <x v="2"/>
    <x v="5"/>
    <x v="10"/>
    <s v="3"/>
    <s v="1"/>
    <s v="2025-01-29"/>
    <d v="1899-12-30T19:20:35"/>
    <x v="1"/>
  </r>
  <r>
    <s v="9"/>
    <s v="card"/>
    <n v="30.86"/>
    <x v="3"/>
    <x v="0"/>
    <x v="6"/>
    <x v="10"/>
    <s v="4"/>
    <s v="1"/>
    <s v="2025-01-30"/>
    <d v="1899-12-30T09:18:06"/>
    <x v="1"/>
  </r>
  <r>
    <s v="10"/>
    <s v="card"/>
    <n v="30.86"/>
    <x v="3"/>
    <x v="0"/>
    <x v="6"/>
    <x v="10"/>
    <s v="4"/>
    <s v="1"/>
    <s v="2025-01-30"/>
    <d v="1899-12-30T10:12:34"/>
    <x v="1"/>
  </r>
  <r>
    <s v="11"/>
    <s v="card"/>
    <n v="25.96"/>
    <x v="5"/>
    <x v="0"/>
    <x v="6"/>
    <x v="10"/>
    <s v="4"/>
    <s v="1"/>
    <s v="2025-01-30"/>
    <d v="1899-12-30T11:26:29"/>
    <x v="1"/>
  </r>
  <r>
    <s v="12"/>
    <s v="card"/>
    <n v="35.76"/>
    <x v="1"/>
    <x v="1"/>
    <x v="6"/>
    <x v="10"/>
    <s v="4"/>
    <s v="1"/>
    <s v="2025-01-30"/>
    <d v="1899-12-30T12:42:16"/>
    <x v="1"/>
  </r>
  <r>
    <s v="13"/>
    <s v="card"/>
    <n v="25.96"/>
    <x v="2"/>
    <x v="1"/>
    <x v="6"/>
    <x v="10"/>
    <s v="4"/>
    <s v="1"/>
    <s v="2025-01-30"/>
    <d v="1899-12-30T13:02:01"/>
    <x v="1"/>
  </r>
  <r>
    <s v="14"/>
    <s v="card"/>
    <n v="30.86"/>
    <x v="3"/>
    <x v="1"/>
    <x v="6"/>
    <x v="10"/>
    <s v="4"/>
    <s v="1"/>
    <s v="2025-01-30"/>
    <d v="1899-12-30T14:41:42"/>
    <x v="1"/>
  </r>
  <r>
    <s v="17"/>
    <s v="card"/>
    <n v="35.76"/>
    <x v="1"/>
    <x v="2"/>
    <x v="6"/>
    <x v="10"/>
    <s v="4"/>
    <s v="1"/>
    <s v="2025-01-30"/>
    <d v="1899-12-30T17:18:48"/>
    <x v="1"/>
  </r>
  <r>
    <s v="18"/>
    <s v="card"/>
    <n v="30.86"/>
    <x v="3"/>
    <x v="2"/>
    <x v="6"/>
    <x v="10"/>
    <s v="4"/>
    <s v="1"/>
    <s v="2025-01-30"/>
    <d v="1899-12-30T18:24:07"/>
    <x v="1"/>
  </r>
  <r>
    <s v="18"/>
    <s v="card"/>
    <n v="25.96"/>
    <x v="5"/>
    <x v="2"/>
    <x v="6"/>
    <x v="10"/>
    <s v="4"/>
    <s v="1"/>
    <s v="2025-01-30"/>
    <d v="1899-12-30T18:41:50"/>
    <x v="1"/>
  </r>
  <r>
    <s v="8"/>
    <s v="card"/>
    <n v="25.96"/>
    <x v="2"/>
    <x v="0"/>
    <x v="0"/>
    <x v="10"/>
    <s v="5"/>
    <s v="1"/>
    <s v="2025-01-31"/>
    <d v="1899-12-30T08:40:51"/>
    <x v="1"/>
  </r>
  <r>
    <s v="8"/>
    <s v="card"/>
    <n v="30.86"/>
    <x v="3"/>
    <x v="0"/>
    <x v="0"/>
    <x v="10"/>
    <s v="5"/>
    <s v="1"/>
    <s v="2025-01-31"/>
    <d v="1899-12-30T08:41:45"/>
    <x v="1"/>
  </r>
  <r>
    <s v="9"/>
    <s v="card"/>
    <n v="30.86"/>
    <x v="3"/>
    <x v="0"/>
    <x v="0"/>
    <x v="10"/>
    <s v="5"/>
    <s v="1"/>
    <s v="2025-01-31"/>
    <d v="1899-12-30T09:17:15"/>
    <x v="1"/>
  </r>
  <r>
    <s v="9"/>
    <s v="card"/>
    <n v="35.76"/>
    <x v="4"/>
    <x v="0"/>
    <x v="0"/>
    <x v="10"/>
    <s v="5"/>
    <s v="1"/>
    <s v="2025-01-31"/>
    <d v="1899-12-30T09:20:11"/>
    <x v="1"/>
  </r>
  <r>
    <s v="9"/>
    <s v="card"/>
    <n v="35.76"/>
    <x v="7"/>
    <x v="0"/>
    <x v="0"/>
    <x v="10"/>
    <s v="5"/>
    <s v="1"/>
    <s v="2025-01-31"/>
    <d v="1899-12-30T09:26:47"/>
    <x v="1"/>
  </r>
  <r>
    <s v="9"/>
    <s v="card"/>
    <n v="35.76"/>
    <x v="7"/>
    <x v="0"/>
    <x v="0"/>
    <x v="10"/>
    <s v="5"/>
    <s v="1"/>
    <s v="2025-01-31"/>
    <d v="1899-12-30T09:27:48"/>
    <x v="1"/>
  </r>
  <r>
    <s v="12"/>
    <s v="card"/>
    <n v="35.76"/>
    <x v="0"/>
    <x v="1"/>
    <x v="0"/>
    <x v="10"/>
    <s v="5"/>
    <s v="1"/>
    <s v="2025-01-31"/>
    <d v="1899-12-30T12:31:01"/>
    <x v="1"/>
  </r>
  <r>
    <s v="12"/>
    <s v="card"/>
    <n v="35.76"/>
    <x v="0"/>
    <x v="1"/>
    <x v="0"/>
    <x v="10"/>
    <s v="5"/>
    <s v="1"/>
    <s v="2025-01-31"/>
    <d v="1899-12-30T12:54:26"/>
    <x v="1"/>
  </r>
  <r>
    <s v="14"/>
    <s v="card"/>
    <n v="35.76"/>
    <x v="7"/>
    <x v="1"/>
    <x v="0"/>
    <x v="10"/>
    <s v="5"/>
    <s v="1"/>
    <s v="2025-01-31"/>
    <d v="1899-12-30T14:02:58"/>
    <x v="1"/>
  </r>
  <r>
    <s v="16"/>
    <s v="card"/>
    <n v="30.86"/>
    <x v="3"/>
    <x v="1"/>
    <x v="0"/>
    <x v="10"/>
    <s v="5"/>
    <s v="1"/>
    <s v="2025-01-31"/>
    <d v="1899-12-30T16:48:34"/>
    <x v="1"/>
  </r>
  <r>
    <s v="22"/>
    <s v="card"/>
    <n v="30.86"/>
    <x v="3"/>
    <x v="2"/>
    <x v="0"/>
    <x v="10"/>
    <s v="5"/>
    <s v="1"/>
    <s v="2025-01-31"/>
    <d v="1899-12-30T22:35:59"/>
    <x v="1"/>
  </r>
  <r>
    <s v="22"/>
    <s v="card"/>
    <n v="25.96"/>
    <x v="2"/>
    <x v="2"/>
    <x v="0"/>
    <x v="10"/>
    <s v="5"/>
    <s v="1"/>
    <s v="2025-01-31"/>
    <d v="1899-12-30T22:37:02"/>
    <x v="1"/>
  </r>
  <r>
    <s v="8"/>
    <s v="card"/>
    <n v="30.86"/>
    <x v="3"/>
    <x v="0"/>
    <x v="1"/>
    <x v="11"/>
    <s v="6"/>
    <s v="2"/>
    <s v="2025-02-01"/>
    <d v="1899-12-30T08:50:24"/>
    <x v="1"/>
  </r>
  <r>
    <s v="10"/>
    <s v="card"/>
    <n v="30.86"/>
    <x v="3"/>
    <x v="0"/>
    <x v="1"/>
    <x v="11"/>
    <s v="6"/>
    <s v="2"/>
    <s v="2025-02-01"/>
    <d v="1899-12-30T10:07:23"/>
    <x v="1"/>
  </r>
  <r>
    <s v="13"/>
    <s v="card"/>
    <n v="25.96"/>
    <x v="5"/>
    <x v="1"/>
    <x v="1"/>
    <x v="11"/>
    <s v="6"/>
    <s v="2"/>
    <s v="2025-02-01"/>
    <d v="1899-12-30T13:14:47"/>
    <x v="1"/>
  </r>
  <r>
    <s v="13"/>
    <s v="card"/>
    <n v="25.96"/>
    <x v="5"/>
    <x v="1"/>
    <x v="1"/>
    <x v="11"/>
    <s v="6"/>
    <s v="2"/>
    <s v="2025-02-01"/>
    <d v="1899-12-30T13:15:29"/>
    <x v="1"/>
  </r>
  <r>
    <s v="14"/>
    <s v="card"/>
    <n v="35.76"/>
    <x v="7"/>
    <x v="1"/>
    <x v="1"/>
    <x v="11"/>
    <s v="6"/>
    <s v="2"/>
    <s v="2025-02-01"/>
    <d v="1899-12-30T14:35:19"/>
    <x v="1"/>
  </r>
  <r>
    <s v="14"/>
    <s v="card"/>
    <n v="35.76"/>
    <x v="7"/>
    <x v="1"/>
    <x v="1"/>
    <x v="11"/>
    <s v="6"/>
    <s v="2"/>
    <s v="2025-02-01"/>
    <d v="1899-12-30T14:36:17"/>
    <x v="1"/>
  </r>
  <r>
    <s v="15"/>
    <s v="card"/>
    <n v="35.76"/>
    <x v="0"/>
    <x v="1"/>
    <x v="1"/>
    <x v="11"/>
    <s v="6"/>
    <s v="2"/>
    <s v="2025-02-01"/>
    <d v="1899-12-30T15:49:59"/>
    <x v="1"/>
  </r>
  <r>
    <s v="18"/>
    <s v="card"/>
    <n v="35.76"/>
    <x v="7"/>
    <x v="2"/>
    <x v="1"/>
    <x v="11"/>
    <s v="6"/>
    <s v="2"/>
    <s v="2025-02-01"/>
    <d v="1899-12-30T18:57:14"/>
    <x v="1"/>
  </r>
  <r>
    <s v="19"/>
    <s v="card"/>
    <n v="30.86"/>
    <x v="3"/>
    <x v="2"/>
    <x v="1"/>
    <x v="11"/>
    <s v="6"/>
    <s v="2"/>
    <s v="2025-02-01"/>
    <d v="1899-12-30T19:53:16"/>
    <x v="1"/>
  </r>
  <r>
    <s v="19"/>
    <s v="card"/>
    <n v="30.86"/>
    <x v="3"/>
    <x v="2"/>
    <x v="1"/>
    <x v="11"/>
    <s v="6"/>
    <s v="2"/>
    <s v="2025-02-01"/>
    <d v="1899-12-30T19:54:24"/>
    <x v="1"/>
  </r>
  <r>
    <s v="21"/>
    <s v="card"/>
    <n v="30.86"/>
    <x v="3"/>
    <x v="2"/>
    <x v="1"/>
    <x v="11"/>
    <s v="6"/>
    <s v="2"/>
    <s v="2025-02-01"/>
    <d v="1899-12-30T21:37:02"/>
    <x v="1"/>
  </r>
  <r>
    <s v="10"/>
    <s v="card"/>
    <n v="35.76"/>
    <x v="7"/>
    <x v="0"/>
    <x v="2"/>
    <x v="11"/>
    <s v="7"/>
    <s v="2"/>
    <s v="2025-02-02"/>
    <d v="1899-12-30T10:56:22"/>
    <x v="1"/>
  </r>
  <r>
    <s v="10"/>
    <s v="card"/>
    <n v="35.76"/>
    <x v="7"/>
    <x v="0"/>
    <x v="2"/>
    <x v="11"/>
    <s v="7"/>
    <s v="2"/>
    <s v="2025-02-02"/>
    <d v="1899-12-30T10:57:38"/>
    <x v="1"/>
  </r>
  <r>
    <s v="12"/>
    <s v="card"/>
    <n v="35.76"/>
    <x v="0"/>
    <x v="1"/>
    <x v="2"/>
    <x v="11"/>
    <s v="7"/>
    <s v="2"/>
    <s v="2025-02-02"/>
    <d v="1899-12-30T12:54:32"/>
    <x v="1"/>
  </r>
  <r>
    <s v="12"/>
    <s v="card"/>
    <n v="35.76"/>
    <x v="0"/>
    <x v="1"/>
    <x v="2"/>
    <x v="11"/>
    <s v="7"/>
    <s v="2"/>
    <s v="2025-02-02"/>
    <d v="1899-12-30T12:56:05"/>
    <x v="1"/>
  </r>
  <r>
    <s v="14"/>
    <s v="card"/>
    <n v="30.86"/>
    <x v="3"/>
    <x v="1"/>
    <x v="2"/>
    <x v="11"/>
    <s v="7"/>
    <s v="2"/>
    <s v="2025-02-02"/>
    <d v="1899-12-30T14:22:57"/>
    <x v="1"/>
  </r>
  <r>
    <s v="16"/>
    <s v="card"/>
    <n v="35.76"/>
    <x v="0"/>
    <x v="1"/>
    <x v="2"/>
    <x v="11"/>
    <s v="7"/>
    <s v="2"/>
    <s v="2025-02-02"/>
    <d v="1899-12-30T16:45:08"/>
    <x v="1"/>
  </r>
  <r>
    <s v="16"/>
    <s v="card"/>
    <n v="35.76"/>
    <x v="0"/>
    <x v="1"/>
    <x v="2"/>
    <x v="11"/>
    <s v="7"/>
    <s v="2"/>
    <s v="2025-02-02"/>
    <d v="1899-12-30T16:46:57"/>
    <x v="1"/>
  </r>
  <r>
    <s v="7"/>
    <s v="card"/>
    <n v="35.76"/>
    <x v="7"/>
    <x v="0"/>
    <x v="3"/>
    <x v="11"/>
    <s v="1"/>
    <s v="2"/>
    <s v="2025-02-03"/>
    <d v="1899-12-30T07:03:25"/>
    <x v="1"/>
  </r>
  <r>
    <s v="7"/>
    <s v="card"/>
    <n v="30.86"/>
    <x v="3"/>
    <x v="0"/>
    <x v="3"/>
    <x v="11"/>
    <s v="1"/>
    <s v="2"/>
    <s v="2025-02-03"/>
    <d v="1899-12-30T07:04:57"/>
    <x v="1"/>
  </r>
  <r>
    <s v="8"/>
    <s v="card"/>
    <n v="21.06"/>
    <x v="6"/>
    <x v="0"/>
    <x v="3"/>
    <x v="11"/>
    <s v="1"/>
    <s v="2"/>
    <s v="2025-02-03"/>
    <d v="1899-12-30T08:04:04"/>
    <x v="1"/>
  </r>
  <r>
    <s v="8"/>
    <s v="card"/>
    <n v="30.86"/>
    <x v="3"/>
    <x v="0"/>
    <x v="3"/>
    <x v="11"/>
    <s v="1"/>
    <s v="2"/>
    <s v="2025-02-03"/>
    <d v="1899-12-30T08:09:09"/>
    <x v="1"/>
  </r>
  <r>
    <s v="10"/>
    <s v="card"/>
    <n v="25.96"/>
    <x v="2"/>
    <x v="0"/>
    <x v="3"/>
    <x v="11"/>
    <s v="1"/>
    <s v="2"/>
    <s v="2025-02-03"/>
    <d v="1899-12-30T10:15:39"/>
    <x v="1"/>
  </r>
  <r>
    <s v="10"/>
    <s v="card"/>
    <n v="35.76"/>
    <x v="7"/>
    <x v="0"/>
    <x v="3"/>
    <x v="11"/>
    <s v="1"/>
    <s v="2"/>
    <s v="2025-02-03"/>
    <d v="1899-12-30T10:22:18"/>
    <x v="1"/>
  </r>
  <r>
    <s v="10"/>
    <s v="card"/>
    <n v="30.86"/>
    <x v="3"/>
    <x v="0"/>
    <x v="3"/>
    <x v="11"/>
    <s v="1"/>
    <s v="2"/>
    <s v="2025-02-03"/>
    <d v="1899-12-30T10:49:59"/>
    <x v="1"/>
  </r>
  <r>
    <s v="13"/>
    <s v="card"/>
    <n v="35.76"/>
    <x v="7"/>
    <x v="1"/>
    <x v="3"/>
    <x v="11"/>
    <s v="1"/>
    <s v="2"/>
    <s v="2025-02-03"/>
    <d v="1899-12-30T13:25:02"/>
    <x v="1"/>
  </r>
  <r>
    <s v="13"/>
    <s v="card"/>
    <n v="35.76"/>
    <x v="7"/>
    <x v="1"/>
    <x v="3"/>
    <x v="11"/>
    <s v="1"/>
    <s v="2"/>
    <s v="2025-02-03"/>
    <d v="1899-12-30T13:32:54"/>
    <x v="1"/>
  </r>
  <r>
    <s v="13"/>
    <s v="card"/>
    <n v="25.96"/>
    <x v="2"/>
    <x v="1"/>
    <x v="3"/>
    <x v="11"/>
    <s v="1"/>
    <s v="2"/>
    <s v="2025-02-03"/>
    <d v="1899-12-30T13:51:03"/>
    <x v="1"/>
  </r>
  <r>
    <s v="14"/>
    <s v="card"/>
    <n v="25.96"/>
    <x v="2"/>
    <x v="1"/>
    <x v="3"/>
    <x v="11"/>
    <s v="1"/>
    <s v="2"/>
    <s v="2025-02-03"/>
    <d v="1899-12-30T14:06:37"/>
    <x v="1"/>
  </r>
  <r>
    <s v="14"/>
    <s v="card"/>
    <n v="35.76"/>
    <x v="0"/>
    <x v="1"/>
    <x v="3"/>
    <x v="11"/>
    <s v="1"/>
    <s v="2"/>
    <s v="2025-02-03"/>
    <d v="1899-12-30T14:47:02"/>
    <x v="1"/>
  </r>
  <r>
    <s v="14"/>
    <s v="card"/>
    <n v="35.76"/>
    <x v="0"/>
    <x v="1"/>
    <x v="3"/>
    <x v="11"/>
    <s v="1"/>
    <s v="2"/>
    <s v="2025-02-03"/>
    <d v="1899-12-30T14:50:21"/>
    <x v="1"/>
  </r>
  <r>
    <s v="15"/>
    <s v="card"/>
    <n v="35.76"/>
    <x v="0"/>
    <x v="1"/>
    <x v="3"/>
    <x v="11"/>
    <s v="1"/>
    <s v="2"/>
    <s v="2025-02-03"/>
    <d v="1899-12-30T15:01:45"/>
    <x v="1"/>
  </r>
  <r>
    <s v="15"/>
    <s v="card"/>
    <n v="25.96"/>
    <x v="2"/>
    <x v="1"/>
    <x v="3"/>
    <x v="11"/>
    <s v="1"/>
    <s v="2"/>
    <s v="2025-02-03"/>
    <d v="1899-12-30T15:41:27"/>
    <x v="1"/>
  </r>
  <r>
    <s v="17"/>
    <s v="card"/>
    <n v="35.76"/>
    <x v="4"/>
    <x v="2"/>
    <x v="3"/>
    <x v="11"/>
    <s v="1"/>
    <s v="2"/>
    <s v="2025-02-03"/>
    <d v="1899-12-30T17:01:27"/>
    <x v="1"/>
  </r>
  <r>
    <s v="17"/>
    <s v="card"/>
    <n v="30.86"/>
    <x v="3"/>
    <x v="2"/>
    <x v="3"/>
    <x v="11"/>
    <s v="1"/>
    <s v="2"/>
    <s v="2025-02-03"/>
    <d v="1899-12-30T17:09:55"/>
    <x v="1"/>
  </r>
  <r>
    <s v="17"/>
    <s v="card"/>
    <n v="30.86"/>
    <x v="3"/>
    <x v="2"/>
    <x v="3"/>
    <x v="11"/>
    <s v="1"/>
    <s v="2"/>
    <s v="2025-02-03"/>
    <d v="1899-12-30T17:11:07"/>
    <x v="1"/>
  </r>
  <r>
    <s v="17"/>
    <s v="card"/>
    <n v="30.86"/>
    <x v="3"/>
    <x v="2"/>
    <x v="3"/>
    <x v="11"/>
    <s v="1"/>
    <s v="2"/>
    <s v="2025-02-03"/>
    <d v="1899-12-30T17:12:05"/>
    <x v="1"/>
  </r>
  <r>
    <s v="17"/>
    <s v="card"/>
    <n v="35.76"/>
    <x v="1"/>
    <x v="2"/>
    <x v="3"/>
    <x v="11"/>
    <s v="1"/>
    <s v="2"/>
    <s v="2025-02-03"/>
    <d v="1899-12-30T17:13:22"/>
    <x v="1"/>
  </r>
  <r>
    <s v="17"/>
    <s v="card"/>
    <n v="35.76"/>
    <x v="0"/>
    <x v="2"/>
    <x v="3"/>
    <x v="11"/>
    <s v="1"/>
    <s v="2"/>
    <s v="2025-02-03"/>
    <d v="1899-12-30T17:14:18"/>
    <x v="1"/>
  </r>
  <r>
    <s v="17"/>
    <s v="card"/>
    <n v="35.76"/>
    <x v="1"/>
    <x v="2"/>
    <x v="3"/>
    <x v="11"/>
    <s v="1"/>
    <s v="2"/>
    <s v="2025-02-03"/>
    <d v="1899-12-30T17:15:41"/>
    <x v="1"/>
  </r>
  <r>
    <s v="17"/>
    <s v="card"/>
    <n v="30.86"/>
    <x v="3"/>
    <x v="2"/>
    <x v="3"/>
    <x v="11"/>
    <s v="1"/>
    <s v="2"/>
    <s v="2025-02-03"/>
    <d v="1899-12-30T17:44:18"/>
    <x v="1"/>
  </r>
  <r>
    <s v="18"/>
    <s v="card"/>
    <n v="25.96"/>
    <x v="2"/>
    <x v="2"/>
    <x v="3"/>
    <x v="11"/>
    <s v="1"/>
    <s v="2"/>
    <s v="2025-02-03"/>
    <d v="1899-12-30T18:09:00"/>
    <x v="1"/>
  </r>
  <r>
    <s v="20"/>
    <s v="card"/>
    <n v="35.76"/>
    <x v="4"/>
    <x v="2"/>
    <x v="3"/>
    <x v="11"/>
    <s v="1"/>
    <s v="2"/>
    <s v="2025-02-03"/>
    <d v="1899-12-30T20:44:14"/>
    <x v="1"/>
  </r>
  <r>
    <s v="10"/>
    <s v="card"/>
    <n v="30.86"/>
    <x v="3"/>
    <x v="0"/>
    <x v="4"/>
    <x v="11"/>
    <s v="2"/>
    <s v="2"/>
    <s v="2025-02-04"/>
    <d v="1899-12-30T10:04:57"/>
    <x v="1"/>
  </r>
  <r>
    <s v="10"/>
    <s v="card"/>
    <n v="25.96"/>
    <x v="2"/>
    <x v="0"/>
    <x v="4"/>
    <x v="11"/>
    <s v="2"/>
    <s v="2"/>
    <s v="2025-02-04"/>
    <d v="1899-12-30T10:11:31"/>
    <x v="1"/>
  </r>
  <r>
    <s v="12"/>
    <s v="card"/>
    <n v="30.86"/>
    <x v="3"/>
    <x v="1"/>
    <x v="4"/>
    <x v="11"/>
    <s v="2"/>
    <s v="2"/>
    <s v="2025-02-04"/>
    <d v="1899-12-30T12:35:58"/>
    <x v="1"/>
  </r>
  <r>
    <s v="13"/>
    <s v="card"/>
    <n v="25.96"/>
    <x v="5"/>
    <x v="1"/>
    <x v="4"/>
    <x v="11"/>
    <s v="2"/>
    <s v="2"/>
    <s v="2025-02-04"/>
    <d v="1899-12-30T13:07:39"/>
    <x v="1"/>
  </r>
  <r>
    <s v="14"/>
    <s v="card"/>
    <n v="25.96"/>
    <x v="2"/>
    <x v="1"/>
    <x v="4"/>
    <x v="11"/>
    <s v="2"/>
    <s v="2"/>
    <s v="2025-02-04"/>
    <d v="1899-12-30T14:15:14"/>
    <x v="1"/>
  </r>
  <r>
    <s v="14"/>
    <s v="card"/>
    <n v="30.86"/>
    <x v="3"/>
    <x v="1"/>
    <x v="4"/>
    <x v="11"/>
    <s v="2"/>
    <s v="2"/>
    <s v="2025-02-04"/>
    <d v="1899-12-30T14:17:36"/>
    <x v="1"/>
  </r>
  <r>
    <s v="14"/>
    <s v="card"/>
    <n v="25.96"/>
    <x v="2"/>
    <x v="1"/>
    <x v="4"/>
    <x v="11"/>
    <s v="2"/>
    <s v="2"/>
    <s v="2025-02-04"/>
    <d v="1899-12-30T14:19:49"/>
    <x v="1"/>
  </r>
  <r>
    <s v="18"/>
    <s v="card"/>
    <n v="30.86"/>
    <x v="3"/>
    <x v="2"/>
    <x v="4"/>
    <x v="11"/>
    <s v="2"/>
    <s v="2"/>
    <s v="2025-02-04"/>
    <d v="1899-12-30T18:13:42"/>
    <x v="1"/>
  </r>
  <r>
    <s v="19"/>
    <s v="card"/>
    <n v="35.76"/>
    <x v="4"/>
    <x v="2"/>
    <x v="4"/>
    <x v="11"/>
    <s v="2"/>
    <s v="2"/>
    <s v="2025-02-04"/>
    <d v="1899-12-30T19:05:22"/>
    <x v="1"/>
  </r>
  <r>
    <s v="19"/>
    <s v="card"/>
    <n v="35.76"/>
    <x v="4"/>
    <x v="2"/>
    <x v="4"/>
    <x v="11"/>
    <s v="2"/>
    <s v="2"/>
    <s v="2025-02-04"/>
    <d v="1899-12-30T19:09:37"/>
    <x v="1"/>
  </r>
  <r>
    <s v="19"/>
    <s v="card"/>
    <n v="35.76"/>
    <x v="4"/>
    <x v="2"/>
    <x v="4"/>
    <x v="11"/>
    <s v="2"/>
    <s v="2"/>
    <s v="2025-02-04"/>
    <d v="1899-12-30T19:10:28"/>
    <x v="1"/>
  </r>
  <r>
    <s v="19"/>
    <s v="card"/>
    <n v="25.96"/>
    <x v="5"/>
    <x v="2"/>
    <x v="4"/>
    <x v="11"/>
    <s v="2"/>
    <s v="2"/>
    <s v="2025-02-04"/>
    <d v="1899-12-30T19:27:27"/>
    <x v="1"/>
  </r>
  <r>
    <s v="8"/>
    <s v="card"/>
    <n v="30.86"/>
    <x v="3"/>
    <x v="0"/>
    <x v="5"/>
    <x v="11"/>
    <s v="3"/>
    <s v="2"/>
    <s v="2025-02-05"/>
    <d v="1899-12-30T08:42:11"/>
    <x v="1"/>
  </r>
  <r>
    <s v="9"/>
    <s v="card"/>
    <n v="30.86"/>
    <x v="3"/>
    <x v="0"/>
    <x v="5"/>
    <x v="11"/>
    <s v="3"/>
    <s v="2"/>
    <s v="2025-02-05"/>
    <d v="1899-12-30T09:10:44"/>
    <x v="1"/>
  </r>
  <r>
    <s v="11"/>
    <s v="card"/>
    <n v="25.96"/>
    <x v="2"/>
    <x v="0"/>
    <x v="5"/>
    <x v="11"/>
    <s v="3"/>
    <s v="2"/>
    <s v="2025-02-05"/>
    <d v="1899-12-30T11:49:36"/>
    <x v="1"/>
  </r>
  <r>
    <s v="11"/>
    <s v="card"/>
    <n v="25.96"/>
    <x v="2"/>
    <x v="0"/>
    <x v="5"/>
    <x v="11"/>
    <s v="3"/>
    <s v="2"/>
    <s v="2025-02-05"/>
    <d v="1899-12-30T11:50:42"/>
    <x v="1"/>
  </r>
  <r>
    <s v="11"/>
    <s v="card"/>
    <n v="25.96"/>
    <x v="2"/>
    <x v="0"/>
    <x v="5"/>
    <x v="11"/>
    <s v="3"/>
    <s v="2"/>
    <s v="2025-02-05"/>
    <d v="1899-12-30T11:51:45"/>
    <x v="1"/>
  </r>
  <r>
    <s v="11"/>
    <s v="card"/>
    <n v="30.86"/>
    <x v="3"/>
    <x v="0"/>
    <x v="5"/>
    <x v="11"/>
    <s v="3"/>
    <s v="2"/>
    <s v="2025-02-05"/>
    <d v="1899-12-30T11:58:36"/>
    <x v="1"/>
  </r>
  <r>
    <s v="12"/>
    <s v="card"/>
    <n v="25.96"/>
    <x v="2"/>
    <x v="1"/>
    <x v="5"/>
    <x v="11"/>
    <s v="3"/>
    <s v="2"/>
    <s v="2025-02-05"/>
    <d v="1899-12-30T12:10:47"/>
    <x v="1"/>
  </r>
  <r>
    <s v="13"/>
    <s v="card"/>
    <n v="25.96"/>
    <x v="2"/>
    <x v="1"/>
    <x v="5"/>
    <x v="11"/>
    <s v="3"/>
    <s v="2"/>
    <s v="2025-02-05"/>
    <d v="1899-12-30T13:20:46"/>
    <x v="1"/>
  </r>
  <r>
    <s v="13"/>
    <s v="card"/>
    <n v="21.06"/>
    <x v="6"/>
    <x v="1"/>
    <x v="5"/>
    <x v="11"/>
    <s v="3"/>
    <s v="2"/>
    <s v="2025-02-05"/>
    <d v="1899-12-30T13:43:43"/>
    <x v="1"/>
  </r>
  <r>
    <s v="13"/>
    <s v="card"/>
    <n v="21.06"/>
    <x v="6"/>
    <x v="1"/>
    <x v="5"/>
    <x v="11"/>
    <s v="3"/>
    <s v="2"/>
    <s v="2025-02-05"/>
    <d v="1899-12-30T13:44:29"/>
    <x v="1"/>
  </r>
  <r>
    <s v="14"/>
    <s v="card"/>
    <n v="35.76"/>
    <x v="7"/>
    <x v="1"/>
    <x v="5"/>
    <x v="11"/>
    <s v="3"/>
    <s v="2"/>
    <s v="2025-02-05"/>
    <d v="1899-12-30T14:57:53"/>
    <x v="1"/>
  </r>
  <r>
    <s v="15"/>
    <s v="card"/>
    <n v="35.76"/>
    <x v="7"/>
    <x v="1"/>
    <x v="5"/>
    <x v="11"/>
    <s v="3"/>
    <s v="2"/>
    <s v="2025-02-05"/>
    <d v="1899-12-30T15:50:59"/>
    <x v="1"/>
  </r>
  <r>
    <s v="16"/>
    <s v="card"/>
    <n v="35.76"/>
    <x v="1"/>
    <x v="1"/>
    <x v="5"/>
    <x v="11"/>
    <s v="3"/>
    <s v="2"/>
    <s v="2025-02-05"/>
    <d v="1899-12-30T16:34:20"/>
    <x v="1"/>
  </r>
  <r>
    <s v="16"/>
    <s v="card"/>
    <n v="35.76"/>
    <x v="0"/>
    <x v="1"/>
    <x v="5"/>
    <x v="11"/>
    <s v="3"/>
    <s v="2"/>
    <s v="2025-02-05"/>
    <d v="1899-12-30T16:35:33"/>
    <x v="1"/>
  </r>
  <r>
    <s v="16"/>
    <s v="card"/>
    <n v="35.76"/>
    <x v="0"/>
    <x v="1"/>
    <x v="5"/>
    <x v="11"/>
    <s v="3"/>
    <s v="2"/>
    <s v="2025-02-05"/>
    <d v="1899-12-30T16:36:34"/>
    <x v="1"/>
  </r>
  <r>
    <s v="16"/>
    <s v="card"/>
    <n v="35.76"/>
    <x v="4"/>
    <x v="1"/>
    <x v="5"/>
    <x v="11"/>
    <s v="3"/>
    <s v="2"/>
    <s v="2025-02-05"/>
    <d v="1899-12-30T16:39:02"/>
    <x v="1"/>
  </r>
  <r>
    <s v="16"/>
    <s v="card"/>
    <n v="35.76"/>
    <x v="1"/>
    <x v="1"/>
    <x v="5"/>
    <x v="11"/>
    <s v="3"/>
    <s v="2"/>
    <s v="2025-02-05"/>
    <d v="1899-12-30T16:41:10"/>
    <x v="1"/>
  </r>
  <r>
    <s v="18"/>
    <s v="card"/>
    <n v="35.76"/>
    <x v="7"/>
    <x v="2"/>
    <x v="5"/>
    <x v="11"/>
    <s v="3"/>
    <s v="2"/>
    <s v="2025-02-05"/>
    <d v="1899-12-30T18:18:34"/>
    <x v="1"/>
  </r>
  <r>
    <s v="18"/>
    <s v="card"/>
    <n v="35.76"/>
    <x v="7"/>
    <x v="2"/>
    <x v="5"/>
    <x v="11"/>
    <s v="3"/>
    <s v="2"/>
    <s v="2025-02-05"/>
    <d v="1899-12-30T18:19:49"/>
    <x v="1"/>
  </r>
  <r>
    <s v="18"/>
    <s v="card"/>
    <n v="35.76"/>
    <x v="4"/>
    <x v="2"/>
    <x v="5"/>
    <x v="11"/>
    <s v="3"/>
    <s v="2"/>
    <s v="2025-02-05"/>
    <d v="1899-12-30T18:20:51"/>
    <x v="1"/>
  </r>
  <r>
    <s v="18"/>
    <s v="card"/>
    <n v="30.86"/>
    <x v="3"/>
    <x v="2"/>
    <x v="5"/>
    <x v="11"/>
    <s v="3"/>
    <s v="2"/>
    <s v="2025-02-05"/>
    <d v="1899-12-30T18:25:29"/>
    <x v="1"/>
  </r>
  <r>
    <s v="18"/>
    <s v="card"/>
    <n v="35.76"/>
    <x v="7"/>
    <x v="2"/>
    <x v="5"/>
    <x v="11"/>
    <s v="3"/>
    <s v="2"/>
    <s v="2025-02-05"/>
    <d v="1899-12-30T18:45:42"/>
    <x v="1"/>
  </r>
  <r>
    <s v="19"/>
    <s v="card"/>
    <n v="35.76"/>
    <x v="1"/>
    <x v="2"/>
    <x v="5"/>
    <x v="11"/>
    <s v="3"/>
    <s v="2"/>
    <s v="2025-02-05"/>
    <d v="1899-12-30T19:06:46"/>
    <x v="1"/>
  </r>
  <r>
    <s v="20"/>
    <s v="card"/>
    <n v="35.76"/>
    <x v="4"/>
    <x v="2"/>
    <x v="5"/>
    <x v="11"/>
    <s v="3"/>
    <s v="2"/>
    <s v="2025-02-05"/>
    <d v="1899-12-30T20:03:21"/>
    <x v="1"/>
  </r>
  <r>
    <s v="7"/>
    <s v="card"/>
    <n v="30.86"/>
    <x v="3"/>
    <x v="0"/>
    <x v="6"/>
    <x v="11"/>
    <s v="4"/>
    <s v="2"/>
    <s v="2025-02-06"/>
    <d v="1899-12-30T07:16:49"/>
    <x v="1"/>
  </r>
  <r>
    <s v="13"/>
    <s v="card"/>
    <n v="25.96"/>
    <x v="2"/>
    <x v="1"/>
    <x v="6"/>
    <x v="11"/>
    <s v="4"/>
    <s v="2"/>
    <s v="2025-02-06"/>
    <d v="1899-12-30T13:59:21"/>
    <x v="1"/>
  </r>
  <r>
    <s v="14"/>
    <s v="card"/>
    <n v="30.86"/>
    <x v="3"/>
    <x v="1"/>
    <x v="6"/>
    <x v="11"/>
    <s v="4"/>
    <s v="2"/>
    <s v="2025-02-06"/>
    <d v="1899-12-30T14:55:32"/>
    <x v="1"/>
  </r>
  <r>
    <s v="14"/>
    <s v="card"/>
    <n v="35.76"/>
    <x v="7"/>
    <x v="1"/>
    <x v="6"/>
    <x v="11"/>
    <s v="4"/>
    <s v="2"/>
    <s v="2025-02-06"/>
    <d v="1899-12-30T14:59:22"/>
    <x v="1"/>
  </r>
  <r>
    <s v="16"/>
    <s v="card"/>
    <n v="35.76"/>
    <x v="4"/>
    <x v="1"/>
    <x v="6"/>
    <x v="11"/>
    <s v="4"/>
    <s v="2"/>
    <s v="2025-02-06"/>
    <d v="1899-12-30T16:14:50"/>
    <x v="1"/>
  </r>
  <r>
    <s v="17"/>
    <s v="card"/>
    <n v="35.76"/>
    <x v="4"/>
    <x v="2"/>
    <x v="6"/>
    <x v="11"/>
    <s v="4"/>
    <s v="2"/>
    <s v="2025-02-06"/>
    <d v="1899-12-30T17:09:46"/>
    <x v="1"/>
  </r>
  <r>
    <s v="17"/>
    <s v="card"/>
    <n v="35.76"/>
    <x v="4"/>
    <x v="2"/>
    <x v="6"/>
    <x v="11"/>
    <s v="4"/>
    <s v="2"/>
    <s v="2025-02-06"/>
    <d v="1899-12-30T17:54:25"/>
    <x v="1"/>
  </r>
  <r>
    <s v="19"/>
    <s v="card"/>
    <n v="35.76"/>
    <x v="7"/>
    <x v="2"/>
    <x v="6"/>
    <x v="11"/>
    <s v="4"/>
    <s v="2"/>
    <s v="2025-02-06"/>
    <d v="1899-12-30T19:53:13"/>
    <x v="1"/>
  </r>
  <r>
    <s v="19"/>
    <s v="card"/>
    <n v="21.06"/>
    <x v="6"/>
    <x v="2"/>
    <x v="6"/>
    <x v="11"/>
    <s v="4"/>
    <s v="2"/>
    <s v="2025-02-06"/>
    <d v="1899-12-30T19:55:07"/>
    <x v="1"/>
  </r>
  <r>
    <s v="20"/>
    <s v="card"/>
    <n v="35.76"/>
    <x v="4"/>
    <x v="2"/>
    <x v="6"/>
    <x v="11"/>
    <s v="4"/>
    <s v="2"/>
    <s v="2025-02-06"/>
    <d v="1899-12-30T20:06:59"/>
    <x v="1"/>
  </r>
  <r>
    <s v="20"/>
    <s v="card"/>
    <n v="35.76"/>
    <x v="4"/>
    <x v="2"/>
    <x v="6"/>
    <x v="11"/>
    <s v="4"/>
    <s v="2"/>
    <s v="2025-02-06"/>
    <d v="1899-12-30T20:07:47"/>
    <x v="1"/>
  </r>
  <r>
    <s v="20"/>
    <s v="card"/>
    <n v="35.76"/>
    <x v="0"/>
    <x v="2"/>
    <x v="6"/>
    <x v="11"/>
    <s v="4"/>
    <s v="2"/>
    <s v="2025-02-06"/>
    <d v="1899-12-30T20:23:14"/>
    <x v="1"/>
  </r>
  <r>
    <s v="8"/>
    <s v="card"/>
    <n v="30.86"/>
    <x v="3"/>
    <x v="0"/>
    <x v="0"/>
    <x v="11"/>
    <s v="5"/>
    <s v="2"/>
    <s v="2025-02-07"/>
    <d v="1899-12-30T08:44:50"/>
    <x v="1"/>
  </r>
  <r>
    <s v="9"/>
    <s v="card"/>
    <n v="30.86"/>
    <x v="3"/>
    <x v="0"/>
    <x v="0"/>
    <x v="11"/>
    <s v="5"/>
    <s v="2"/>
    <s v="2025-02-07"/>
    <d v="1899-12-30T09:07:05"/>
    <x v="1"/>
  </r>
  <r>
    <s v="10"/>
    <s v="card"/>
    <n v="25.96"/>
    <x v="2"/>
    <x v="0"/>
    <x v="0"/>
    <x v="11"/>
    <s v="5"/>
    <s v="2"/>
    <s v="2025-02-07"/>
    <d v="1899-12-30T10:49:23"/>
    <x v="1"/>
  </r>
  <r>
    <s v="12"/>
    <s v="card"/>
    <n v="35.76"/>
    <x v="4"/>
    <x v="1"/>
    <x v="0"/>
    <x v="11"/>
    <s v="5"/>
    <s v="2"/>
    <s v="2025-02-07"/>
    <d v="1899-12-30T12:09:39"/>
    <x v="1"/>
  </r>
  <r>
    <s v="12"/>
    <s v="card"/>
    <n v="30.86"/>
    <x v="3"/>
    <x v="1"/>
    <x v="0"/>
    <x v="11"/>
    <s v="5"/>
    <s v="2"/>
    <s v="2025-02-07"/>
    <d v="1899-12-30T12:51:22"/>
    <x v="1"/>
  </r>
  <r>
    <s v="12"/>
    <s v="card"/>
    <n v="25.96"/>
    <x v="2"/>
    <x v="1"/>
    <x v="0"/>
    <x v="11"/>
    <s v="5"/>
    <s v="2"/>
    <s v="2025-02-07"/>
    <d v="1899-12-30T12:58:52"/>
    <x v="1"/>
  </r>
  <r>
    <s v="16"/>
    <s v="card"/>
    <n v="25.96"/>
    <x v="5"/>
    <x v="1"/>
    <x v="0"/>
    <x v="11"/>
    <s v="5"/>
    <s v="2"/>
    <s v="2025-02-07"/>
    <d v="1899-12-30T16:04:11"/>
    <x v="1"/>
  </r>
  <r>
    <s v="16"/>
    <s v="card"/>
    <n v="35.76"/>
    <x v="0"/>
    <x v="1"/>
    <x v="0"/>
    <x v="11"/>
    <s v="5"/>
    <s v="2"/>
    <s v="2025-02-07"/>
    <d v="1899-12-30T16:22:13"/>
    <x v="1"/>
  </r>
  <r>
    <s v="16"/>
    <s v="card"/>
    <n v="35.76"/>
    <x v="1"/>
    <x v="1"/>
    <x v="0"/>
    <x v="11"/>
    <s v="5"/>
    <s v="2"/>
    <s v="2025-02-07"/>
    <d v="1899-12-30T16:23:14"/>
    <x v="1"/>
  </r>
  <r>
    <s v="16"/>
    <s v="card"/>
    <n v="35.76"/>
    <x v="0"/>
    <x v="1"/>
    <x v="0"/>
    <x v="11"/>
    <s v="5"/>
    <s v="2"/>
    <s v="2025-02-07"/>
    <d v="1899-12-30T16:24:35"/>
    <x v="1"/>
  </r>
  <r>
    <s v="18"/>
    <s v="card"/>
    <n v="35.76"/>
    <x v="4"/>
    <x v="2"/>
    <x v="0"/>
    <x v="11"/>
    <s v="5"/>
    <s v="2"/>
    <s v="2025-02-07"/>
    <d v="1899-12-30T18:42:37"/>
    <x v="1"/>
  </r>
  <r>
    <s v="18"/>
    <s v="card"/>
    <n v="35.76"/>
    <x v="4"/>
    <x v="2"/>
    <x v="0"/>
    <x v="11"/>
    <s v="5"/>
    <s v="2"/>
    <s v="2025-02-07"/>
    <d v="1899-12-30T18:43:36"/>
    <x v="1"/>
  </r>
  <r>
    <s v="18"/>
    <s v="card"/>
    <n v="25.96"/>
    <x v="5"/>
    <x v="2"/>
    <x v="0"/>
    <x v="11"/>
    <s v="5"/>
    <s v="2"/>
    <s v="2025-02-07"/>
    <d v="1899-12-30T18:44:31"/>
    <x v="1"/>
  </r>
  <r>
    <s v="18"/>
    <s v="card"/>
    <n v="35.76"/>
    <x v="4"/>
    <x v="2"/>
    <x v="0"/>
    <x v="11"/>
    <s v="5"/>
    <s v="2"/>
    <s v="2025-02-07"/>
    <d v="1899-12-30T18:45:23"/>
    <x v="1"/>
  </r>
  <r>
    <s v="20"/>
    <s v="card"/>
    <n v="35.76"/>
    <x v="4"/>
    <x v="2"/>
    <x v="0"/>
    <x v="11"/>
    <s v="5"/>
    <s v="2"/>
    <s v="2025-02-07"/>
    <d v="1899-12-30T20:10:59"/>
    <x v="1"/>
  </r>
  <r>
    <s v="20"/>
    <s v="card"/>
    <n v="25.96"/>
    <x v="5"/>
    <x v="2"/>
    <x v="0"/>
    <x v="11"/>
    <s v="5"/>
    <s v="2"/>
    <s v="2025-02-07"/>
    <d v="1899-12-30T20:30:57"/>
    <x v="1"/>
  </r>
  <r>
    <s v="9"/>
    <s v="card"/>
    <n v="25.96"/>
    <x v="2"/>
    <x v="0"/>
    <x v="1"/>
    <x v="11"/>
    <s v="6"/>
    <s v="2"/>
    <s v="2025-02-08"/>
    <d v="1899-12-30T09:01:43"/>
    <x v="1"/>
  </r>
  <r>
    <s v="10"/>
    <s v="card"/>
    <n v="30.86"/>
    <x v="3"/>
    <x v="0"/>
    <x v="1"/>
    <x v="11"/>
    <s v="6"/>
    <s v="2"/>
    <s v="2025-02-08"/>
    <d v="1899-12-30T10:56:17"/>
    <x v="1"/>
  </r>
  <r>
    <s v="11"/>
    <s v="card"/>
    <n v="25.96"/>
    <x v="5"/>
    <x v="0"/>
    <x v="1"/>
    <x v="11"/>
    <s v="6"/>
    <s v="2"/>
    <s v="2025-02-08"/>
    <d v="1899-12-30T11:02:41"/>
    <x v="1"/>
  </r>
  <r>
    <s v="11"/>
    <s v="card"/>
    <n v="25.96"/>
    <x v="2"/>
    <x v="0"/>
    <x v="1"/>
    <x v="11"/>
    <s v="6"/>
    <s v="2"/>
    <s v="2025-02-08"/>
    <d v="1899-12-30T11:39:34"/>
    <x v="1"/>
  </r>
  <r>
    <s v="12"/>
    <s v="card"/>
    <n v="25.96"/>
    <x v="2"/>
    <x v="1"/>
    <x v="1"/>
    <x v="11"/>
    <s v="6"/>
    <s v="2"/>
    <s v="2025-02-08"/>
    <d v="1899-12-30T12:46:13"/>
    <x v="1"/>
  </r>
  <r>
    <s v="13"/>
    <s v="card"/>
    <n v="25.96"/>
    <x v="2"/>
    <x v="1"/>
    <x v="1"/>
    <x v="11"/>
    <s v="6"/>
    <s v="2"/>
    <s v="2025-02-08"/>
    <d v="1899-12-30T13:26:48"/>
    <x v="1"/>
  </r>
  <r>
    <s v="15"/>
    <s v="card"/>
    <n v="25.96"/>
    <x v="2"/>
    <x v="1"/>
    <x v="1"/>
    <x v="11"/>
    <s v="6"/>
    <s v="2"/>
    <s v="2025-02-08"/>
    <d v="1899-12-30T15:07:04"/>
    <x v="1"/>
  </r>
  <r>
    <s v="15"/>
    <s v="card"/>
    <n v="25.96"/>
    <x v="2"/>
    <x v="1"/>
    <x v="1"/>
    <x v="11"/>
    <s v="6"/>
    <s v="2"/>
    <s v="2025-02-08"/>
    <d v="1899-12-30T15:08:09"/>
    <x v="1"/>
  </r>
  <r>
    <s v="8"/>
    <s v="card"/>
    <n v="35.76"/>
    <x v="4"/>
    <x v="0"/>
    <x v="2"/>
    <x v="11"/>
    <s v="7"/>
    <s v="2"/>
    <s v="2025-02-09"/>
    <d v="1899-12-30T08:49:24"/>
    <x v="1"/>
  </r>
  <r>
    <s v="10"/>
    <s v="card"/>
    <n v="30.86"/>
    <x v="3"/>
    <x v="0"/>
    <x v="2"/>
    <x v="11"/>
    <s v="7"/>
    <s v="2"/>
    <s v="2025-02-09"/>
    <d v="1899-12-30T10:31:09"/>
    <x v="1"/>
  </r>
  <r>
    <s v="10"/>
    <s v="card"/>
    <n v="25.96"/>
    <x v="2"/>
    <x v="0"/>
    <x v="2"/>
    <x v="11"/>
    <s v="7"/>
    <s v="2"/>
    <s v="2025-02-09"/>
    <d v="1899-12-30T10:51:28"/>
    <x v="1"/>
  </r>
  <r>
    <s v="12"/>
    <s v="card"/>
    <n v="35.76"/>
    <x v="0"/>
    <x v="1"/>
    <x v="2"/>
    <x v="11"/>
    <s v="7"/>
    <s v="2"/>
    <s v="2025-02-09"/>
    <d v="1899-12-30T12:05:05"/>
    <x v="1"/>
  </r>
  <r>
    <s v="15"/>
    <s v="card"/>
    <n v="35.76"/>
    <x v="4"/>
    <x v="1"/>
    <x v="2"/>
    <x v="11"/>
    <s v="7"/>
    <s v="2"/>
    <s v="2025-02-09"/>
    <d v="1899-12-30T15:13:09"/>
    <x v="1"/>
  </r>
  <r>
    <s v="15"/>
    <s v="card"/>
    <n v="35.76"/>
    <x v="0"/>
    <x v="1"/>
    <x v="2"/>
    <x v="11"/>
    <s v="7"/>
    <s v="2"/>
    <s v="2025-02-09"/>
    <d v="1899-12-30T15:14:02"/>
    <x v="1"/>
  </r>
  <r>
    <s v="15"/>
    <s v="card"/>
    <n v="35.76"/>
    <x v="1"/>
    <x v="1"/>
    <x v="2"/>
    <x v="11"/>
    <s v="7"/>
    <s v="2"/>
    <s v="2025-02-09"/>
    <d v="1899-12-30T15:15:58"/>
    <x v="1"/>
  </r>
  <r>
    <s v="15"/>
    <s v="card"/>
    <n v="35.76"/>
    <x v="4"/>
    <x v="1"/>
    <x v="2"/>
    <x v="11"/>
    <s v="7"/>
    <s v="2"/>
    <s v="2025-02-09"/>
    <d v="1899-12-30T15:16:52"/>
    <x v="1"/>
  </r>
  <r>
    <s v="16"/>
    <s v="card"/>
    <n v="25.96"/>
    <x v="5"/>
    <x v="1"/>
    <x v="2"/>
    <x v="11"/>
    <s v="7"/>
    <s v="2"/>
    <s v="2025-02-09"/>
    <d v="1899-12-30T16:20:19"/>
    <x v="1"/>
  </r>
  <r>
    <s v="7"/>
    <s v="card"/>
    <n v="25.96"/>
    <x v="2"/>
    <x v="0"/>
    <x v="3"/>
    <x v="11"/>
    <s v="1"/>
    <s v="2"/>
    <s v="2025-02-10"/>
    <d v="1899-12-30T07:01:47"/>
    <x v="1"/>
  </r>
  <r>
    <s v="8"/>
    <s v="card"/>
    <n v="25.96"/>
    <x v="2"/>
    <x v="0"/>
    <x v="3"/>
    <x v="11"/>
    <s v="1"/>
    <s v="2"/>
    <s v="2025-02-10"/>
    <d v="1899-12-30T08:16:32"/>
    <x v="1"/>
  </r>
  <r>
    <s v="8"/>
    <s v="card"/>
    <n v="25.96"/>
    <x v="2"/>
    <x v="0"/>
    <x v="3"/>
    <x v="11"/>
    <s v="1"/>
    <s v="2"/>
    <s v="2025-02-10"/>
    <d v="1899-12-30T08:24:56"/>
    <x v="1"/>
  </r>
  <r>
    <s v="11"/>
    <s v="card"/>
    <n v="30.86"/>
    <x v="3"/>
    <x v="0"/>
    <x v="3"/>
    <x v="11"/>
    <s v="1"/>
    <s v="2"/>
    <s v="2025-02-10"/>
    <d v="1899-12-30T11:11:43"/>
    <x v="1"/>
  </r>
  <r>
    <s v="13"/>
    <s v="card"/>
    <n v="25.96"/>
    <x v="2"/>
    <x v="1"/>
    <x v="3"/>
    <x v="11"/>
    <s v="1"/>
    <s v="2"/>
    <s v="2025-02-10"/>
    <d v="1899-12-30T13:08:50"/>
    <x v="1"/>
  </r>
  <r>
    <s v="13"/>
    <s v="card"/>
    <n v="35.76"/>
    <x v="4"/>
    <x v="1"/>
    <x v="3"/>
    <x v="11"/>
    <s v="1"/>
    <s v="2"/>
    <s v="2025-02-10"/>
    <d v="1899-12-30T13:11:06"/>
    <x v="1"/>
  </r>
  <r>
    <s v="13"/>
    <s v="card"/>
    <n v="30.86"/>
    <x v="3"/>
    <x v="1"/>
    <x v="3"/>
    <x v="11"/>
    <s v="1"/>
    <s v="2"/>
    <s v="2025-02-10"/>
    <d v="1899-12-30T13:26:55"/>
    <x v="1"/>
  </r>
  <r>
    <s v="13"/>
    <s v="card"/>
    <n v="25.96"/>
    <x v="2"/>
    <x v="1"/>
    <x v="3"/>
    <x v="11"/>
    <s v="1"/>
    <s v="2"/>
    <s v="2025-02-10"/>
    <d v="1899-12-30T13:40:13"/>
    <x v="1"/>
  </r>
  <r>
    <s v="14"/>
    <s v="card"/>
    <n v="35.76"/>
    <x v="0"/>
    <x v="1"/>
    <x v="3"/>
    <x v="11"/>
    <s v="1"/>
    <s v="2"/>
    <s v="2025-02-10"/>
    <d v="1899-12-30T14:01:52"/>
    <x v="1"/>
  </r>
  <r>
    <s v="14"/>
    <s v="card"/>
    <n v="25.96"/>
    <x v="2"/>
    <x v="1"/>
    <x v="3"/>
    <x v="11"/>
    <s v="1"/>
    <s v="2"/>
    <s v="2025-02-10"/>
    <d v="1899-12-30T14:07:41"/>
    <x v="1"/>
  </r>
  <r>
    <s v="14"/>
    <s v="card"/>
    <n v="35.76"/>
    <x v="4"/>
    <x v="1"/>
    <x v="3"/>
    <x v="11"/>
    <s v="1"/>
    <s v="2"/>
    <s v="2025-02-10"/>
    <d v="1899-12-30T14:11:46"/>
    <x v="1"/>
  </r>
  <r>
    <s v="14"/>
    <s v="card"/>
    <n v="35.76"/>
    <x v="4"/>
    <x v="1"/>
    <x v="3"/>
    <x v="11"/>
    <s v="1"/>
    <s v="2"/>
    <s v="2025-02-10"/>
    <d v="1899-12-30T14:15:45"/>
    <x v="1"/>
  </r>
  <r>
    <s v="15"/>
    <s v="card"/>
    <n v="35.76"/>
    <x v="7"/>
    <x v="1"/>
    <x v="3"/>
    <x v="11"/>
    <s v="1"/>
    <s v="2"/>
    <s v="2025-02-10"/>
    <d v="1899-12-30T15:01:55"/>
    <x v="1"/>
  </r>
  <r>
    <s v="15"/>
    <s v="card"/>
    <n v="30.86"/>
    <x v="3"/>
    <x v="1"/>
    <x v="3"/>
    <x v="11"/>
    <s v="1"/>
    <s v="2"/>
    <s v="2025-02-10"/>
    <d v="1899-12-30T15:14:01"/>
    <x v="1"/>
  </r>
  <r>
    <s v="15"/>
    <s v="card"/>
    <n v="35.76"/>
    <x v="0"/>
    <x v="1"/>
    <x v="3"/>
    <x v="11"/>
    <s v="1"/>
    <s v="2"/>
    <s v="2025-02-10"/>
    <d v="1899-12-30T15:46:03"/>
    <x v="1"/>
  </r>
  <r>
    <s v="15"/>
    <s v="card"/>
    <n v="35.76"/>
    <x v="1"/>
    <x v="1"/>
    <x v="3"/>
    <x v="11"/>
    <s v="1"/>
    <s v="2"/>
    <s v="2025-02-10"/>
    <d v="1899-12-30T15:47:44"/>
    <x v="1"/>
  </r>
  <r>
    <s v="16"/>
    <s v="card"/>
    <n v="35.76"/>
    <x v="4"/>
    <x v="1"/>
    <x v="3"/>
    <x v="11"/>
    <s v="1"/>
    <s v="2"/>
    <s v="2025-02-10"/>
    <d v="1899-12-30T16:20:55"/>
    <x v="1"/>
  </r>
  <r>
    <s v="17"/>
    <s v="card"/>
    <n v="25.96"/>
    <x v="2"/>
    <x v="2"/>
    <x v="3"/>
    <x v="11"/>
    <s v="1"/>
    <s v="2"/>
    <s v="2025-02-10"/>
    <d v="1899-12-30T17:12:02"/>
    <x v="1"/>
  </r>
  <r>
    <s v="18"/>
    <s v="card"/>
    <n v="30.86"/>
    <x v="3"/>
    <x v="2"/>
    <x v="3"/>
    <x v="11"/>
    <s v="1"/>
    <s v="2"/>
    <s v="2025-02-10"/>
    <d v="1899-12-30T18:27:15"/>
    <x v="1"/>
  </r>
  <r>
    <s v="19"/>
    <s v="card"/>
    <n v="35.76"/>
    <x v="0"/>
    <x v="2"/>
    <x v="3"/>
    <x v="11"/>
    <s v="1"/>
    <s v="2"/>
    <s v="2025-02-10"/>
    <d v="1899-12-30T19:14:01"/>
    <x v="1"/>
  </r>
  <r>
    <s v="19"/>
    <s v="card"/>
    <n v="35.76"/>
    <x v="0"/>
    <x v="2"/>
    <x v="3"/>
    <x v="11"/>
    <s v="1"/>
    <s v="2"/>
    <s v="2025-02-10"/>
    <d v="1899-12-30T19:14:54"/>
    <x v="1"/>
  </r>
  <r>
    <s v="10"/>
    <s v="card"/>
    <n v="25.96"/>
    <x v="2"/>
    <x v="0"/>
    <x v="4"/>
    <x v="11"/>
    <s v="2"/>
    <s v="2"/>
    <s v="2025-02-11"/>
    <d v="1899-12-30T10:38:26"/>
    <x v="1"/>
  </r>
  <r>
    <s v="11"/>
    <s v="card"/>
    <n v="25.96"/>
    <x v="2"/>
    <x v="0"/>
    <x v="4"/>
    <x v="11"/>
    <s v="2"/>
    <s v="2"/>
    <s v="2025-02-11"/>
    <d v="1899-12-30T11:19:15"/>
    <x v="1"/>
  </r>
  <r>
    <s v="11"/>
    <s v="card"/>
    <n v="30.86"/>
    <x v="3"/>
    <x v="0"/>
    <x v="4"/>
    <x v="11"/>
    <s v="2"/>
    <s v="2"/>
    <s v="2025-02-11"/>
    <d v="1899-12-30T11:20:12"/>
    <x v="1"/>
  </r>
  <r>
    <s v="11"/>
    <s v="card"/>
    <n v="35.76"/>
    <x v="4"/>
    <x v="0"/>
    <x v="4"/>
    <x v="11"/>
    <s v="2"/>
    <s v="2"/>
    <s v="2025-02-11"/>
    <d v="1899-12-30T11:21:08"/>
    <x v="1"/>
  </r>
  <r>
    <s v="15"/>
    <s v="card"/>
    <n v="35.76"/>
    <x v="1"/>
    <x v="1"/>
    <x v="4"/>
    <x v="11"/>
    <s v="2"/>
    <s v="2"/>
    <s v="2025-02-11"/>
    <d v="1899-12-30T15:56:50"/>
    <x v="1"/>
  </r>
  <r>
    <s v="16"/>
    <s v="card"/>
    <n v="30.86"/>
    <x v="3"/>
    <x v="1"/>
    <x v="4"/>
    <x v="11"/>
    <s v="2"/>
    <s v="2"/>
    <s v="2025-02-11"/>
    <d v="1899-12-30T16:09:08"/>
    <x v="1"/>
  </r>
  <r>
    <s v="16"/>
    <s v="card"/>
    <n v="21.06"/>
    <x v="6"/>
    <x v="1"/>
    <x v="4"/>
    <x v="11"/>
    <s v="2"/>
    <s v="2"/>
    <s v="2025-02-11"/>
    <d v="1899-12-30T16:49:41"/>
    <x v="1"/>
  </r>
  <r>
    <s v="17"/>
    <s v="card"/>
    <n v="35.76"/>
    <x v="0"/>
    <x v="2"/>
    <x v="4"/>
    <x v="11"/>
    <s v="2"/>
    <s v="2"/>
    <s v="2025-02-11"/>
    <d v="1899-12-30T17:35:35"/>
    <x v="1"/>
  </r>
  <r>
    <s v="17"/>
    <s v="card"/>
    <n v="30.86"/>
    <x v="3"/>
    <x v="2"/>
    <x v="4"/>
    <x v="11"/>
    <s v="2"/>
    <s v="2"/>
    <s v="2025-02-11"/>
    <d v="1899-12-30T17:36:42"/>
    <x v="1"/>
  </r>
  <r>
    <s v="17"/>
    <s v="card"/>
    <n v="30.86"/>
    <x v="3"/>
    <x v="2"/>
    <x v="4"/>
    <x v="11"/>
    <s v="2"/>
    <s v="2"/>
    <s v="2025-02-11"/>
    <d v="1899-12-30T17:44:13"/>
    <x v="1"/>
  </r>
  <r>
    <s v="17"/>
    <s v="card"/>
    <n v="25.96"/>
    <x v="2"/>
    <x v="2"/>
    <x v="4"/>
    <x v="11"/>
    <s v="2"/>
    <s v="2"/>
    <s v="2025-02-11"/>
    <d v="1899-12-30T17:50:40"/>
    <x v="1"/>
  </r>
  <r>
    <s v="17"/>
    <s v="card"/>
    <n v="30.86"/>
    <x v="3"/>
    <x v="2"/>
    <x v="4"/>
    <x v="11"/>
    <s v="2"/>
    <s v="2"/>
    <s v="2025-02-11"/>
    <d v="1899-12-30T17:54:38"/>
    <x v="1"/>
  </r>
  <r>
    <s v="19"/>
    <s v="card"/>
    <n v="35.76"/>
    <x v="0"/>
    <x v="2"/>
    <x v="4"/>
    <x v="11"/>
    <s v="2"/>
    <s v="2"/>
    <s v="2025-02-11"/>
    <d v="1899-12-30T19:04:11"/>
    <x v="1"/>
  </r>
  <r>
    <s v="19"/>
    <s v="card"/>
    <n v="35.76"/>
    <x v="4"/>
    <x v="2"/>
    <x v="4"/>
    <x v="11"/>
    <s v="2"/>
    <s v="2"/>
    <s v="2025-02-11"/>
    <d v="1899-12-30T19:05:04"/>
    <x v="1"/>
  </r>
  <r>
    <s v="7"/>
    <s v="card"/>
    <n v="35.76"/>
    <x v="7"/>
    <x v="0"/>
    <x v="5"/>
    <x v="11"/>
    <s v="3"/>
    <s v="2"/>
    <s v="2025-02-12"/>
    <d v="1899-12-30T07:16:57"/>
    <x v="1"/>
  </r>
  <r>
    <s v="7"/>
    <s v="card"/>
    <n v="25.96"/>
    <x v="2"/>
    <x v="0"/>
    <x v="5"/>
    <x v="11"/>
    <s v="3"/>
    <s v="2"/>
    <s v="2025-02-12"/>
    <d v="1899-12-30T07:35:38"/>
    <x v="1"/>
  </r>
  <r>
    <s v="8"/>
    <s v="card"/>
    <n v="35.76"/>
    <x v="4"/>
    <x v="0"/>
    <x v="5"/>
    <x v="11"/>
    <s v="3"/>
    <s v="2"/>
    <s v="2025-02-12"/>
    <d v="1899-12-30T08:54:36"/>
    <x v="1"/>
  </r>
  <r>
    <s v="9"/>
    <s v="card"/>
    <n v="30.86"/>
    <x v="3"/>
    <x v="0"/>
    <x v="5"/>
    <x v="11"/>
    <s v="3"/>
    <s v="2"/>
    <s v="2025-02-12"/>
    <d v="1899-12-30T09:19:46"/>
    <x v="1"/>
  </r>
  <r>
    <s v="10"/>
    <s v="card"/>
    <n v="25.96"/>
    <x v="2"/>
    <x v="0"/>
    <x v="5"/>
    <x v="11"/>
    <s v="3"/>
    <s v="2"/>
    <s v="2025-02-12"/>
    <d v="1899-12-30T10:43:13"/>
    <x v="1"/>
  </r>
  <r>
    <s v="12"/>
    <s v="card"/>
    <n v="25.96"/>
    <x v="2"/>
    <x v="1"/>
    <x v="5"/>
    <x v="11"/>
    <s v="3"/>
    <s v="2"/>
    <s v="2025-02-12"/>
    <d v="1899-12-30T12:43:29"/>
    <x v="1"/>
  </r>
  <r>
    <s v="13"/>
    <s v="card"/>
    <n v="25.96"/>
    <x v="2"/>
    <x v="1"/>
    <x v="5"/>
    <x v="11"/>
    <s v="3"/>
    <s v="2"/>
    <s v="2025-02-12"/>
    <d v="1899-12-30T13:08:09"/>
    <x v="1"/>
  </r>
  <r>
    <s v="13"/>
    <s v="card"/>
    <n v="35.76"/>
    <x v="1"/>
    <x v="1"/>
    <x v="5"/>
    <x v="11"/>
    <s v="3"/>
    <s v="2"/>
    <s v="2025-02-12"/>
    <d v="1899-12-30T13:41:40"/>
    <x v="1"/>
  </r>
  <r>
    <s v="15"/>
    <s v="card"/>
    <n v="35.76"/>
    <x v="1"/>
    <x v="1"/>
    <x v="5"/>
    <x v="11"/>
    <s v="3"/>
    <s v="2"/>
    <s v="2025-02-12"/>
    <d v="1899-12-30T15:41:25"/>
    <x v="1"/>
  </r>
  <r>
    <s v="15"/>
    <s v="card"/>
    <n v="35.76"/>
    <x v="0"/>
    <x v="1"/>
    <x v="5"/>
    <x v="11"/>
    <s v="3"/>
    <s v="2"/>
    <s v="2025-02-12"/>
    <d v="1899-12-30T15:42:17"/>
    <x v="1"/>
  </r>
  <r>
    <s v="15"/>
    <s v="card"/>
    <n v="35.76"/>
    <x v="1"/>
    <x v="1"/>
    <x v="5"/>
    <x v="11"/>
    <s v="3"/>
    <s v="2"/>
    <s v="2025-02-12"/>
    <d v="1899-12-30T15:43:35"/>
    <x v="1"/>
  </r>
  <r>
    <s v="16"/>
    <s v="card"/>
    <n v="25.96"/>
    <x v="2"/>
    <x v="1"/>
    <x v="5"/>
    <x v="11"/>
    <s v="3"/>
    <s v="2"/>
    <s v="2025-02-12"/>
    <d v="1899-12-30T16:12:58"/>
    <x v="1"/>
  </r>
  <r>
    <s v="16"/>
    <s v="card"/>
    <n v="25.96"/>
    <x v="2"/>
    <x v="1"/>
    <x v="5"/>
    <x v="11"/>
    <s v="3"/>
    <s v="2"/>
    <s v="2025-02-12"/>
    <d v="1899-12-30T16:26:09"/>
    <x v="1"/>
  </r>
  <r>
    <s v="17"/>
    <s v="card"/>
    <n v="35.76"/>
    <x v="7"/>
    <x v="2"/>
    <x v="5"/>
    <x v="11"/>
    <s v="3"/>
    <s v="2"/>
    <s v="2025-02-12"/>
    <d v="1899-12-30T17:05:32"/>
    <x v="1"/>
  </r>
  <r>
    <s v="17"/>
    <s v="card"/>
    <n v="25.96"/>
    <x v="2"/>
    <x v="2"/>
    <x v="5"/>
    <x v="11"/>
    <s v="3"/>
    <s v="2"/>
    <s v="2025-02-12"/>
    <d v="1899-12-30T17:42:51"/>
    <x v="1"/>
  </r>
  <r>
    <s v="20"/>
    <s v="card"/>
    <n v="35.76"/>
    <x v="0"/>
    <x v="2"/>
    <x v="5"/>
    <x v="11"/>
    <s v="3"/>
    <s v="2"/>
    <s v="2025-02-12"/>
    <d v="1899-12-30T20:05:41"/>
    <x v="1"/>
  </r>
  <r>
    <s v="20"/>
    <s v="card"/>
    <n v="35.76"/>
    <x v="4"/>
    <x v="2"/>
    <x v="5"/>
    <x v="11"/>
    <s v="3"/>
    <s v="2"/>
    <s v="2025-02-12"/>
    <d v="1899-12-30T20:23:13"/>
    <x v="1"/>
  </r>
  <r>
    <s v="21"/>
    <s v="card"/>
    <n v="35.76"/>
    <x v="7"/>
    <x v="2"/>
    <x v="5"/>
    <x v="11"/>
    <s v="3"/>
    <s v="2"/>
    <s v="2025-02-12"/>
    <d v="1899-12-30T21:17:04"/>
    <x v="1"/>
  </r>
  <r>
    <s v="7"/>
    <s v="card"/>
    <n v="30.86"/>
    <x v="3"/>
    <x v="0"/>
    <x v="6"/>
    <x v="11"/>
    <s v="4"/>
    <s v="2"/>
    <s v="2025-02-13"/>
    <d v="1899-12-30T07:38:48"/>
    <x v="1"/>
  </r>
  <r>
    <s v="8"/>
    <s v="card"/>
    <n v="25.96"/>
    <x v="2"/>
    <x v="0"/>
    <x v="6"/>
    <x v="11"/>
    <s v="4"/>
    <s v="2"/>
    <s v="2025-02-13"/>
    <d v="1899-12-30T08:45:57"/>
    <x v="1"/>
  </r>
  <r>
    <s v="9"/>
    <s v="card"/>
    <n v="21.06"/>
    <x v="6"/>
    <x v="0"/>
    <x v="6"/>
    <x v="11"/>
    <s v="4"/>
    <s v="2"/>
    <s v="2025-02-13"/>
    <d v="1899-12-30T09:17:21"/>
    <x v="1"/>
  </r>
  <r>
    <s v="9"/>
    <s v="card"/>
    <n v="35.76"/>
    <x v="4"/>
    <x v="0"/>
    <x v="6"/>
    <x v="11"/>
    <s v="4"/>
    <s v="2"/>
    <s v="2025-02-13"/>
    <d v="1899-12-30T09:36:05"/>
    <x v="1"/>
  </r>
  <r>
    <s v="10"/>
    <s v="card"/>
    <n v="30.86"/>
    <x v="3"/>
    <x v="0"/>
    <x v="6"/>
    <x v="11"/>
    <s v="4"/>
    <s v="2"/>
    <s v="2025-02-13"/>
    <d v="1899-12-30T10:29:33"/>
    <x v="1"/>
  </r>
  <r>
    <s v="10"/>
    <s v="card"/>
    <n v="30.86"/>
    <x v="3"/>
    <x v="0"/>
    <x v="6"/>
    <x v="11"/>
    <s v="4"/>
    <s v="2"/>
    <s v="2025-02-13"/>
    <d v="1899-12-30T10:59:27"/>
    <x v="1"/>
  </r>
  <r>
    <s v="16"/>
    <s v="card"/>
    <n v="25.96"/>
    <x v="2"/>
    <x v="1"/>
    <x v="6"/>
    <x v="11"/>
    <s v="4"/>
    <s v="2"/>
    <s v="2025-02-13"/>
    <d v="1899-12-30T16:30:39"/>
    <x v="1"/>
  </r>
  <r>
    <s v="16"/>
    <s v="card"/>
    <n v="25.96"/>
    <x v="2"/>
    <x v="1"/>
    <x v="6"/>
    <x v="11"/>
    <s v="4"/>
    <s v="2"/>
    <s v="2025-02-13"/>
    <d v="1899-12-30T16:31:34"/>
    <x v="1"/>
  </r>
  <r>
    <s v="17"/>
    <s v="card"/>
    <n v="30.86"/>
    <x v="3"/>
    <x v="2"/>
    <x v="6"/>
    <x v="11"/>
    <s v="4"/>
    <s v="2"/>
    <s v="2025-02-13"/>
    <d v="1899-12-30T17:16:12"/>
    <x v="1"/>
  </r>
  <r>
    <s v="17"/>
    <s v="card"/>
    <n v="30.86"/>
    <x v="3"/>
    <x v="2"/>
    <x v="6"/>
    <x v="11"/>
    <s v="4"/>
    <s v="2"/>
    <s v="2025-02-13"/>
    <d v="1899-12-30T17:17:20"/>
    <x v="1"/>
  </r>
  <r>
    <s v="18"/>
    <s v="card"/>
    <n v="35.76"/>
    <x v="0"/>
    <x v="2"/>
    <x v="6"/>
    <x v="11"/>
    <s v="4"/>
    <s v="2"/>
    <s v="2025-02-13"/>
    <d v="1899-12-30T18:01:35"/>
    <x v="1"/>
  </r>
  <r>
    <s v="18"/>
    <s v="card"/>
    <n v="35.76"/>
    <x v="7"/>
    <x v="2"/>
    <x v="6"/>
    <x v="11"/>
    <s v="4"/>
    <s v="2"/>
    <s v="2025-02-13"/>
    <d v="1899-12-30T18:15:09"/>
    <x v="1"/>
  </r>
  <r>
    <s v="19"/>
    <s v="card"/>
    <n v="35.76"/>
    <x v="0"/>
    <x v="2"/>
    <x v="6"/>
    <x v="11"/>
    <s v="4"/>
    <s v="2"/>
    <s v="2025-02-13"/>
    <d v="1899-12-30T19:06:30"/>
    <x v="1"/>
  </r>
  <r>
    <s v="11"/>
    <s v="card"/>
    <n v="25.96"/>
    <x v="2"/>
    <x v="0"/>
    <x v="0"/>
    <x v="11"/>
    <s v="5"/>
    <s v="2"/>
    <s v="2025-02-14"/>
    <d v="1899-12-30T11:38:56"/>
    <x v="1"/>
  </r>
  <r>
    <s v="14"/>
    <s v="card"/>
    <n v="35.76"/>
    <x v="1"/>
    <x v="1"/>
    <x v="0"/>
    <x v="11"/>
    <s v="5"/>
    <s v="2"/>
    <s v="2025-02-14"/>
    <d v="1899-12-30T14:07:09"/>
    <x v="1"/>
  </r>
  <r>
    <s v="14"/>
    <s v="card"/>
    <n v="25.96"/>
    <x v="2"/>
    <x v="1"/>
    <x v="0"/>
    <x v="11"/>
    <s v="5"/>
    <s v="2"/>
    <s v="2025-02-14"/>
    <d v="1899-12-30T14:46:00"/>
    <x v="1"/>
  </r>
  <r>
    <s v="14"/>
    <s v="card"/>
    <n v="21.06"/>
    <x v="6"/>
    <x v="1"/>
    <x v="0"/>
    <x v="11"/>
    <s v="5"/>
    <s v="2"/>
    <s v="2025-02-14"/>
    <d v="1899-12-30T14:46:45"/>
    <x v="1"/>
  </r>
  <r>
    <s v="14"/>
    <s v="card"/>
    <n v="30.86"/>
    <x v="3"/>
    <x v="1"/>
    <x v="0"/>
    <x v="11"/>
    <s v="5"/>
    <s v="2"/>
    <s v="2025-02-14"/>
    <d v="1899-12-30T14:58:12"/>
    <x v="1"/>
  </r>
  <r>
    <s v="15"/>
    <s v="card"/>
    <n v="35.76"/>
    <x v="7"/>
    <x v="1"/>
    <x v="0"/>
    <x v="11"/>
    <s v="5"/>
    <s v="2"/>
    <s v="2025-02-14"/>
    <d v="1899-12-30T15:00:17"/>
    <x v="1"/>
  </r>
  <r>
    <s v="15"/>
    <s v="card"/>
    <n v="35.76"/>
    <x v="7"/>
    <x v="1"/>
    <x v="0"/>
    <x v="11"/>
    <s v="5"/>
    <s v="2"/>
    <s v="2025-02-14"/>
    <d v="1899-12-30T15:36:41"/>
    <x v="1"/>
  </r>
  <r>
    <s v="15"/>
    <s v="card"/>
    <n v="35.76"/>
    <x v="0"/>
    <x v="1"/>
    <x v="0"/>
    <x v="11"/>
    <s v="5"/>
    <s v="2"/>
    <s v="2025-02-14"/>
    <d v="1899-12-30T15:38:47"/>
    <x v="1"/>
  </r>
  <r>
    <s v="15"/>
    <s v="card"/>
    <n v="35.76"/>
    <x v="1"/>
    <x v="1"/>
    <x v="0"/>
    <x v="11"/>
    <s v="5"/>
    <s v="2"/>
    <s v="2025-02-14"/>
    <d v="1899-12-30T15:53:56"/>
    <x v="1"/>
  </r>
  <r>
    <s v="15"/>
    <s v="card"/>
    <n v="35.76"/>
    <x v="7"/>
    <x v="1"/>
    <x v="0"/>
    <x v="11"/>
    <s v="5"/>
    <s v="2"/>
    <s v="2025-02-14"/>
    <d v="1899-12-30T15:54:57"/>
    <x v="1"/>
  </r>
  <r>
    <s v="17"/>
    <s v="card"/>
    <n v="25.96"/>
    <x v="2"/>
    <x v="2"/>
    <x v="0"/>
    <x v="11"/>
    <s v="5"/>
    <s v="2"/>
    <s v="2025-02-14"/>
    <d v="1899-12-30T17:03:16"/>
    <x v="1"/>
  </r>
  <r>
    <s v="17"/>
    <s v="card"/>
    <n v="35.76"/>
    <x v="4"/>
    <x v="2"/>
    <x v="0"/>
    <x v="11"/>
    <s v="5"/>
    <s v="2"/>
    <s v="2025-02-14"/>
    <d v="1899-12-30T17:04:30"/>
    <x v="1"/>
  </r>
  <r>
    <s v="17"/>
    <s v="card"/>
    <n v="21.06"/>
    <x v="6"/>
    <x v="2"/>
    <x v="0"/>
    <x v="11"/>
    <s v="5"/>
    <s v="2"/>
    <s v="2025-02-14"/>
    <d v="1899-12-30T17:09:08"/>
    <x v="1"/>
  </r>
  <r>
    <s v="17"/>
    <s v="card"/>
    <n v="30.86"/>
    <x v="3"/>
    <x v="2"/>
    <x v="0"/>
    <x v="11"/>
    <s v="5"/>
    <s v="2"/>
    <s v="2025-02-14"/>
    <d v="1899-12-30T17:25:25"/>
    <x v="1"/>
  </r>
  <r>
    <s v="21"/>
    <s v="card"/>
    <n v="25.96"/>
    <x v="2"/>
    <x v="2"/>
    <x v="0"/>
    <x v="11"/>
    <s v="5"/>
    <s v="2"/>
    <s v="2025-02-14"/>
    <d v="1899-12-30T21:18:30"/>
    <x v="1"/>
  </r>
  <r>
    <s v="9"/>
    <s v="card"/>
    <n v="35.76"/>
    <x v="7"/>
    <x v="0"/>
    <x v="1"/>
    <x v="11"/>
    <s v="6"/>
    <s v="2"/>
    <s v="2025-02-15"/>
    <d v="1899-12-30T09:22:52"/>
    <x v="1"/>
  </r>
  <r>
    <s v="12"/>
    <s v="card"/>
    <n v="35.76"/>
    <x v="7"/>
    <x v="1"/>
    <x v="1"/>
    <x v="11"/>
    <s v="6"/>
    <s v="2"/>
    <s v="2025-02-15"/>
    <d v="1899-12-30T12:41:54"/>
    <x v="1"/>
  </r>
  <r>
    <s v="12"/>
    <s v="card"/>
    <n v="25.96"/>
    <x v="2"/>
    <x v="1"/>
    <x v="1"/>
    <x v="11"/>
    <s v="6"/>
    <s v="2"/>
    <s v="2025-02-15"/>
    <d v="1899-12-30T12:44:27"/>
    <x v="1"/>
  </r>
  <r>
    <s v="13"/>
    <s v="card"/>
    <n v="30.86"/>
    <x v="3"/>
    <x v="1"/>
    <x v="1"/>
    <x v="11"/>
    <s v="6"/>
    <s v="2"/>
    <s v="2025-02-15"/>
    <d v="1899-12-30T13:02:20"/>
    <x v="1"/>
  </r>
  <r>
    <s v="13"/>
    <s v="card"/>
    <n v="30.86"/>
    <x v="3"/>
    <x v="1"/>
    <x v="1"/>
    <x v="11"/>
    <s v="6"/>
    <s v="2"/>
    <s v="2025-02-15"/>
    <d v="1899-12-30T13:32:06"/>
    <x v="1"/>
  </r>
  <r>
    <s v="14"/>
    <s v="card"/>
    <n v="35.76"/>
    <x v="7"/>
    <x v="1"/>
    <x v="1"/>
    <x v="11"/>
    <s v="6"/>
    <s v="2"/>
    <s v="2025-02-15"/>
    <d v="1899-12-30T14:01:51"/>
    <x v="1"/>
  </r>
  <r>
    <s v="14"/>
    <s v="card"/>
    <n v="25.96"/>
    <x v="2"/>
    <x v="1"/>
    <x v="1"/>
    <x v="11"/>
    <s v="6"/>
    <s v="2"/>
    <s v="2025-02-15"/>
    <d v="1899-12-30T14:11:54"/>
    <x v="1"/>
  </r>
  <r>
    <s v="15"/>
    <s v="card"/>
    <n v="35.76"/>
    <x v="1"/>
    <x v="1"/>
    <x v="1"/>
    <x v="11"/>
    <s v="6"/>
    <s v="2"/>
    <s v="2025-02-15"/>
    <d v="1899-12-30T15:40:08"/>
    <x v="1"/>
  </r>
  <r>
    <s v="15"/>
    <s v="card"/>
    <n v="35.76"/>
    <x v="1"/>
    <x v="1"/>
    <x v="1"/>
    <x v="11"/>
    <s v="6"/>
    <s v="2"/>
    <s v="2025-02-15"/>
    <d v="1899-12-30T15:40:59"/>
    <x v="1"/>
  </r>
  <r>
    <s v="10"/>
    <s v="card"/>
    <n v="25.96"/>
    <x v="2"/>
    <x v="0"/>
    <x v="2"/>
    <x v="11"/>
    <s v="7"/>
    <s v="2"/>
    <s v="2025-02-16"/>
    <d v="1899-12-30T10:46:43"/>
    <x v="1"/>
  </r>
  <r>
    <s v="10"/>
    <s v="card"/>
    <n v="25.96"/>
    <x v="2"/>
    <x v="0"/>
    <x v="2"/>
    <x v="11"/>
    <s v="7"/>
    <s v="2"/>
    <s v="2025-02-16"/>
    <d v="1899-12-30T10:50:01"/>
    <x v="1"/>
  </r>
  <r>
    <s v="10"/>
    <s v="card"/>
    <n v="30.86"/>
    <x v="3"/>
    <x v="0"/>
    <x v="2"/>
    <x v="11"/>
    <s v="7"/>
    <s v="2"/>
    <s v="2025-02-16"/>
    <d v="1899-12-30T10:51:04"/>
    <x v="1"/>
  </r>
  <r>
    <s v="11"/>
    <s v="card"/>
    <n v="35.76"/>
    <x v="1"/>
    <x v="0"/>
    <x v="2"/>
    <x v="11"/>
    <s v="7"/>
    <s v="2"/>
    <s v="2025-02-16"/>
    <d v="1899-12-30T11:04:48"/>
    <x v="1"/>
  </r>
  <r>
    <s v="11"/>
    <s v="card"/>
    <n v="25.96"/>
    <x v="2"/>
    <x v="0"/>
    <x v="2"/>
    <x v="11"/>
    <s v="7"/>
    <s v="2"/>
    <s v="2025-02-16"/>
    <d v="1899-12-30T11:32:29"/>
    <x v="1"/>
  </r>
  <r>
    <s v="14"/>
    <s v="card"/>
    <n v="35.76"/>
    <x v="1"/>
    <x v="1"/>
    <x v="2"/>
    <x v="11"/>
    <s v="7"/>
    <s v="2"/>
    <s v="2025-02-16"/>
    <d v="1899-12-30T14:15:37"/>
    <x v="1"/>
  </r>
  <r>
    <s v="14"/>
    <s v="card"/>
    <n v="35.76"/>
    <x v="0"/>
    <x v="1"/>
    <x v="2"/>
    <x v="11"/>
    <s v="7"/>
    <s v="2"/>
    <s v="2025-02-16"/>
    <d v="1899-12-30T14:16:41"/>
    <x v="1"/>
  </r>
  <r>
    <s v="17"/>
    <s v="card"/>
    <n v="35.76"/>
    <x v="1"/>
    <x v="2"/>
    <x v="2"/>
    <x v="11"/>
    <s v="7"/>
    <s v="2"/>
    <s v="2025-02-16"/>
    <d v="1899-12-30T17:12:27"/>
    <x v="1"/>
  </r>
  <r>
    <s v="17"/>
    <s v="card"/>
    <n v="30.86"/>
    <x v="3"/>
    <x v="2"/>
    <x v="2"/>
    <x v="11"/>
    <s v="7"/>
    <s v="2"/>
    <s v="2025-02-16"/>
    <d v="1899-12-30T17:13:33"/>
    <x v="1"/>
  </r>
  <r>
    <s v="17"/>
    <s v="card"/>
    <n v="30.86"/>
    <x v="3"/>
    <x v="2"/>
    <x v="2"/>
    <x v="11"/>
    <s v="7"/>
    <s v="2"/>
    <s v="2025-02-16"/>
    <d v="1899-12-30T17:44:33"/>
    <x v="1"/>
  </r>
  <r>
    <s v="6"/>
    <s v="card"/>
    <n v="35.76"/>
    <x v="7"/>
    <x v="0"/>
    <x v="3"/>
    <x v="11"/>
    <s v="1"/>
    <s v="2"/>
    <s v="2025-02-17"/>
    <d v="1899-12-30T06:50:04"/>
    <x v="1"/>
  </r>
  <r>
    <s v="8"/>
    <s v="card"/>
    <n v="25.96"/>
    <x v="2"/>
    <x v="0"/>
    <x v="3"/>
    <x v="11"/>
    <s v="1"/>
    <s v="2"/>
    <s v="2025-02-17"/>
    <d v="1899-12-30T08:53:14"/>
    <x v="1"/>
  </r>
  <r>
    <s v="9"/>
    <s v="card"/>
    <n v="25.96"/>
    <x v="2"/>
    <x v="0"/>
    <x v="3"/>
    <x v="11"/>
    <s v="1"/>
    <s v="2"/>
    <s v="2025-02-17"/>
    <d v="1899-12-30T09:00:55"/>
    <x v="1"/>
  </r>
  <r>
    <s v="9"/>
    <s v="card"/>
    <n v="30.86"/>
    <x v="3"/>
    <x v="0"/>
    <x v="3"/>
    <x v="11"/>
    <s v="1"/>
    <s v="2"/>
    <s v="2025-02-17"/>
    <d v="1899-12-30T09:28:07"/>
    <x v="1"/>
  </r>
  <r>
    <s v="9"/>
    <s v="card"/>
    <n v="35.76"/>
    <x v="1"/>
    <x v="0"/>
    <x v="3"/>
    <x v="11"/>
    <s v="1"/>
    <s v="2"/>
    <s v="2025-02-17"/>
    <d v="1899-12-30T09:56:59"/>
    <x v="1"/>
  </r>
  <r>
    <s v="10"/>
    <s v="card"/>
    <n v="30.86"/>
    <x v="3"/>
    <x v="0"/>
    <x v="3"/>
    <x v="11"/>
    <s v="1"/>
    <s v="2"/>
    <s v="2025-02-17"/>
    <d v="1899-12-30T10:20:12"/>
    <x v="1"/>
  </r>
  <r>
    <s v="10"/>
    <s v="card"/>
    <n v="25.96"/>
    <x v="2"/>
    <x v="0"/>
    <x v="3"/>
    <x v="11"/>
    <s v="1"/>
    <s v="2"/>
    <s v="2025-02-17"/>
    <d v="1899-12-30T10:44:48"/>
    <x v="1"/>
  </r>
  <r>
    <s v="11"/>
    <s v="card"/>
    <n v="30.86"/>
    <x v="3"/>
    <x v="0"/>
    <x v="3"/>
    <x v="11"/>
    <s v="1"/>
    <s v="2"/>
    <s v="2025-02-17"/>
    <d v="1899-12-30T11:53:59"/>
    <x v="1"/>
  </r>
  <r>
    <s v="11"/>
    <s v="card"/>
    <n v="21.06"/>
    <x v="6"/>
    <x v="0"/>
    <x v="3"/>
    <x v="11"/>
    <s v="1"/>
    <s v="2"/>
    <s v="2025-02-17"/>
    <d v="1899-12-30T11:55:02"/>
    <x v="1"/>
  </r>
  <r>
    <s v="12"/>
    <s v="card"/>
    <n v="35.76"/>
    <x v="7"/>
    <x v="1"/>
    <x v="3"/>
    <x v="11"/>
    <s v="1"/>
    <s v="2"/>
    <s v="2025-02-17"/>
    <d v="1899-12-30T12:48:58"/>
    <x v="1"/>
  </r>
  <r>
    <s v="14"/>
    <s v="card"/>
    <n v="35.76"/>
    <x v="0"/>
    <x v="1"/>
    <x v="3"/>
    <x v="11"/>
    <s v="1"/>
    <s v="2"/>
    <s v="2025-02-17"/>
    <d v="1899-12-30T14:23:02"/>
    <x v="1"/>
  </r>
  <r>
    <s v="15"/>
    <s v="card"/>
    <n v="30.86"/>
    <x v="3"/>
    <x v="1"/>
    <x v="3"/>
    <x v="11"/>
    <s v="1"/>
    <s v="2"/>
    <s v="2025-02-17"/>
    <d v="1899-12-30T15:05:42"/>
    <x v="1"/>
  </r>
  <r>
    <s v="15"/>
    <s v="card"/>
    <n v="35.76"/>
    <x v="0"/>
    <x v="1"/>
    <x v="3"/>
    <x v="11"/>
    <s v="1"/>
    <s v="2"/>
    <s v="2025-02-17"/>
    <d v="1899-12-30T15:33:20"/>
    <x v="1"/>
  </r>
  <r>
    <s v="16"/>
    <s v="card"/>
    <n v="21.06"/>
    <x v="6"/>
    <x v="1"/>
    <x v="3"/>
    <x v="11"/>
    <s v="1"/>
    <s v="2"/>
    <s v="2025-02-17"/>
    <d v="1899-12-30T16:19:06"/>
    <x v="1"/>
  </r>
  <r>
    <s v="16"/>
    <s v="card"/>
    <n v="25.96"/>
    <x v="2"/>
    <x v="1"/>
    <x v="3"/>
    <x v="11"/>
    <s v="1"/>
    <s v="2"/>
    <s v="2025-02-17"/>
    <d v="1899-12-30T16:22:42"/>
    <x v="1"/>
  </r>
  <r>
    <s v="17"/>
    <s v="card"/>
    <n v="30.86"/>
    <x v="3"/>
    <x v="2"/>
    <x v="3"/>
    <x v="11"/>
    <s v="1"/>
    <s v="2"/>
    <s v="2025-02-17"/>
    <d v="1899-12-30T17:31:14"/>
    <x v="1"/>
  </r>
  <r>
    <s v="18"/>
    <s v="card"/>
    <n v="25.96"/>
    <x v="2"/>
    <x v="2"/>
    <x v="3"/>
    <x v="11"/>
    <s v="1"/>
    <s v="2"/>
    <s v="2025-02-17"/>
    <d v="1899-12-30T18:23:53"/>
    <x v="1"/>
  </r>
  <r>
    <s v="19"/>
    <s v="card"/>
    <n v="25.96"/>
    <x v="2"/>
    <x v="2"/>
    <x v="3"/>
    <x v="11"/>
    <s v="1"/>
    <s v="2"/>
    <s v="2025-02-17"/>
    <d v="1899-12-30T19:13:52"/>
    <x v="1"/>
  </r>
  <r>
    <s v="19"/>
    <s v="card"/>
    <n v="25.96"/>
    <x v="2"/>
    <x v="2"/>
    <x v="3"/>
    <x v="11"/>
    <s v="1"/>
    <s v="2"/>
    <s v="2025-02-17"/>
    <d v="1899-12-30T19:15:01"/>
    <x v="1"/>
  </r>
  <r>
    <s v="20"/>
    <s v="card"/>
    <n v="35.76"/>
    <x v="0"/>
    <x v="2"/>
    <x v="3"/>
    <x v="11"/>
    <s v="1"/>
    <s v="2"/>
    <s v="2025-02-17"/>
    <d v="1899-12-30T20:18:17"/>
    <x v="1"/>
  </r>
  <r>
    <s v="8"/>
    <s v="card"/>
    <n v="25.96"/>
    <x v="2"/>
    <x v="0"/>
    <x v="4"/>
    <x v="11"/>
    <s v="2"/>
    <s v="2"/>
    <s v="2025-02-18"/>
    <d v="1899-12-30T08:53:09"/>
    <x v="1"/>
  </r>
  <r>
    <s v="8"/>
    <s v="card"/>
    <n v="25.96"/>
    <x v="2"/>
    <x v="0"/>
    <x v="4"/>
    <x v="11"/>
    <s v="2"/>
    <s v="2"/>
    <s v="2025-02-18"/>
    <d v="1899-12-30T08:54:14"/>
    <x v="1"/>
  </r>
  <r>
    <s v="11"/>
    <s v="card"/>
    <n v="25.96"/>
    <x v="2"/>
    <x v="0"/>
    <x v="4"/>
    <x v="11"/>
    <s v="2"/>
    <s v="2"/>
    <s v="2025-02-18"/>
    <d v="1899-12-30T11:07:35"/>
    <x v="1"/>
  </r>
  <r>
    <s v="11"/>
    <s v="card"/>
    <n v="25.96"/>
    <x v="2"/>
    <x v="0"/>
    <x v="4"/>
    <x v="11"/>
    <s v="2"/>
    <s v="2"/>
    <s v="2025-02-18"/>
    <d v="1899-12-30T11:30:06"/>
    <x v="1"/>
  </r>
  <r>
    <s v="11"/>
    <s v="card"/>
    <n v="30.86"/>
    <x v="3"/>
    <x v="0"/>
    <x v="4"/>
    <x v="11"/>
    <s v="2"/>
    <s v="2"/>
    <s v="2025-02-18"/>
    <d v="1899-12-30T11:38:24"/>
    <x v="1"/>
  </r>
  <r>
    <s v="12"/>
    <s v="card"/>
    <n v="30.86"/>
    <x v="3"/>
    <x v="1"/>
    <x v="4"/>
    <x v="11"/>
    <s v="2"/>
    <s v="2"/>
    <s v="2025-02-18"/>
    <d v="1899-12-30T12:15:27"/>
    <x v="1"/>
  </r>
  <r>
    <s v="13"/>
    <s v="card"/>
    <n v="35.76"/>
    <x v="4"/>
    <x v="1"/>
    <x v="4"/>
    <x v="11"/>
    <s v="2"/>
    <s v="2"/>
    <s v="2025-02-18"/>
    <d v="1899-12-30T13:04:27"/>
    <x v="1"/>
  </r>
  <r>
    <s v="13"/>
    <s v="card"/>
    <n v="25.96"/>
    <x v="2"/>
    <x v="1"/>
    <x v="4"/>
    <x v="11"/>
    <s v="2"/>
    <s v="2"/>
    <s v="2025-02-18"/>
    <d v="1899-12-30T13:25:45"/>
    <x v="1"/>
  </r>
  <r>
    <s v="13"/>
    <s v="card"/>
    <n v="30.86"/>
    <x v="3"/>
    <x v="1"/>
    <x v="4"/>
    <x v="11"/>
    <s v="2"/>
    <s v="2"/>
    <s v="2025-02-18"/>
    <d v="1899-12-30T13:27:05"/>
    <x v="1"/>
  </r>
  <r>
    <s v="17"/>
    <s v="card"/>
    <n v="35.76"/>
    <x v="1"/>
    <x v="2"/>
    <x v="4"/>
    <x v="11"/>
    <s v="2"/>
    <s v="2"/>
    <s v="2025-02-18"/>
    <d v="1899-12-30T17:05:28"/>
    <x v="1"/>
  </r>
  <r>
    <s v="17"/>
    <s v="card"/>
    <n v="30.86"/>
    <x v="3"/>
    <x v="2"/>
    <x v="4"/>
    <x v="11"/>
    <s v="2"/>
    <s v="2"/>
    <s v="2025-02-18"/>
    <d v="1899-12-30T17:08:19"/>
    <x v="1"/>
  </r>
  <r>
    <s v="17"/>
    <s v="card"/>
    <n v="21.06"/>
    <x v="6"/>
    <x v="2"/>
    <x v="4"/>
    <x v="11"/>
    <s v="2"/>
    <s v="2"/>
    <s v="2025-02-18"/>
    <d v="1899-12-30T17:09:17"/>
    <x v="1"/>
  </r>
  <r>
    <s v="17"/>
    <s v="card"/>
    <n v="35.76"/>
    <x v="4"/>
    <x v="2"/>
    <x v="4"/>
    <x v="11"/>
    <s v="2"/>
    <s v="2"/>
    <s v="2025-02-18"/>
    <d v="1899-12-30T17:10:23"/>
    <x v="1"/>
  </r>
  <r>
    <s v="17"/>
    <s v="card"/>
    <n v="35.76"/>
    <x v="4"/>
    <x v="2"/>
    <x v="4"/>
    <x v="11"/>
    <s v="2"/>
    <s v="2"/>
    <s v="2025-02-18"/>
    <d v="1899-12-30T17:11:36"/>
    <x v="1"/>
  </r>
  <r>
    <s v="19"/>
    <s v="card"/>
    <n v="35.76"/>
    <x v="4"/>
    <x v="2"/>
    <x v="4"/>
    <x v="11"/>
    <s v="2"/>
    <s v="2"/>
    <s v="2025-02-18"/>
    <d v="1899-12-30T19:36:27"/>
    <x v="1"/>
  </r>
  <r>
    <s v="20"/>
    <s v="card"/>
    <n v="35.76"/>
    <x v="4"/>
    <x v="2"/>
    <x v="4"/>
    <x v="11"/>
    <s v="2"/>
    <s v="2"/>
    <s v="2025-02-18"/>
    <d v="1899-12-30T20:06:56"/>
    <x v="1"/>
  </r>
  <r>
    <s v="20"/>
    <s v="card"/>
    <n v="35.76"/>
    <x v="1"/>
    <x v="2"/>
    <x v="4"/>
    <x v="11"/>
    <s v="2"/>
    <s v="2"/>
    <s v="2025-02-18"/>
    <d v="1899-12-30T20:58:13"/>
    <x v="1"/>
  </r>
  <r>
    <s v="21"/>
    <s v="card"/>
    <n v="30.86"/>
    <x v="3"/>
    <x v="2"/>
    <x v="4"/>
    <x v="11"/>
    <s v="2"/>
    <s v="2"/>
    <s v="2025-02-18"/>
    <d v="1899-12-30T21:02:00"/>
    <x v="1"/>
  </r>
  <r>
    <s v="8"/>
    <s v="card"/>
    <n v="35.76"/>
    <x v="7"/>
    <x v="0"/>
    <x v="5"/>
    <x v="11"/>
    <s v="3"/>
    <s v="2"/>
    <s v="2025-02-19"/>
    <d v="1899-12-30T08:08:53"/>
    <x v="1"/>
  </r>
  <r>
    <s v="8"/>
    <s v="card"/>
    <n v="25.96"/>
    <x v="2"/>
    <x v="0"/>
    <x v="5"/>
    <x v="11"/>
    <s v="3"/>
    <s v="2"/>
    <s v="2025-02-19"/>
    <d v="1899-12-30T08:09:54"/>
    <x v="1"/>
  </r>
  <r>
    <s v="8"/>
    <s v="card"/>
    <n v="25.96"/>
    <x v="2"/>
    <x v="0"/>
    <x v="5"/>
    <x v="11"/>
    <s v="3"/>
    <s v="2"/>
    <s v="2025-02-19"/>
    <d v="1899-12-30T08:47:33"/>
    <x v="1"/>
  </r>
  <r>
    <s v="9"/>
    <s v="card"/>
    <n v="35.76"/>
    <x v="7"/>
    <x v="0"/>
    <x v="5"/>
    <x v="11"/>
    <s v="3"/>
    <s v="2"/>
    <s v="2025-02-19"/>
    <d v="1899-12-30T09:24:32"/>
    <x v="1"/>
  </r>
  <r>
    <s v="10"/>
    <s v="card"/>
    <n v="25.96"/>
    <x v="2"/>
    <x v="0"/>
    <x v="5"/>
    <x v="11"/>
    <s v="3"/>
    <s v="2"/>
    <s v="2025-02-19"/>
    <d v="1899-12-30T10:09:51"/>
    <x v="1"/>
  </r>
  <r>
    <s v="10"/>
    <s v="card"/>
    <n v="35.76"/>
    <x v="1"/>
    <x v="0"/>
    <x v="5"/>
    <x v="11"/>
    <s v="3"/>
    <s v="2"/>
    <s v="2025-02-19"/>
    <d v="1899-12-30T10:19:01"/>
    <x v="1"/>
  </r>
  <r>
    <s v="10"/>
    <s v="card"/>
    <n v="30.86"/>
    <x v="3"/>
    <x v="0"/>
    <x v="5"/>
    <x v="11"/>
    <s v="3"/>
    <s v="2"/>
    <s v="2025-02-19"/>
    <d v="1899-12-30T10:40:52"/>
    <x v="1"/>
  </r>
  <r>
    <s v="12"/>
    <s v="card"/>
    <n v="25.96"/>
    <x v="2"/>
    <x v="1"/>
    <x v="5"/>
    <x v="11"/>
    <s v="3"/>
    <s v="2"/>
    <s v="2025-02-19"/>
    <d v="1899-12-30T12:45:06"/>
    <x v="1"/>
  </r>
  <r>
    <s v="12"/>
    <s v="card"/>
    <n v="35.76"/>
    <x v="4"/>
    <x v="1"/>
    <x v="5"/>
    <x v="11"/>
    <s v="3"/>
    <s v="2"/>
    <s v="2025-02-19"/>
    <d v="1899-12-30T12:46:04"/>
    <x v="1"/>
  </r>
  <r>
    <s v="13"/>
    <s v="card"/>
    <n v="25.96"/>
    <x v="2"/>
    <x v="1"/>
    <x v="5"/>
    <x v="11"/>
    <s v="3"/>
    <s v="2"/>
    <s v="2025-02-19"/>
    <d v="1899-12-30T13:06:54"/>
    <x v="1"/>
  </r>
  <r>
    <s v="15"/>
    <s v="card"/>
    <n v="35.76"/>
    <x v="7"/>
    <x v="1"/>
    <x v="5"/>
    <x v="11"/>
    <s v="3"/>
    <s v="2"/>
    <s v="2025-02-19"/>
    <d v="1899-12-30T15:50:43"/>
    <x v="1"/>
  </r>
  <r>
    <s v="17"/>
    <s v="card"/>
    <n v="25.96"/>
    <x v="2"/>
    <x v="2"/>
    <x v="5"/>
    <x v="11"/>
    <s v="3"/>
    <s v="2"/>
    <s v="2025-02-19"/>
    <d v="1899-12-30T17:04:00"/>
    <x v="1"/>
  </r>
  <r>
    <s v="17"/>
    <s v="card"/>
    <n v="35.76"/>
    <x v="7"/>
    <x v="2"/>
    <x v="5"/>
    <x v="11"/>
    <s v="3"/>
    <s v="2"/>
    <s v="2025-02-19"/>
    <d v="1899-12-30T17:34:49"/>
    <x v="1"/>
  </r>
  <r>
    <s v="17"/>
    <s v="card"/>
    <n v="30.86"/>
    <x v="3"/>
    <x v="2"/>
    <x v="5"/>
    <x v="11"/>
    <s v="3"/>
    <s v="2"/>
    <s v="2025-02-19"/>
    <d v="1899-12-30T17:57:52"/>
    <x v="1"/>
  </r>
  <r>
    <s v="18"/>
    <s v="card"/>
    <n v="35.76"/>
    <x v="7"/>
    <x v="2"/>
    <x v="5"/>
    <x v="11"/>
    <s v="3"/>
    <s v="2"/>
    <s v="2025-02-19"/>
    <d v="1899-12-30T18:35:39"/>
    <x v="1"/>
  </r>
  <r>
    <s v="19"/>
    <s v="card"/>
    <n v="35.76"/>
    <x v="0"/>
    <x v="2"/>
    <x v="5"/>
    <x v="11"/>
    <s v="3"/>
    <s v="2"/>
    <s v="2025-02-19"/>
    <d v="1899-12-30T19:01:33"/>
    <x v="1"/>
  </r>
  <r>
    <s v="19"/>
    <s v="card"/>
    <n v="35.76"/>
    <x v="4"/>
    <x v="2"/>
    <x v="5"/>
    <x v="11"/>
    <s v="3"/>
    <s v="2"/>
    <s v="2025-02-19"/>
    <d v="1899-12-30T19:11:50"/>
    <x v="1"/>
  </r>
  <r>
    <s v="19"/>
    <s v="card"/>
    <n v="35.76"/>
    <x v="1"/>
    <x v="2"/>
    <x v="5"/>
    <x v="11"/>
    <s v="3"/>
    <s v="2"/>
    <s v="2025-02-19"/>
    <d v="1899-12-30T19:12:43"/>
    <x v="1"/>
  </r>
  <r>
    <s v="19"/>
    <s v="card"/>
    <n v="35.76"/>
    <x v="0"/>
    <x v="2"/>
    <x v="5"/>
    <x v="11"/>
    <s v="3"/>
    <s v="2"/>
    <s v="2025-02-19"/>
    <d v="1899-12-30T19:26:23"/>
    <x v="1"/>
  </r>
  <r>
    <s v="20"/>
    <s v="card"/>
    <n v="35.76"/>
    <x v="4"/>
    <x v="2"/>
    <x v="5"/>
    <x v="11"/>
    <s v="3"/>
    <s v="2"/>
    <s v="2025-02-19"/>
    <d v="1899-12-30T20:05:28"/>
    <x v="1"/>
  </r>
  <r>
    <s v="7"/>
    <s v="card"/>
    <n v="35.76"/>
    <x v="7"/>
    <x v="0"/>
    <x v="6"/>
    <x v="11"/>
    <s v="4"/>
    <s v="2"/>
    <s v="2025-02-20"/>
    <d v="1899-12-30T07:56:25"/>
    <x v="1"/>
  </r>
  <r>
    <s v="9"/>
    <s v="card"/>
    <n v="25.96"/>
    <x v="2"/>
    <x v="0"/>
    <x v="6"/>
    <x v="11"/>
    <s v="4"/>
    <s v="2"/>
    <s v="2025-02-20"/>
    <d v="1899-12-30T09:17:53"/>
    <x v="1"/>
  </r>
  <r>
    <s v="10"/>
    <s v="card"/>
    <n v="35.76"/>
    <x v="7"/>
    <x v="0"/>
    <x v="6"/>
    <x v="11"/>
    <s v="4"/>
    <s v="2"/>
    <s v="2025-02-20"/>
    <d v="1899-12-30T10:16:40"/>
    <x v="1"/>
  </r>
  <r>
    <s v="10"/>
    <s v="card"/>
    <n v="25.96"/>
    <x v="2"/>
    <x v="0"/>
    <x v="6"/>
    <x v="11"/>
    <s v="4"/>
    <s v="2"/>
    <s v="2025-02-20"/>
    <d v="1899-12-30T10:17:39"/>
    <x v="1"/>
  </r>
  <r>
    <s v="10"/>
    <s v="card"/>
    <n v="25.96"/>
    <x v="2"/>
    <x v="0"/>
    <x v="6"/>
    <x v="11"/>
    <s v="4"/>
    <s v="2"/>
    <s v="2025-02-20"/>
    <d v="1899-12-30T10:20:25"/>
    <x v="1"/>
  </r>
  <r>
    <s v="10"/>
    <s v="card"/>
    <n v="25.96"/>
    <x v="2"/>
    <x v="0"/>
    <x v="6"/>
    <x v="11"/>
    <s v="4"/>
    <s v="2"/>
    <s v="2025-02-20"/>
    <d v="1899-12-30T10:24:24"/>
    <x v="1"/>
  </r>
  <r>
    <s v="13"/>
    <s v="card"/>
    <n v="30.86"/>
    <x v="3"/>
    <x v="1"/>
    <x v="6"/>
    <x v="11"/>
    <s v="4"/>
    <s v="2"/>
    <s v="2025-02-20"/>
    <d v="1899-12-30T13:02:20"/>
    <x v="1"/>
  </r>
  <r>
    <s v="14"/>
    <s v="card"/>
    <n v="35.76"/>
    <x v="0"/>
    <x v="1"/>
    <x v="6"/>
    <x v="11"/>
    <s v="4"/>
    <s v="2"/>
    <s v="2025-02-20"/>
    <d v="1899-12-30T14:20:33"/>
    <x v="1"/>
  </r>
  <r>
    <s v="14"/>
    <s v="card"/>
    <n v="25.96"/>
    <x v="2"/>
    <x v="1"/>
    <x v="6"/>
    <x v="11"/>
    <s v="4"/>
    <s v="2"/>
    <s v="2025-02-20"/>
    <d v="1899-12-30T14:38:00"/>
    <x v="1"/>
  </r>
  <r>
    <s v="14"/>
    <s v="card"/>
    <n v="25.96"/>
    <x v="2"/>
    <x v="1"/>
    <x v="6"/>
    <x v="11"/>
    <s v="4"/>
    <s v="2"/>
    <s v="2025-02-20"/>
    <d v="1899-12-30T14:38:49"/>
    <x v="1"/>
  </r>
  <r>
    <s v="15"/>
    <s v="card"/>
    <n v="21.06"/>
    <x v="6"/>
    <x v="1"/>
    <x v="6"/>
    <x v="11"/>
    <s v="4"/>
    <s v="2"/>
    <s v="2025-02-20"/>
    <d v="1899-12-30T15:19:46"/>
    <x v="1"/>
  </r>
  <r>
    <s v="16"/>
    <s v="card"/>
    <n v="35.76"/>
    <x v="7"/>
    <x v="1"/>
    <x v="6"/>
    <x v="11"/>
    <s v="4"/>
    <s v="2"/>
    <s v="2025-02-20"/>
    <d v="1899-12-30T16:05:50"/>
    <x v="1"/>
  </r>
  <r>
    <s v="16"/>
    <s v="card"/>
    <n v="35.76"/>
    <x v="7"/>
    <x v="1"/>
    <x v="6"/>
    <x v="11"/>
    <s v="4"/>
    <s v="2"/>
    <s v="2025-02-20"/>
    <d v="1899-12-30T16:59:07"/>
    <x v="1"/>
  </r>
  <r>
    <s v="17"/>
    <s v="card"/>
    <n v="35.76"/>
    <x v="1"/>
    <x v="2"/>
    <x v="6"/>
    <x v="11"/>
    <s v="4"/>
    <s v="2"/>
    <s v="2025-02-20"/>
    <d v="1899-12-30T17:00:37"/>
    <x v="1"/>
  </r>
  <r>
    <s v="17"/>
    <s v="card"/>
    <n v="25.96"/>
    <x v="2"/>
    <x v="2"/>
    <x v="6"/>
    <x v="11"/>
    <s v="4"/>
    <s v="2"/>
    <s v="2025-02-20"/>
    <d v="1899-12-30T17:07:28"/>
    <x v="1"/>
  </r>
  <r>
    <s v="18"/>
    <s v="card"/>
    <n v="25.96"/>
    <x v="2"/>
    <x v="2"/>
    <x v="6"/>
    <x v="11"/>
    <s v="4"/>
    <s v="2"/>
    <s v="2025-02-20"/>
    <d v="1899-12-30T18:57:35"/>
    <x v="1"/>
  </r>
  <r>
    <s v="19"/>
    <s v="card"/>
    <n v="35.76"/>
    <x v="1"/>
    <x v="2"/>
    <x v="6"/>
    <x v="11"/>
    <s v="4"/>
    <s v="2"/>
    <s v="2025-02-20"/>
    <d v="1899-12-30T19:01:51"/>
    <x v="1"/>
  </r>
  <r>
    <s v="19"/>
    <s v="card"/>
    <n v="35.76"/>
    <x v="4"/>
    <x v="2"/>
    <x v="6"/>
    <x v="11"/>
    <s v="4"/>
    <s v="2"/>
    <s v="2025-02-20"/>
    <d v="1899-12-30T19:07:26"/>
    <x v="1"/>
  </r>
  <r>
    <s v="20"/>
    <s v="card"/>
    <n v="35.76"/>
    <x v="0"/>
    <x v="2"/>
    <x v="6"/>
    <x v="11"/>
    <s v="4"/>
    <s v="2"/>
    <s v="2025-02-20"/>
    <d v="1899-12-30T20:07:04"/>
    <x v="1"/>
  </r>
  <r>
    <s v="6"/>
    <s v="card"/>
    <n v="25.96"/>
    <x v="2"/>
    <x v="0"/>
    <x v="0"/>
    <x v="11"/>
    <s v="5"/>
    <s v="2"/>
    <s v="2025-02-21"/>
    <d v="1899-12-30T06:59:08"/>
    <x v="1"/>
  </r>
  <r>
    <s v="9"/>
    <s v="card"/>
    <n v="35.76"/>
    <x v="0"/>
    <x v="0"/>
    <x v="0"/>
    <x v="11"/>
    <s v="5"/>
    <s v="2"/>
    <s v="2025-02-21"/>
    <d v="1899-12-30T09:41:30"/>
    <x v="1"/>
  </r>
  <r>
    <s v="9"/>
    <s v="card"/>
    <n v="35.76"/>
    <x v="7"/>
    <x v="0"/>
    <x v="0"/>
    <x v="11"/>
    <s v="5"/>
    <s v="2"/>
    <s v="2025-02-21"/>
    <d v="1899-12-30T09:49:21"/>
    <x v="1"/>
  </r>
  <r>
    <s v="9"/>
    <s v="card"/>
    <n v="21.06"/>
    <x v="6"/>
    <x v="0"/>
    <x v="0"/>
    <x v="11"/>
    <s v="5"/>
    <s v="2"/>
    <s v="2025-02-21"/>
    <d v="1899-12-30T09:51:13"/>
    <x v="1"/>
  </r>
  <r>
    <s v="10"/>
    <s v="card"/>
    <n v="25.96"/>
    <x v="2"/>
    <x v="0"/>
    <x v="0"/>
    <x v="11"/>
    <s v="5"/>
    <s v="2"/>
    <s v="2025-02-21"/>
    <d v="1899-12-30T10:18:11"/>
    <x v="1"/>
  </r>
  <r>
    <s v="11"/>
    <s v="card"/>
    <n v="30.86"/>
    <x v="3"/>
    <x v="0"/>
    <x v="0"/>
    <x v="11"/>
    <s v="5"/>
    <s v="2"/>
    <s v="2025-02-21"/>
    <d v="1899-12-30T11:10:08"/>
    <x v="1"/>
  </r>
  <r>
    <s v="12"/>
    <s v="card"/>
    <n v="25.96"/>
    <x v="2"/>
    <x v="1"/>
    <x v="0"/>
    <x v="11"/>
    <s v="5"/>
    <s v="2"/>
    <s v="2025-02-21"/>
    <d v="1899-12-30T12:04:49"/>
    <x v="1"/>
  </r>
  <r>
    <s v="12"/>
    <s v="card"/>
    <n v="25.96"/>
    <x v="2"/>
    <x v="1"/>
    <x v="0"/>
    <x v="11"/>
    <s v="5"/>
    <s v="2"/>
    <s v="2025-02-21"/>
    <d v="1899-12-30T12:07:43"/>
    <x v="1"/>
  </r>
  <r>
    <s v="12"/>
    <s v="card"/>
    <n v="25.96"/>
    <x v="2"/>
    <x v="1"/>
    <x v="0"/>
    <x v="11"/>
    <s v="5"/>
    <s v="2"/>
    <s v="2025-02-21"/>
    <d v="1899-12-30T12:56:18"/>
    <x v="1"/>
  </r>
  <r>
    <s v="12"/>
    <s v="card"/>
    <n v="25.96"/>
    <x v="2"/>
    <x v="1"/>
    <x v="0"/>
    <x v="11"/>
    <s v="5"/>
    <s v="2"/>
    <s v="2025-02-21"/>
    <d v="1899-12-30T12:57:03"/>
    <x v="1"/>
  </r>
  <r>
    <s v="13"/>
    <s v="card"/>
    <n v="25.96"/>
    <x v="2"/>
    <x v="1"/>
    <x v="0"/>
    <x v="11"/>
    <s v="5"/>
    <s v="2"/>
    <s v="2025-02-21"/>
    <d v="1899-12-30T13:06:43"/>
    <x v="1"/>
  </r>
  <r>
    <s v="14"/>
    <s v="card"/>
    <n v="25.96"/>
    <x v="2"/>
    <x v="1"/>
    <x v="0"/>
    <x v="11"/>
    <s v="5"/>
    <s v="2"/>
    <s v="2025-02-21"/>
    <d v="1899-12-30T14:17:55"/>
    <x v="1"/>
  </r>
  <r>
    <s v="15"/>
    <s v="card"/>
    <n v="35.76"/>
    <x v="7"/>
    <x v="1"/>
    <x v="0"/>
    <x v="11"/>
    <s v="5"/>
    <s v="2"/>
    <s v="2025-02-21"/>
    <d v="1899-12-30T15:18:31"/>
    <x v="1"/>
  </r>
  <r>
    <s v="15"/>
    <s v="card"/>
    <n v="25.96"/>
    <x v="2"/>
    <x v="1"/>
    <x v="0"/>
    <x v="11"/>
    <s v="5"/>
    <s v="2"/>
    <s v="2025-02-21"/>
    <d v="1899-12-30T15:45:54"/>
    <x v="1"/>
  </r>
  <r>
    <s v="15"/>
    <s v="card"/>
    <n v="25.96"/>
    <x v="2"/>
    <x v="1"/>
    <x v="0"/>
    <x v="11"/>
    <s v="5"/>
    <s v="2"/>
    <s v="2025-02-21"/>
    <d v="1899-12-30T15:46:48"/>
    <x v="1"/>
  </r>
  <r>
    <s v="15"/>
    <s v="card"/>
    <n v="25.96"/>
    <x v="2"/>
    <x v="1"/>
    <x v="0"/>
    <x v="11"/>
    <s v="5"/>
    <s v="2"/>
    <s v="2025-02-21"/>
    <d v="1899-12-30T15:52:48"/>
    <x v="1"/>
  </r>
  <r>
    <s v="16"/>
    <s v="card"/>
    <n v="35.76"/>
    <x v="4"/>
    <x v="1"/>
    <x v="0"/>
    <x v="11"/>
    <s v="5"/>
    <s v="2"/>
    <s v="2025-02-21"/>
    <d v="1899-12-30T16:10:06"/>
    <x v="1"/>
  </r>
  <r>
    <s v="16"/>
    <s v="card"/>
    <n v="35.76"/>
    <x v="0"/>
    <x v="1"/>
    <x v="0"/>
    <x v="11"/>
    <s v="5"/>
    <s v="2"/>
    <s v="2025-02-21"/>
    <d v="1899-12-30T16:46:59"/>
    <x v="1"/>
  </r>
  <r>
    <s v="16"/>
    <s v="card"/>
    <n v="35.76"/>
    <x v="1"/>
    <x v="1"/>
    <x v="0"/>
    <x v="11"/>
    <s v="5"/>
    <s v="2"/>
    <s v="2025-02-21"/>
    <d v="1899-12-30T16:48:59"/>
    <x v="1"/>
  </r>
  <r>
    <s v="16"/>
    <s v="card"/>
    <n v="35.76"/>
    <x v="0"/>
    <x v="1"/>
    <x v="0"/>
    <x v="11"/>
    <s v="5"/>
    <s v="2"/>
    <s v="2025-02-21"/>
    <d v="1899-12-30T16:50:13"/>
    <x v="1"/>
  </r>
  <r>
    <s v="19"/>
    <s v="card"/>
    <n v="35.76"/>
    <x v="4"/>
    <x v="2"/>
    <x v="0"/>
    <x v="11"/>
    <s v="5"/>
    <s v="2"/>
    <s v="2025-02-21"/>
    <d v="1899-12-30T19:08:19"/>
    <x v="1"/>
  </r>
  <r>
    <s v="19"/>
    <s v="card"/>
    <n v="35.76"/>
    <x v="4"/>
    <x v="2"/>
    <x v="0"/>
    <x v="11"/>
    <s v="5"/>
    <s v="2"/>
    <s v="2025-02-21"/>
    <d v="1899-12-30T19:09:10"/>
    <x v="1"/>
  </r>
  <r>
    <s v="19"/>
    <s v="card"/>
    <n v="35.76"/>
    <x v="7"/>
    <x v="2"/>
    <x v="0"/>
    <x v="11"/>
    <s v="5"/>
    <s v="2"/>
    <s v="2025-02-21"/>
    <d v="1899-12-30T19:59:24"/>
    <x v="1"/>
  </r>
  <r>
    <s v="10"/>
    <s v="card"/>
    <n v="35.76"/>
    <x v="1"/>
    <x v="0"/>
    <x v="1"/>
    <x v="11"/>
    <s v="6"/>
    <s v="2"/>
    <s v="2025-02-22"/>
    <d v="1899-12-30T10:52:19"/>
    <x v="1"/>
  </r>
  <r>
    <s v="11"/>
    <s v="card"/>
    <n v="25.96"/>
    <x v="2"/>
    <x v="0"/>
    <x v="1"/>
    <x v="11"/>
    <s v="6"/>
    <s v="2"/>
    <s v="2025-02-22"/>
    <d v="1899-12-30T11:28:30"/>
    <x v="1"/>
  </r>
  <r>
    <s v="11"/>
    <s v="card"/>
    <n v="25.96"/>
    <x v="2"/>
    <x v="0"/>
    <x v="1"/>
    <x v="11"/>
    <s v="6"/>
    <s v="2"/>
    <s v="2025-02-22"/>
    <d v="1899-12-30T11:41:13"/>
    <x v="1"/>
  </r>
  <r>
    <s v="12"/>
    <s v="card"/>
    <n v="21.06"/>
    <x v="6"/>
    <x v="1"/>
    <x v="1"/>
    <x v="11"/>
    <s v="6"/>
    <s v="2"/>
    <s v="2025-02-22"/>
    <d v="1899-12-30T12:59:42"/>
    <x v="1"/>
  </r>
  <r>
    <s v="15"/>
    <s v="card"/>
    <n v="30.86"/>
    <x v="3"/>
    <x v="1"/>
    <x v="1"/>
    <x v="11"/>
    <s v="6"/>
    <s v="2"/>
    <s v="2025-02-22"/>
    <d v="1899-12-30T15:03:03"/>
    <x v="1"/>
  </r>
  <r>
    <s v="10"/>
    <s v="card"/>
    <n v="30.86"/>
    <x v="3"/>
    <x v="0"/>
    <x v="2"/>
    <x v="11"/>
    <s v="7"/>
    <s v="2"/>
    <s v="2025-02-23"/>
    <d v="1899-12-30T10:33:12"/>
    <x v="1"/>
  </r>
  <r>
    <s v="12"/>
    <s v="card"/>
    <n v="30.86"/>
    <x v="3"/>
    <x v="1"/>
    <x v="2"/>
    <x v="11"/>
    <s v="7"/>
    <s v="2"/>
    <s v="2025-02-23"/>
    <d v="1899-12-30T12:52:26"/>
    <x v="1"/>
  </r>
  <r>
    <s v="12"/>
    <s v="card"/>
    <n v="30.86"/>
    <x v="3"/>
    <x v="1"/>
    <x v="2"/>
    <x v="11"/>
    <s v="7"/>
    <s v="2"/>
    <s v="2025-02-23"/>
    <d v="1899-12-30T12:54:06"/>
    <x v="1"/>
  </r>
  <r>
    <s v="13"/>
    <s v="card"/>
    <n v="35.76"/>
    <x v="7"/>
    <x v="1"/>
    <x v="2"/>
    <x v="11"/>
    <s v="7"/>
    <s v="2"/>
    <s v="2025-02-23"/>
    <d v="1899-12-30T13:50:22"/>
    <x v="1"/>
  </r>
  <r>
    <s v="14"/>
    <s v="card"/>
    <n v="35.76"/>
    <x v="4"/>
    <x v="1"/>
    <x v="2"/>
    <x v="11"/>
    <s v="7"/>
    <s v="2"/>
    <s v="2025-02-23"/>
    <d v="1899-12-30T14:02:03"/>
    <x v="1"/>
  </r>
  <r>
    <s v="17"/>
    <s v="card"/>
    <n v="25.96"/>
    <x v="2"/>
    <x v="2"/>
    <x v="2"/>
    <x v="11"/>
    <s v="7"/>
    <s v="2"/>
    <s v="2025-02-23"/>
    <d v="1899-12-30T17:27:45"/>
    <x v="1"/>
  </r>
  <r>
    <s v="9"/>
    <s v="card"/>
    <n v="30.86"/>
    <x v="3"/>
    <x v="0"/>
    <x v="3"/>
    <x v="11"/>
    <s v="1"/>
    <s v="2"/>
    <s v="2025-02-24"/>
    <d v="1899-12-30T09:14:54"/>
    <x v="1"/>
  </r>
  <r>
    <s v="9"/>
    <s v="card"/>
    <n v="35.76"/>
    <x v="0"/>
    <x v="0"/>
    <x v="3"/>
    <x v="11"/>
    <s v="1"/>
    <s v="2"/>
    <s v="2025-02-24"/>
    <d v="1899-12-30T09:45:11"/>
    <x v="1"/>
  </r>
  <r>
    <s v="10"/>
    <s v="card"/>
    <n v="25.96"/>
    <x v="2"/>
    <x v="0"/>
    <x v="3"/>
    <x v="11"/>
    <s v="1"/>
    <s v="2"/>
    <s v="2025-02-24"/>
    <d v="1899-12-30T10:02:49"/>
    <x v="1"/>
  </r>
  <r>
    <s v="10"/>
    <s v="card"/>
    <n v="30.86"/>
    <x v="3"/>
    <x v="0"/>
    <x v="3"/>
    <x v="11"/>
    <s v="1"/>
    <s v="2"/>
    <s v="2025-02-24"/>
    <d v="1899-12-30T10:09:12"/>
    <x v="1"/>
  </r>
  <r>
    <s v="10"/>
    <s v="card"/>
    <n v="30.86"/>
    <x v="3"/>
    <x v="0"/>
    <x v="3"/>
    <x v="11"/>
    <s v="1"/>
    <s v="2"/>
    <s v="2025-02-24"/>
    <d v="1899-12-30T10:10:22"/>
    <x v="1"/>
  </r>
  <r>
    <s v="10"/>
    <s v="card"/>
    <n v="35.76"/>
    <x v="4"/>
    <x v="0"/>
    <x v="3"/>
    <x v="11"/>
    <s v="1"/>
    <s v="2"/>
    <s v="2025-02-24"/>
    <d v="1899-12-30T10:47:48"/>
    <x v="1"/>
  </r>
  <r>
    <s v="12"/>
    <s v="card"/>
    <n v="35.76"/>
    <x v="0"/>
    <x v="1"/>
    <x v="3"/>
    <x v="11"/>
    <s v="1"/>
    <s v="2"/>
    <s v="2025-02-24"/>
    <d v="1899-12-30T12:58:41"/>
    <x v="1"/>
  </r>
  <r>
    <s v="13"/>
    <s v="card"/>
    <n v="35.76"/>
    <x v="4"/>
    <x v="1"/>
    <x v="3"/>
    <x v="11"/>
    <s v="1"/>
    <s v="2"/>
    <s v="2025-02-24"/>
    <d v="1899-12-30T13:00:01"/>
    <x v="1"/>
  </r>
  <r>
    <s v="15"/>
    <s v="card"/>
    <n v="30.86"/>
    <x v="3"/>
    <x v="1"/>
    <x v="3"/>
    <x v="11"/>
    <s v="1"/>
    <s v="2"/>
    <s v="2025-02-24"/>
    <d v="1899-12-30T15:40:02"/>
    <x v="1"/>
  </r>
  <r>
    <s v="16"/>
    <s v="card"/>
    <n v="35.76"/>
    <x v="4"/>
    <x v="1"/>
    <x v="3"/>
    <x v="11"/>
    <s v="1"/>
    <s v="2"/>
    <s v="2025-02-24"/>
    <d v="1899-12-30T16:00:06"/>
    <x v="1"/>
  </r>
  <r>
    <s v="16"/>
    <s v="card"/>
    <n v="35.76"/>
    <x v="7"/>
    <x v="1"/>
    <x v="3"/>
    <x v="11"/>
    <s v="1"/>
    <s v="2"/>
    <s v="2025-02-24"/>
    <d v="1899-12-30T16:10:24"/>
    <x v="1"/>
  </r>
  <r>
    <s v="16"/>
    <s v="card"/>
    <n v="35.76"/>
    <x v="0"/>
    <x v="1"/>
    <x v="3"/>
    <x v="11"/>
    <s v="1"/>
    <s v="2"/>
    <s v="2025-02-24"/>
    <d v="1899-12-30T16:28:52"/>
    <x v="1"/>
  </r>
  <r>
    <s v="16"/>
    <s v="card"/>
    <n v="25.96"/>
    <x v="2"/>
    <x v="1"/>
    <x v="3"/>
    <x v="11"/>
    <s v="1"/>
    <s v="2"/>
    <s v="2025-02-24"/>
    <d v="1899-12-30T16:59:39"/>
    <x v="1"/>
  </r>
  <r>
    <s v="17"/>
    <s v="card"/>
    <n v="25.96"/>
    <x v="2"/>
    <x v="2"/>
    <x v="3"/>
    <x v="11"/>
    <s v="1"/>
    <s v="2"/>
    <s v="2025-02-24"/>
    <d v="1899-12-30T17:00:45"/>
    <x v="1"/>
  </r>
  <r>
    <s v="17"/>
    <s v="card"/>
    <n v="30.86"/>
    <x v="3"/>
    <x v="2"/>
    <x v="3"/>
    <x v="11"/>
    <s v="1"/>
    <s v="2"/>
    <s v="2025-02-24"/>
    <d v="1899-12-30T17:37:39"/>
    <x v="1"/>
  </r>
  <r>
    <s v="18"/>
    <s v="card"/>
    <n v="30.86"/>
    <x v="3"/>
    <x v="2"/>
    <x v="3"/>
    <x v="11"/>
    <s v="1"/>
    <s v="2"/>
    <s v="2025-02-24"/>
    <d v="1899-12-30T18:07:02"/>
    <x v="1"/>
  </r>
  <r>
    <s v="18"/>
    <s v="card"/>
    <n v="35.76"/>
    <x v="0"/>
    <x v="2"/>
    <x v="3"/>
    <x v="11"/>
    <s v="1"/>
    <s v="2"/>
    <s v="2025-02-24"/>
    <d v="1899-12-30T18:21:57"/>
    <x v="1"/>
  </r>
  <r>
    <s v="19"/>
    <s v="card"/>
    <n v="30.86"/>
    <x v="3"/>
    <x v="2"/>
    <x v="3"/>
    <x v="11"/>
    <s v="1"/>
    <s v="2"/>
    <s v="2025-02-24"/>
    <d v="1899-12-30T19:04:34"/>
    <x v="1"/>
  </r>
  <r>
    <s v="19"/>
    <s v="card"/>
    <n v="35.76"/>
    <x v="1"/>
    <x v="2"/>
    <x v="3"/>
    <x v="11"/>
    <s v="1"/>
    <s v="2"/>
    <s v="2025-02-24"/>
    <d v="1899-12-30T19:24:11"/>
    <x v="1"/>
  </r>
  <r>
    <s v="19"/>
    <s v="card"/>
    <n v="35.76"/>
    <x v="0"/>
    <x v="2"/>
    <x v="3"/>
    <x v="11"/>
    <s v="1"/>
    <s v="2"/>
    <s v="2025-02-24"/>
    <d v="1899-12-30T19:24:54"/>
    <x v="1"/>
  </r>
  <r>
    <s v="19"/>
    <s v="card"/>
    <n v="35.76"/>
    <x v="4"/>
    <x v="2"/>
    <x v="3"/>
    <x v="11"/>
    <s v="1"/>
    <s v="2"/>
    <s v="2025-02-24"/>
    <d v="1899-12-30T19:26:15"/>
    <x v="1"/>
  </r>
  <r>
    <s v="20"/>
    <s v="card"/>
    <n v="35.76"/>
    <x v="4"/>
    <x v="2"/>
    <x v="3"/>
    <x v="11"/>
    <s v="1"/>
    <s v="2"/>
    <s v="2025-02-24"/>
    <d v="1899-12-30T20:14:51"/>
    <x v="1"/>
  </r>
  <r>
    <s v="8"/>
    <s v="card"/>
    <n v="30.86"/>
    <x v="3"/>
    <x v="0"/>
    <x v="4"/>
    <x v="11"/>
    <s v="2"/>
    <s v="2"/>
    <s v="2025-02-25"/>
    <d v="1899-12-30T08:00:39"/>
    <x v="1"/>
  </r>
  <r>
    <s v="8"/>
    <s v="card"/>
    <n v="25.96"/>
    <x v="2"/>
    <x v="0"/>
    <x v="4"/>
    <x v="11"/>
    <s v="2"/>
    <s v="2"/>
    <s v="2025-02-25"/>
    <d v="1899-12-30T08:49:21"/>
    <x v="1"/>
  </r>
  <r>
    <s v="8"/>
    <s v="card"/>
    <n v="30.86"/>
    <x v="3"/>
    <x v="0"/>
    <x v="4"/>
    <x v="11"/>
    <s v="2"/>
    <s v="2"/>
    <s v="2025-02-25"/>
    <d v="1899-12-30T08:50:14"/>
    <x v="1"/>
  </r>
  <r>
    <s v="10"/>
    <s v="card"/>
    <n v="21.06"/>
    <x v="6"/>
    <x v="0"/>
    <x v="4"/>
    <x v="11"/>
    <s v="2"/>
    <s v="2"/>
    <s v="2025-02-25"/>
    <d v="1899-12-30T10:02:45"/>
    <x v="1"/>
  </r>
  <r>
    <s v="11"/>
    <s v="card"/>
    <n v="25.96"/>
    <x v="2"/>
    <x v="0"/>
    <x v="4"/>
    <x v="11"/>
    <s v="2"/>
    <s v="2"/>
    <s v="2025-02-25"/>
    <d v="1899-12-30T11:03:34"/>
    <x v="1"/>
  </r>
  <r>
    <s v="11"/>
    <s v="card"/>
    <n v="25.96"/>
    <x v="2"/>
    <x v="0"/>
    <x v="4"/>
    <x v="11"/>
    <s v="2"/>
    <s v="2"/>
    <s v="2025-02-25"/>
    <d v="1899-12-30T11:04:27"/>
    <x v="1"/>
  </r>
  <r>
    <s v="12"/>
    <s v="card"/>
    <n v="35.76"/>
    <x v="7"/>
    <x v="1"/>
    <x v="4"/>
    <x v="11"/>
    <s v="2"/>
    <s v="2"/>
    <s v="2025-02-25"/>
    <d v="1899-12-30T12:20:42"/>
    <x v="1"/>
  </r>
  <r>
    <s v="14"/>
    <s v="card"/>
    <n v="35.76"/>
    <x v="7"/>
    <x v="1"/>
    <x v="4"/>
    <x v="11"/>
    <s v="2"/>
    <s v="2"/>
    <s v="2025-02-25"/>
    <d v="1899-12-30T14:14:19"/>
    <x v="1"/>
  </r>
  <r>
    <s v="16"/>
    <s v="card"/>
    <n v="25.96"/>
    <x v="2"/>
    <x v="1"/>
    <x v="4"/>
    <x v="11"/>
    <s v="2"/>
    <s v="2"/>
    <s v="2025-02-25"/>
    <d v="1899-12-30T16:49:37"/>
    <x v="1"/>
  </r>
  <r>
    <s v="16"/>
    <s v="card"/>
    <n v="25.96"/>
    <x v="2"/>
    <x v="1"/>
    <x v="4"/>
    <x v="11"/>
    <s v="2"/>
    <s v="2"/>
    <s v="2025-02-25"/>
    <d v="1899-12-30T16:50:36"/>
    <x v="1"/>
  </r>
  <r>
    <s v="18"/>
    <s v="card"/>
    <n v="35.76"/>
    <x v="4"/>
    <x v="2"/>
    <x v="4"/>
    <x v="11"/>
    <s v="2"/>
    <s v="2"/>
    <s v="2025-02-25"/>
    <d v="1899-12-30T18:19:09"/>
    <x v="1"/>
  </r>
  <r>
    <s v="19"/>
    <s v="card"/>
    <n v="35.76"/>
    <x v="7"/>
    <x v="2"/>
    <x v="4"/>
    <x v="11"/>
    <s v="2"/>
    <s v="2"/>
    <s v="2025-02-25"/>
    <d v="1899-12-30T19:32:40"/>
    <x v="1"/>
  </r>
  <r>
    <s v="8"/>
    <s v="card"/>
    <n v="25.96"/>
    <x v="2"/>
    <x v="0"/>
    <x v="5"/>
    <x v="11"/>
    <s v="3"/>
    <s v="2"/>
    <s v="2025-02-26"/>
    <d v="1899-12-30T08:57:37"/>
    <x v="1"/>
  </r>
  <r>
    <s v="10"/>
    <s v="card"/>
    <n v="30.86"/>
    <x v="3"/>
    <x v="0"/>
    <x v="5"/>
    <x v="11"/>
    <s v="3"/>
    <s v="2"/>
    <s v="2025-02-26"/>
    <d v="1899-12-30T10:11:27"/>
    <x v="1"/>
  </r>
  <r>
    <s v="10"/>
    <s v="card"/>
    <n v="30.86"/>
    <x v="3"/>
    <x v="0"/>
    <x v="5"/>
    <x v="11"/>
    <s v="3"/>
    <s v="2"/>
    <s v="2025-02-26"/>
    <d v="1899-12-30T10:12:26"/>
    <x v="1"/>
  </r>
  <r>
    <s v="10"/>
    <s v="card"/>
    <n v="35.76"/>
    <x v="1"/>
    <x v="0"/>
    <x v="5"/>
    <x v="11"/>
    <s v="3"/>
    <s v="2"/>
    <s v="2025-02-26"/>
    <d v="1899-12-30T10:16:57"/>
    <x v="1"/>
  </r>
  <r>
    <s v="13"/>
    <s v="card"/>
    <n v="35.76"/>
    <x v="4"/>
    <x v="1"/>
    <x v="5"/>
    <x v="11"/>
    <s v="3"/>
    <s v="2"/>
    <s v="2025-02-26"/>
    <d v="1899-12-30T13:13:27"/>
    <x v="1"/>
  </r>
  <r>
    <s v="13"/>
    <s v="card"/>
    <n v="35.76"/>
    <x v="0"/>
    <x v="1"/>
    <x v="5"/>
    <x v="11"/>
    <s v="3"/>
    <s v="2"/>
    <s v="2025-02-26"/>
    <d v="1899-12-30T13:31:24"/>
    <x v="1"/>
  </r>
  <r>
    <s v="15"/>
    <s v="card"/>
    <n v="25.96"/>
    <x v="2"/>
    <x v="1"/>
    <x v="5"/>
    <x v="11"/>
    <s v="3"/>
    <s v="2"/>
    <s v="2025-02-26"/>
    <d v="1899-12-30T15:01:59"/>
    <x v="1"/>
  </r>
  <r>
    <s v="15"/>
    <s v="card"/>
    <n v="25.96"/>
    <x v="2"/>
    <x v="1"/>
    <x v="5"/>
    <x v="11"/>
    <s v="3"/>
    <s v="2"/>
    <s v="2025-02-26"/>
    <d v="1899-12-30T15:14:48"/>
    <x v="1"/>
  </r>
  <r>
    <s v="15"/>
    <s v="card"/>
    <n v="25.96"/>
    <x v="5"/>
    <x v="1"/>
    <x v="5"/>
    <x v="11"/>
    <s v="3"/>
    <s v="2"/>
    <s v="2025-02-26"/>
    <d v="1899-12-30T15:17:25"/>
    <x v="1"/>
  </r>
  <r>
    <s v="15"/>
    <s v="card"/>
    <n v="35.76"/>
    <x v="1"/>
    <x v="1"/>
    <x v="5"/>
    <x v="11"/>
    <s v="3"/>
    <s v="2"/>
    <s v="2025-02-26"/>
    <d v="1899-12-30T15:20:03"/>
    <x v="1"/>
  </r>
  <r>
    <s v="15"/>
    <s v="card"/>
    <n v="25.96"/>
    <x v="2"/>
    <x v="1"/>
    <x v="5"/>
    <x v="11"/>
    <s v="3"/>
    <s v="2"/>
    <s v="2025-02-26"/>
    <d v="1899-12-30T15:20:49"/>
    <x v="1"/>
  </r>
  <r>
    <s v="15"/>
    <s v="card"/>
    <n v="25.96"/>
    <x v="2"/>
    <x v="1"/>
    <x v="5"/>
    <x v="11"/>
    <s v="3"/>
    <s v="2"/>
    <s v="2025-02-26"/>
    <d v="1899-12-30T15:28:45"/>
    <x v="1"/>
  </r>
  <r>
    <s v="16"/>
    <s v="card"/>
    <n v="35.76"/>
    <x v="0"/>
    <x v="1"/>
    <x v="5"/>
    <x v="11"/>
    <s v="3"/>
    <s v="2"/>
    <s v="2025-02-26"/>
    <d v="1899-12-30T16:20:47"/>
    <x v="1"/>
  </r>
  <r>
    <s v="16"/>
    <s v="card"/>
    <n v="35.76"/>
    <x v="1"/>
    <x v="1"/>
    <x v="5"/>
    <x v="11"/>
    <s v="3"/>
    <s v="2"/>
    <s v="2025-02-26"/>
    <d v="1899-12-30T16:55:14"/>
    <x v="1"/>
  </r>
  <r>
    <s v="16"/>
    <s v="card"/>
    <n v="35.76"/>
    <x v="0"/>
    <x v="1"/>
    <x v="5"/>
    <x v="11"/>
    <s v="3"/>
    <s v="2"/>
    <s v="2025-02-26"/>
    <d v="1899-12-30T16:56:00"/>
    <x v="1"/>
  </r>
  <r>
    <s v="17"/>
    <s v="card"/>
    <n v="30.86"/>
    <x v="3"/>
    <x v="2"/>
    <x v="5"/>
    <x v="11"/>
    <s v="3"/>
    <s v="2"/>
    <s v="2025-02-26"/>
    <d v="1899-12-30T17:22:45"/>
    <x v="1"/>
  </r>
  <r>
    <s v="18"/>
    <s v="card"/>
    <n v="35.76"/>
    <x v="0"/>
    <x v="2"/>
    <x v="5"/>
    <x v="11"/>
    <s v="3"/>
    <s v="2"/>
    <s v="2025-02-26"/>
    <d v="1899-12-30T18:11:24"/>
    <x v="1"/>
  </r>
  <r>
    <s v="18"/>
    <s v="card"/>
    <n v="35.76"/>
    <x v="7"/>
    <x v="2"/>
    <x v="5"/>
    <x v="11"/>
    <s v="3"/>
    <s v="2"/>
    <s v="2025-02-26"/>
    <d v="1899-12-30T18:13:50"/>
    <x v="1"/>
  </r>
  <r>
    <s v="7"/>
    <s v="card"/>
    <n v="35.76"/>
    <x v="7"/>
    <x v="0"/>
    <x v="6"/>
    <x v="11"/>
    <s v="4"/>
    <s v="2"/>
    <s v="2025-02-27"/>
    <d v="1899-12-30T07:19:00"/>
    <x v="1"/>
  </r>
  <r>
    <s v="7"/>
    <s v="card"/>
    <n v="35.76"/>
    <x v="7"/>
    <x v="0"/>
    <x v="6"/>
    <x v="11"/>
    <s v="4"/>
    <s v="2"/>
    <s v="2025-02-27"/>
    <d v="1899-12-30T07:21:01"/>
    <x v="1"/>
  </r>
  <r>
    <s v="10"/>
    <s v="card"/>
    <n v="21.06"/>
    <x v="6"/>
    <x v="0"/>
    <x v="6"/>
    <x v="11"/>
    <s v="4"/>
    <s v="2"/>
    <s v="2025-02-27"/>
    <d v="1899-12-30T10:52:29"/>
    <x v="1"/>
  </r>
  <r>
    <s v="11"/>
    <s v="card"/>
    <n v="35.76"/>
    <x v="4"/>
    <x v="0"/>
    <x v="6"/>
    <x v="11"/>
    <s v="4"/>
    <s v="2"/>
    <s v="2025-02-27"/>
    <d v="1899-12-30T11:08:17"/>
    <x v="1"/>
  </r>
  <r>
    <s v="12"/>
    <s v="card"/>
    <n v="35.76"/>
    <x v="4"/>
    <x v="1"/>
    <x v="6"/>
    <x v="11"/>
    <s v="4"/>
    <s v="2"/>
    <s v="2025-02-27"/>
    <d v="1899-12-30T12:48:16"/>
    <x v="1"/>
  </r>
  <r>
    <s v="13"/>
    <s v="card"/>
    <n v="30.86"/>
    <x v="3"/>
    <x v="1"/>
    <x v="6"/>
    <x v="11"/>
    <s v="4"/>
    <s v="2"/>
    <s v="2025-02-27"/>
    <d v="1899-12-30T13:29:48"/>
    <x v="1"/>
  </r>
  <r>
    <s v="14"/>
    <s v="card"/>
    <n v="25.96"/>
    <x v="2"/>
    <x v="1"/>
    <x v="6"/>
    <x v="11"/>
    <s v="4"/>
    <s v="2"/>
    <s v="2025-02-27"/>
    <d v="1899-12-30T14:23:16"/>
    <x v="1"/>
  </r>
  <r>
    <s v="14"/>
    <s v="card"/>
    <n v="35.76"/>
    <x v="0"/>
    <x v="1"/>
    <x v="6"/>
    <x v="11"/>
    <s v="4"/>
    <s v="2"/>
    <s v="2025-02-27"/>
    <d v="1899-12-30T14:43:19"/>
    <x v="1"/>
  </r>
  <r>
    <s v="15"/>
    <s v="card"/>
    <n v="25.96"/>
    <x v="2"/>
    <x v="1"/>
    <x v="6"/>
    <x v="11"/>
    <s v="4"/>
    <s v="2"/>
    <s v="2025-02-27"/>
    <d v="1899-12-30T15:47:51"/>
    <x v="1"/>
  </r>
  <r>
    <s v="16"/>
    <s v="card"/>
    <n v="25.96"/>
    <x v="2"/>
    <x v="1"/>
    <x v="6"/>
    <x v="11"/>
    <s v="4"/>
    <s v="2"/>
    <s v="2025-02-27"/>
    <d v="1899-12-30T16:28:28"/>
    <x v="1"/>
  </r>
  <r>
    <s v="17"/>
    <s v="card"/>
    <n v="25.96"/>
    <x v="2"/>
    <x v="2"/>
    <x v="6"/>
    <x v="11"/>
    <s v="4"/>
    <s v="2"/>
    <s v="2025-02-27"/>
    <d v="1899-12-30T17:12:56"/>
    <x v="1"/>
  </r>
  <r>
    <s v="17"/>
    <s v="card"/>
    <n v="25.96"/>
    <x v="2"/>
    <x v="2"/>
    <x v="6"/>
    <x v="11"/>
    <s v="4"/>
    <s v="2"/>
    <s v="2025-02-27"/>
    <d v="1899-12-30T17:23:10"/>
    <x v="1"/>
  </r>
  <r>
    <s v="17"/>
    <s v="card"/>
    <n v="35.76"/>
    <x v="0"/>
    <x v="2"/>
    <x v="6"/>
    <x v="11"/>
    <s v="4"/>
    <s v="2"/>
    <s v="2025-02-27"/>
    <d v="1899-12-30T17:53:13"/>
    <x v="1"/>
  </r>
  <r>
    <s v="18"/>
    <s v="card"/>
    <n v="35.76"/>
    <x v="0"/>
    <x v="2"/>
    <x v="6"/>
    <x v="11"/>
    <s v="4"/>
    <s v="2"/>
    <s v="2025-02-27"/>
    <d v="1899-12-30T18:17:29"/>
    <x v="1"/>
  </r>
  <r>
    <s v="18"/>
    <s v="card"/>
    <n v="35.76"/>
    <x v="7"/>
    <x v="2"/>
    <x v="6"/>
    <x v="11"/>
    <s v="4"/>
    <s v="2"/>
    <s v="2025-02-27"/>
    <d v="1899-12-30T18:38:41"/>
    <x v="1"/>
  </r>
  <r>
    <s v="18"/>
    <s v="card"/>
    <n v="35.76"/>
    <x v="4"/>
    <x v="2"/>
    <x v="6"/>
    <x v="11"/>
    <s v="4"/>
    <s v="2"/>
    <s v="2025-02-27"/>
    <d v="1899-12-30T18:40:02"/>
    <x v="1"/>
  </r>
  <r>
    <s v="18"/>
    <s v="card"/>
    <n v="35.76"/>
    <x v="4"/>
    <x v="2"/>
    <x v="6"/>
    <x v="11"/>
    <s v="4"/>
    <s v="2"/>
    <s v="2025-02-27"/>
    <d v="1899-12-30T18:40:52"/>
    <x v="1"/>
  </r>
  <r>
    <s v="19"/>
    <s v="card"/>
    <n v="35.76"/>
    <x v="0"/>
    <x v="2"/>
    <x v="6"/>
    <x v="11"/>
    <s v="4"/>
    <s v="2"/>
    <s v="2025-02-27"/>
    <d v="1899-12-30T19:14:16"/>
    <x v="1"/>
  </r>
  <r>
    <s v="20"/>
    <s v="card"/>
    <n v="35.76"/>
    <x v="7"/>
    <x v="2"/>
    <x v="6"/>
    <x v="11"/>
    <s v="4"/>
    <s v="2"/>
    <s v="2025-02-27"/>
    <d v="1899-12-30T20:02:07"/>
    <x v="1"/>
  </r>
  <r>
    <s v="6"/>
    <s v="card"/>
    <n v="30.86"/>
    <x v="3"/>
    <x v="0"/>
    <x v="0"/>
    <x v="11"/>
    <s v="5"/>
    <s v="2"/>
    <s v="2025-02-28"/>
    <d v="1899-12-30T06:52:46"/>
    <x v="1"/>
  </r>
  <r>
    <s v="6"/>
    <s v="card"/>
    <n v="30.86"/>
    <x v="3"/>
    <x v="0"/>
    <x v="0"/>
    <x v="11"/>
    <s v="5"/>
    <s v="2"/>
    <s v="2025-02-28"/>
    <d v="1899-12-30T06:55:00"/>
    <x v="1"/>
  </r>
  <r>
    <s v="7"/>
    <s v="card"/>
    <n v="35.76"/>
    <x v="7"/>
    <x v="0"/>
    <x v="0"/>
    <x v="11"/>
    <s v="5"/>
    <s v="2"/>
    <s v="2025-02-28"/>
    <d v="1899-12-30T07:18:37"/>
    <x v="1"/>
  </r>
  <r>
    <s v="8"/>
    <s v="card"/>
    <n v="21.06"/>
    <x v="6"/>
    <x v="0"/>
    <x v="0"/>
    <x v="11"/>
    <s v="5"/>
    <s v="2"/>
    <s v="2025-02-28"/>
    <d v="1899-12-30T08:09:58"/>
    <x v="1"/>
  </r>
  <r>
    <s v="9"/>
    <s v="card"/>
    <n v="30.86"/>
    <x v="3"/>
    <x v="0"/>
    <x v="0"/>
    <x v="11"/>
    <s v="5"/>
    <s v="2"/>
    <s v="2025-02-28"/>
    <d v="1899-12-30T09:02:38"/>
    <x v="1"/>
  </r>
  <r>
    <s v="14"/>
    <s v="card"/>
    <n v="25.96"/>
    <x v="2"/>
    <x v="1"/>
    <x v="0"/>
    <x v="11"/>
    <s v="5"/>
    <s v="2"/>
    <s v="2025-02-28"/>
    <d v="1899-12-30T14:44:28"/>
    <x v="1"/>
  </r>
  <r>
    <s v="14"/>
    <s v="card"/>
    <n v="25.96"/>
    <x v="2"/>
    <x v="1"/>
    <x v="0"/>
    <x v="11"/>
    <s v="5"/>
    <s v="2"/>
    <s v="2025-02-28"/>
    <d v="1899-12-30T14:45:22"/>
    <x v="1"/>
  </r>
  <r>
    <s v="14"/>
    <s v="card"/>
    <n v="25.96"/>
    <x v="2"/>
    <x v="1"/>
    <x v="0"/>
    <x v="11"/>
    <s v="5"/>
    <s v="2"/>
    <s v="2025-02-28"/>
    <d v="1899-12-30T14:47:52"/>
    <x v="1"/>
  </r>
  <r>
    <s v="14"/>
    <s v="card"/>
    <n v="35.76"/>
    <x v="0"/>
    <x v="1"/>
    <x v="0"/>
    <x v="11"/>
    <s v="5"/>
    <s v="2"/>
    <s v="2025-02-28"/>
    <d v="1899-12-30T14:52:02"/>
    <x v="1"/>
  </r>
  <r>
    <s v="15"/>
    <s v="card"/>
    <n v="25.96"/>
    <x v="2"/>
    <x v="1"/>
    <x v="0"/>
    <x v="11"/>
    <s v="5"/>
    <s v="2"/>
    <s v="2025-02-28"/>
    <d v="1899-12-30T15:19:19"/>
    <x v="1"/>
  </r>
  <r>
    <s v="16"/>
    <s v="card"/>
    <n v="35.76"/>
    <x v="4"/>
    <x v="1"/>
    <x v="0"/>
    <x v="11"/>
    <s v="5"/>
    <s v="2"/>
    <s v="2025-02-28"/>
    <d v="1899-12-30T16:22:27"/>
    <x v="1"/>
  </r>
  <r>
    <s v="16"/>
    <s v="card"/>
    <n v="25.96"/>
    <x v="2"/>
    <x v="1"/>
    <x v="0"/>
    <x v="11"/>
    <s v="5"/>
    <s v="2"/>
    <s v="2025-02-28"/>
    <d v="1899-12-30T16:30:07"/>
    <x v="1"/>
  </r>
  <r>
    <s v="17"/>
    <s v="card"/>
    <n v="35.76"/>
    <x v="0"/>
    <x v="2"/>
    <x v="0"/>
    <x v="11"/>
    <s v="5"/>
    <s v="2"/>
    <s v="2025-02-28"/>
    <d v="1899-12-30T17:21:01"/>
    <x v="1"/>
  </r>
  <r>
    <s v="17"/>
    <s v="card"/>
    <n v="30.86"/>
    <x v="3"/>
    <x v="2"/>
    <x v="0"/>
    <x v="11"/>
    <s v="5"/>
    <s v="2"/>
    <s v="2025-02-28"/>
    <d v="1899-12-30T17:31:04"/>
    <x v="1"/>
  </r>
  <r>
    <s v="17"/>
    <s v="card"/>
    <n v="25.96"/>
    <x v="2"/>
    <x v="2"/>
    <x v="0"/>
    <x v="11"/>
    <s v="5"/>
    <s v="2"/>
    <s v="2025-02-28"/>
    <d v="1899-12-30T17:32:17"/>
    <x v="1"/>
  </r>
  <r>
    <s v="17"/>
    <s v="card"/>
    <n v="25.96"/>
    <x v="2"/>
    <x v="2"/>
    <x v="0"/>
    <x v="11"/>
    <s v="5"/>
    <s v="2"/>
    <s v="2025-02-28"/>
    <d v="1899-12-30T17:33:49"/>
    <x v="1"/>
  </r>
  <r>
    <s v="18"/>
    <s v="card"/>
    <n v="35.76"/>
    <x v="0"/>
    <x v="2"/>
    <x v="0"/>
    <x v="11"/>
    <s v="5"/>
    <s v="2"/>
    <s v="2025-02-28"/>
    <d v="1899-12-30T18:53:49"/>
    <x v="1"/>
  </r>
  <r>
    <s v="10"/>
    <s v="card"/>
    <n v="35.76"/>
    <x v="7"/>
    <x v="0"/>
    <x v="1"/>
    <x v="0"/>
    <s v="6"/>
    <s v="3"/>
    <s v="2025-03-01"/>
    <d v="1899-12-30T10:31:46"/>
    <x v="1"/>
  </r>
  <r>
    <s v="11"/>
    <s v="card"/>
    <n v="25.96"/>
    <x v="2"/>
    <x v="0"/>
    <x v="1"/>
    <x v="0"/>
    <s v="6"/>
    <s v="3"/>
    <s v="2025-03-01"/>
    <d v="1899-12-30T11:24:05"/>
    <x v="1"/>
  </r>
  <r>
    <s v="11"/>
    <s v="card"/>
    <n v="25.96"/>
    <x v="2"/>
    <x v="0"/>
    <x v="1"/>
    <x v="0"/>
    <s v="6"/>
    <s v="3"/>
    <s v="2025-03-01"/>
    <d v="1899-12-30T11:27:58"/>
    <x v="1"/>
  </r>
  <r>
    <s v="14"/>
    <s v="card"/>
    <n v="35.76"/>
    <x v="0"/>
    <x v="1"/>
    <x v="1"/>
    <x v="0"/>
    <s v="6"/>
    <s v="3"/>
    <s v="2025-03-01"/>
    <d v="1899-12-30T14:43:24"/>
    <x v="1"/>
  </r>
  <r>
    <s v="15"/>
    <s v="card"/>
    <n v="25.96"/>
    <x v="2"/>
    <x v="1"/>
    <x v="1"/>
    <x v="0"/>
    <s v="6"/>
    <s v="3"/>
    <s v="2025-03-01"/>
    <d v="1899-12-30T15:02:31"/>
    <x v="1"/>
  </r>
  <r>
    <s v="15"/>
    <s v="card"/>
    <n v="30.86"/>
    <x v="3"/>
    <x v="1"/>
    <x v="1"/>
    <x v="0"/>
    <s v="6"/>
    <s v="3"/>
    <s v="2025-03-01"/>
    <d v="1899-12-30T15:08:20"/>
    <x v="1"/>
  </r>
  <r>
    <s v="16"/>
    <s v="card"/>
    <n v="35.76"/>
    <x v="7"/>
    <x v="1"/>
    <x v="1"/>
    <x v="0"/>
    <s v="6"/>
    <s v="3"/>
    <s v="2025-03-01"/>
    <d v="1899-12-30T16:42:13"/>
    <x v="1"/>
  </r>
  <r>
    <s v="17"/>
    <s v="card"/>
    <n v="25.96"/>
    <x v="2"/>
    <x v="2"/>
    <x v="1"/>
    <x v="0"/>
    <s v="6"/>
    <s v="3"/>
    <s v="2025-03-01"/>
    <d v="1899-12-30T17:08:34"/>
    <x v="1"/>
  </r>
  <r>
    <s v="9"/>
    <s v="card"/>
    <n v="35.76"/>
    <x v="4"/>
    <x v="0"/>
    <x v="2"/>
    <x v="0"/>
    <s v="7"/>
    <s v="3"/>
    <s v="2025-03-02"/>
    <d v="1899-12-30T09:58:15"/>
    <x v="1"/>
  </r>
  <r>
    <s v="12"/>
    <s v="card"/>
    <n v="35.76"/>
    <x v="0"/>
    <x v="1"/>
    <x v="2"/>
    <x v="0"/>
    <s v="7"/>
    <s v="3"/>
    <s v="2025-03-02"/>
    <d v="1899-12-30T12:17:36"/>
    <x v="1"/>
  </r>
  <r>
    <s v="13"/>
    <s v="card"/>
    <n v="30.86"/>
    <x v="3"/>
    <x v="1"/>
    <x v="2"/>
    <x v="0"/>
    <s v="7"/>
    <s v="3"/>
    <s v="2025-03-02"/>
    <d v="1899-12-30T13:36:20"/>
    <x v="1"/>
  </r>
  <r>
    <s v="15"/>
    <s v="card"/>
    <n v="30.86"/>
    <x v="3"/>
    <x v="1"/>
    <x v="2"/>
    <x v="0"/>
    <s v="7"/>
    <s v="3"/>
    <s v="2025-03-02"/>
    <d v="1899-12-30T15:22:17"/>
    <x v="1"/>
  </r>
  <r>
    <s v="15"/>
    <s v="card"/>
    <n v="25.96"/>
    <x v="2"/>
    <x v="1"/>
    <x v="2"/>
    <x v="0"/>
    <s v="7"/>
    <s v="3"/>
    <s v="2025-03-02"/>
    <d v="1899-12-30T15:23:16"/>
    <x v="1"/>
  </r>
  <r>
    <s v="15"/>
    <s v="card"/>
    <n v="25.96"/>
    <x v="2"/>
    <x v="1"/>
    <x v="2"/>
    <x v="0"/>
    <s v="7"/>
    <s v="3"/>
    <s v="2025-03-02"/>
    <d v="1899-12-30T15:24:45"/>
    <x v="1"/>
  </r>
  <r>
    <s v="8"/>
    <s v="card"/>
    <n v="35.76"/>
    <x v="7"/>
    <x v="0"/>
    <x v="3"/>
    <x v="0"/>
    <s v="1"/>
    <s v="3"/>
    <s v="2025-03-03"/>
    <d v="1899-12-30T08:24:02"/>
    <x v="1"/>
  </r>
  <r>
    <s v="9"/>
    <s v="card"/>
    <n v="35.76"/>
    <x v="4"/>
    <x v="0"/>
    <x v="3"/>
    <x v="0"/>
    <s v="1"/>
    <s v="3"/>
    <s v="2025-03-03"/>
    <d v="1899-12-30T09:46:52"/>
    <x v="1"/>
  </r>
  <r>
    <s v="9"/>
    <s v="card"/>
    <n v="35.76"/>
    <x v="0"/>
    <x v="0"/>
    <x v="3"/>
    <x v="0"/>
    <s v="1"/>
    <s v="3"/>
    <s v="2025-03-03"/>
    <d v="1899-12-30T09:48:39"/>
    <x v="1"/>
  </r>
  <r>
    <s v="10"/>
    <s v="card"/>
    <n v="35.76"/>
    <x v="1"/>
    <x v="0"/>
    <x v="3"/>
    <x v="0"/>
    <s v="1"/>
    <s v="3"/>
    <s v="2025-03-03"/>
    <d v="1899-12-30T10:21:25"/>
    <x v="1"/>
  </r>
  <r>
    <s v="10"/>
    <s v="card"/>
    <n v="35.76"/>
    <x v="1"/>
    <x v="0"/>
    <x v="3"/>
    <x v="0"/>
    <s v="1"/>
    <s v="3"/>
    <s v="2025-03-03"/>
    <d v="1899-12-30T10:24:47"/>
    <x v="1"/>
  </r>
  <r>
    <s v="12"/>
    <s v="card"/>
    <n v="35.76"/>
    <x v="7"/>
    <x v="1"/>
    <x v="3"/>
    <x v="0"/>
    <s v="1"/>
    <s v="3"/>
    <s v="2025-03-03"/>
    <d v="1899-12-30T12:58:08"/>
    <x v="1"/>
  </r>
  <r>
    <s v="15"/>
    <s v="card"/>
    <n v="35.76"/>
    <x v="0"/>
    <x v="1"/>
    <x v="3"/>
    <x v="0"/>
    <s v="1"/>
    <s v="3"/>
    <s v="2025-03-03"/>
    <d v="1899-12-30T15:11:01"/>
    <x v="1"/>
  </r>
  <r>
    <s v="15"/>
    <s v="card"/>
    <n v="25.96"/>
    <x v="2"/>
    <x v="1"/>
    <x v="3"/>
    <x v="0"/>
    <s v="1"/>
    <s v="3"/>
    <s v="2025-03-03"/>
    <d v="1899-12-30T15:47:59"/>
    <x v="1"/>
  </r>
  <r>
    <s v="16"/>
    <s v="card"/>
    <n v="35.76"/>
    <x v="4"/>
    <x v="1"/>
    <x v="3"/>
    <x v="0"/>
    <s v="1"/>
    <s v="3"/>
    <s v="2025-03-03"/>
    <d v="1899-12-30T16:14:50"/>
    <x v="1"/>
  </r>
  <r>
    <s v="16"/>
    <s v="card"/>
    <n v="35.76"/>
    <x v="0"/>
    <x v="1"/>
    <x v="3"/>
    <x v="0"/>
    <s v="1"/>
    <s v="3"/>
    <s v="2025-03-03"/>
    <d v="1899-12-30T16:16:35"/>
    <x v="1"/>
  </r>
  <r>
    <s v="16"/>
    <s v="card"/>
    <n v="35.76"/>
    <x v="0"/>
    <x v="1"/>
    <x v="3"/>
    <x v="0"/>
    <s v="1"/>
    <s v="3"/>
    <s v="2025-03-03"/>
    <d v="1899-12-30T16:18:27"/>
    <x v="1"/>
  </r>
  <r>
    <s v="16"/>
    <s v="card"/>
    <n v="35.76"/>
    <x v="7"/>
    <x v="1"/>
    <x v="3"/>
    <x v="0"/>
    <s v="1"/>
    <s v="3"/>
    <s v="2025-03-03"/>
    <d v="1899-12-30T16:40:29"/>
    <x v="1"/>
  </r>
  <r>
    <s v="16"/>
    <s v="card"/>
    <n v="35.76"/>
    <x v="7"/>
    <x v="1"/>
    <x v="3"/>
    <x v="0"/>
    <s v="1"/>
    <s v="3"/>
    <s v="2025-03-03"/>
    <d v="1899-12-30T16:42:23"/>
    <x v="1"/>
  </r>
  <r>
    <s v="16"/>
    <s v="card"/>
    <n v="25.96"/>
    <x v="2"/>
    <x v="1"/>
    <x v="3"/>
    <x v="0"/>
    <s v="1"/>
    <s v="3"/>
    <s v="2025-03-03"/>
    <d v="1899-12-30T16:52:12"/>
    <x v="1"/>
  </r>
  <r>
    <s v="17"/>
    <s v="card"/>
    <n v="30.86"/>
    <x v="3"/>
    <x v="2"/>
    <x v="3"/>
    <x v="0"/>
    <s v="1"/>
    <s v="3"/>
    <s v="2025-03-03"/>
    <d v="1899-12-30T17:28:43"/>
    <x v="1"/>
  </r>
  <r>
    <s v="17"/>
    <s v="card"/>
    <n v="25.96"/>
    <x v="2"/>
    <x v="2"/>
    <x v="3"/>
    <x v="0"/>
    <s v="1"/>
    <s v="3"/>
    <s v="2025-03-03"/>
    <d v="1899-12-30T17:31:22"/>
    <x v="1"/>
  </r>
  <r>
    <s v="17"/>
    <s v="card"/>
    <n v="35.76"/>
    <x v="1"/>
    <x v="2"/>
    <x v="3"/>
    <x v="0"/>
    <s v="1"/>
    <s v="3"/>
    <s v="2025-03-03"/>
    <d v="1899-12-30T17:32:18"/>
    <x v="1"/>
  </r>
  <r>
    <s v="17"/>
    <s v="card"/>
    <n v="25.96"/>
    <x v="2"/>
    <x v="2"/>
    <x v="3"/>
    <x v="0"/>
    <s v="1"/>
    <s v="3"/>
    <s v="2025-03-03"/>
    <d v="1899-12-30T17:32:59"/>
    <x v="1"/>
  </r>
  <r>
    <s v="17"/>
    <s v="card"/>
    <n v="35.76"/>
    <x v="1"/>
    <x v="2"/>
    <x v="3"/>
    <x v="0"/>
    <s v="1"/>
    <s v="3"/>
    <s v="2025-03-03"/>
    <d v="1899-12-30T17:57:33"/>
    <x v="1"/>
  </r>
  <r>
    <s v="17"/>
    <s v="card"/>
    <n v="35.76"/>
    <x v="1"/>
    <x v="2"/>
    <x v="3"/>
    <x v="0"/>
    <s v="1"/>
    <s v="3"/>
    <s v="2025-03-03"/>
    <d v="1899-12-30T17:58:27"/>
    <x v="1"/>
  </r>
  <r>
    <s v="18"/>
    <s v="card"/>
    <n v="30.86"/>
    <x v="3"/>
    <x v="2"/>
    <x v="3"/>
    <x v="0"/>
    <s v="1"/>
    <s v="3"/>
    <s v="2025-03-03"/>
    <d v="1899-12-30T18:03:05"/>
    <x v="1"/>
  </r>
  <r>
    <s v="18"/>
    <s v="card"/>
    <n v="35.76"/>
    <x v="0"/>
    <x v="2"/>
    <x v="3"/>
    <x v="0"/>
    <s v="1"/>
    <s v="3"/>
    <s v="2025-03-03"/>
    <d v="1899-12-30T18:46:53"/>
    <x v="1"/>
  </r>
  <r>
    <s v="7"/>
    <s v="card"/>
    <n v="35.76"/>
    <x v="7"/>
    <x v="0"/>
    <x v="4"/>
    <x v="0"/>
    <s v="2"/>
    <s v="3"/>
    <s v="2025-03-04"/>
    <d v="1899-12-30T07:19:22"/>
    <x v="1"/>
  </r>
  <r>
    <s v="7"/>
    <s v="card"/>
    <n v="25.96"/>
    <x v="2"/>
    <x v="0"/>
    <x v="4"/>
    <x v="0"/>
    <s v="2"/>
    <s v="3"/>
    <s v="2025-03-04"/>
    <d v="1899-12-30T07:31:55"/>
    <x v="1"/>
  </r>
  <r>
    <s v="8"/>
    <s v="card"/>
    <n v="30.86"/>
    <x v="3"/>
    <x v="0"/>
    <x v="4"/>
    <x v="0"/>
    <s v="2"/>
    <s v="3"/>
    <s v="2025-03-04"/>
    <d v="1899-12-30T08:51:45"/>
    <x v="1"/>
  </r>
  <r>
    <s v="9"/>
    <s v="card"/>
    <n v="25.96"/>
    <x v="2"/>
    <x v="0"/>
    <x v="4"/>
    <x v="0"/>
    <s v="2"/>
    <s v="3"/>
    <s v="2025-03-04"/>
    <d v="1899-12-30T09:09:32"/>
    <x v="1"/>
  </r>
  <r>
    <s v="9"/>
    <s v="card"/>
    <n v="25.96"/>
    <x v="2"/>
    <x v="0"/>
    <x v="4"/>
    <x v="0"/>
    <s v="2"/>
    <s v="3"/>
    <s v="2025-03-04"/>
    <d v="1899-12-30T09:10:22"/>
    <x v="1"/>
  </r>
  <r>
    <s v="9"/>
    <s v="card"/>
    <n v="25.96"/>
    <x v="2"/>
    <x v="0"/>
    <x v="4"/>
    <x v="0"/>
    <s v="2"/>
    <s v="3"/>
    <s v="2025-03-04"/>
    <d v="1899-12-30T09:58:37"/>
    <x v="1"/>
  </r>
  <r>
    <s v="11"/>
    <s v="card"/>
    <n v="30.86"/>
    <x v="3"/>
    <x v="0"/>
    <x v="4"/>
    <x v="0"/>
    <s v="2"/>
    <s v="3"/>
    <s v="2025-03-04"/>
    <d v="1899-12-30T11:04:02"/>
    <x v="1"/>
  </r>
  <r>
    <s v="11"/>
    <s v="card"/>
    <n v="25.96"/>
    <x v="2"/>
    <x v="0"/>
    <x v="4"/>
    <x v="0"/>
    <s v="2"/>
    <s v="3"/>
    <s v="2025-03-04"/>
    <d v="1899-12-30T11:05:07"/>
    <x v="1"/>
  </r>
  <r>
    <s v="11"/>
    <s v="card"/>
    <n v="25.96"/>
    <x v="2"/>
    <x v="0"/>
    <x v="4"/>
    <x v="0"/>
    <s v="2"/>
    <s v="3"/>
    <s v="2025-03-04"/>
    <d v="1899-12-30T11:46:41"/>
    <x v="1"/>
  </r>
  <r>
    <s v="11"/>
    <s v="card"/>
    <n v="25.96"/>
    <x v="2"/>
    <x v="0"/>
    <x v="4"/>
    <x v="0"/>
    <s v="2"/>
    <s v="3"/>
    <s v="2025-03-04"/>
    <d v="1899-12-30T11:47:25"/>
    <x v="1"/>
  </r>
  <r>
    <s v="11"/>
    <s v="card"/>
    <n v="25.96"/>
    <x v="2"/>
    <x v="0"/>
    <x v="4"/>
    <x v="0"/>
    <s v="2"/>
    <s v="3"/>
    <s v="2025-03-04"/>
    <d v="1899-12-30T11:51:35"/>
    <x v="1"/>
  </r>
  <r>
    <s v="12"/>
    <s v="card"/>
    <n v="35.76"/>
    <x v="4"/>
    <x v="1"/>
    <x v="4"/>
    <x v="0"/>
    <s v="2"/>
    <s v="3"/>
    <s v="2025-03-04"/>
    <d v="1899-12-30T12:25:59"/>
    <x v="1"/>
  </r>
  <r>
    <s v="16"/>
    <s v="card"/>
    <n v="25.96"/>
    <x v="2"/>
    <x v="1"/>
    <x v="4"/>
    <x v="0"/>
    <s v="2"/>
    <s v="3"/>
    <s v="2025-03-04"/>
    <d v="1899-12-30T16:48:58"/>
    <x v="1"/>
  </r>
  <r>
    <s v="18"/>
    <s v="card"/>
    <n v="35.76"/>
    <x v="4"/>
    <x v="2"/>
    <x v="4"/>
    <x v="0"/>
    <s v="2"/>
    <s v="3"/>
    <s v="2025-03-04"/>
    <d v="1899-12-30T18:43:22"/>
    <x v="1"/>
  </r>
  <r>
    <s v="19"/>
    <s v="card"/>
    <n v="35.76"/>
    <x v="0"/>
    <x v="2"/>
    <x v="4"/>
    <x v="0"/>
    <s v="2"/>
    <s v="3"/>
    <s v="2025-03-04"/>
    <d v="1899-12-30T19:10:09"/>
    <x v="1"/>
  </r>
  <r>
    <s v="20"/>
    <s v="card"/>
    <n v="35.76"/>
    <x v="0"/>
    <x v="2"/>
    <x v="4"/>
    <x v="0"/>
    <s v="2"/>
    <s v="3"/>
    <s v="2025-03-04"/>
    <d v="1899-12-30T20:09:01"/>
    <x v="1"/>
  </r>
  <r>
    <s v="8"/>
    <s v="card"/>
    <n v="30.86"/>
    <x v="3"/>
    <x v="0"/>
    <x v="5"/>
    <x v="0"/>
    <s v="3"/>
    <s v="3"/>
    <s v="2025-03-05"/>
    <d v="1899-12-30T08:39:52"/>
    <x v="1"/>
  </r>
  <r>
    <s v="9"/>
    <s v="card"/>
    <n v="25.96"/>
    <x v="2"/>
    <x v="0"/>
    <x v="5"/>
    <x v="0"/>
    <s v="3"/>
    <s v="3"/>
    <s v="2025-03-05"/>
    <d v="1899-12-30T09:38:24"/>
    <x v="1"/>
  </r>
  <r>
    <s v="10"/>
    <s v="card"/>
    <n v="25.96"/>
    <x v="2"/>
    <x v="0"/>
    <x v="5"/>
    <x v="0"/>
    <s v="3"/>
    <s v="3"/>
    <s v="2025-03-05"/>
    <d v="1899-12-30T10:01:14"/>
    <x v="1"/>
  </r>
  <r>
    <s v="10"/>
    <s v="card"/>
    <n v="25.96"/>
    <x v="2"/>
    <x v="0"/>
    <x v="5"/>
    <x v="0"/>
    <s v="3"/>
    <s v="3"/>
    <s v="2025-03-05"/>
    <d v="1899-12-30T10:02:04"/>
    <x v="1"/>
  </r>
  <r>
    <s v="10"/>
    <s v="card"/>
    <n v="35.76"/>
    <x v="7"/>
    <x v="0"/>
    <x v="5"/>
    <x v="0"/>
    <s v="3"/>
    <s v="3"/>
    <s v="2025-03-05"/>
    <d v="1899-12-30T10:10:51"/>
    <x v="1"/>
  </r>
  <r>
    <s v="10"/>
    <s v="card"/>
    <n v="30.86"/>
    <x v="3"/>
    <x v="0"/>
    <x v="5"/>
    <x v="0"/>
    <s v="3"/>
    <s v="3"/>
    <s v="2025-03-05"/>
    <d v="1899-12-30T10:40:35"/>
    <x v="1"/>
  </r>
  <r>
    <s v="11"/>
    <s v="card"/>
    <n v="35.76"/>
    <x v="7"/>
    <x v="0"/>
    <x v="5"/>
    <x v="0"/>
    <s v="3"/>
    <s v="3"/>
    <s v="2025-03-05"/>
    <d v="1899-12-30T11:08:32"/>
    <x v="1"/>
  </r>
  <r>
    <s v="11"/>
    <s v="card"/>
    <n v="35.76"/>
    <x v="4"/>
    <x v="0"/>
    <x v="5"/>
    <x v="0"/>
    <s v="3"/>
    <s v="3"/>
    <s v="2025-03-05"/>
    <d v="1899-12-30T11:10:54"/>
    <x v="1"/>
  </r>
  <r>
    <s v="11"/>
    <s v="card"/>
    <n v="25.96"/>
    <x v="2"/>
    <x v="0"/>
    <x v="5"/>
    <x v="0"/>
    <s v="3"/>
    <s v="3"/>
    <s v="2025-03-05"/>
    <d v="1899-12-30T11:38:51"/>
    <x v="1"/>
  </r>
  <r>
    <s v="11"/>
    <s v="card"/>
    <n v="25.96"/>
    <x v="2"/>
    <x v="0"/>
    <x v="5"/>
    <x v="0"/>
    <s v="3"/>
    <s v="3"/>
    <s v="2025-03-05"/>
    <d v="1899-12-30T11:41:22"/>
    <x v="1"/>
  </r>
  <r>
    <s v="12"/>
    <s v="card"/>
    <n v="25.96"/>
    <x v="2"/>
    <x v="1"/>
    <x v="5"/>
    <x v="0"/>
    <s v="3"/>
    <s v="3"/>
    <s v="2025-03-05"/>
    <d v="1899-12-30T12:12:56"/>
    <x v="1"/>
  </r>
  <r>
    <s v="15"/>
    <s v="card"/>
    <n v="35.76"/>
    <x v="0"/>
    <x v="1"/>
    <x v="5"/>
    <x v="0"/>
    <s v="3"/>
    <s v="3"/>
    <s v="2025-03-05"/>
    <d v="1899-12-30T15:07:51"/>
    <x v="1"/>
  </r>
  <r>
    <s v="15"/>
    <s v="card"/>
    <n v="35.76"/>
    <x v="0"/>
    <x v="1"/>
    <x v="5"/>
    <x v="0"/>
    <s v="3"/>
    <s v="3"/>
    <s v="2025-03-05"/>
    <d v="1899-12-30T15:21:36"/>
    <x v="1"/>
  </r>
  <r>
    <s v="15"/>
    <s v="card"/>
    <n v="35.76"/>
    <x v="1"/>
    <x v="1"/>
    <x v="5"/>
    <x v="0"/>
    <s v="3"/>
    <s v="3"/>
    <s v="2025-03-05"/>
    <d v="1899-12-30T15:25:11"/>
    <x v="1"/>
  </r>
  <r>
    <s v="17"/>
    <s v="card"/>
    <n v="30.86"/>
    <x v="3"/>
    <x v="2"/>
    <x v="5"/>
    <x v="0"/>
    <s v="3"/>
    <s v="3"/>
    <s v="2025-03-05"/>
    <d v="1899-12-30T17:09:57"/>
    <x v="1"/>
  </r>
  <r>
    <s v="17"/>
    <s v="card"/>
    <n v="21.06"/>
    <x v="6"/>
    <x v="2"/>
    <x v="5"/>
    <x v="0"/>
    <s v="3"/>
    <s v="3"/>
    <s v="2025-03-05"/>
    <d v="1899-12-30T17:16:24"/>
    <x v="1"/>
  </r>
  <r>
    <s v="17"/>
    <s v="card"/>
    <n v="35.76"/>
    <x v="0"/>
    <x v="2"/>
    <x v="5"/>
    <x v="0"/>
    <s v="3"/>
    <s v="3"/>
    <s v="2025-03-05"/>
    <d v="1899-12-30T17:31:41"/>
    <x v="1"/>
  </r>
  <r>
    <s v="18"/>
    <s v="card"/>
    <n v="35.76"/>
    <x v="7"/>
    <x v="2"/>
    <x v="5"/>
    <x v="0"/>
    <s v="3"/>
    <s v="3"/>
    <s v="2025-03-05"/>
    <d v="1899-12-30T18:13:27"/>
    <x v="1"/>
  </r>
  <r>
    <s v="19"/>
    <s v="card"/>
    <n v="35.76"/>
    <x v="4"/>
    <x v="2"/>
    <x v="5"/>
    <x v="0"/>
    <s v="3"/>
    <s v="3"/>
    <s v="2025-03-05"/>
    <d v="1899-12-30T19:02:57"/>
    <x v="1"/>
  </r>
  <r>
    <s v="9"/>
    <s v="card"/>
    <n v="35.76"/>
    <x v="1"/>
    <x v="0"/>
    <x v="6"/>
    <x v="0"/>
    <s v="4"/>
    <s v="3"/>
    <s v="2025-03-06"/>
    <d v="1899-12-30T09:33:39"/>
    <x v="1"/>
  </r>
  <r>
    <s v="9"/>
    <s v="card"/>
    <n v="21.06"/>
    <x v="6"/>
    <x v="0"/>
    <x v="6"/>
    <x v="0"/>
    <s v="4"/>
    <s v="3"/>
    <s v="2025-03-06"/>
    <d v="1899-12-30T09:35:53"/>
    <x v="1"/>
  </r>
  <r>
    <s v="10"/>
    <s v="card"/>
    <n v="30.86"/>
    <x v="3"/>
    <x v="0"/>
    <x v="6"/>
    <x v="0"/>
    <s v="4"/>
    <s v="3"/>
    <s v="2025-03-06"/>
    <d v="1899-12-30T10:48:05"/>
    <x v="1"/>
  </r>
  <r>
    <s v="10"/>
    <s v="card"/>
    <n v="25.96"/>
    <x v="2"/>
    <x v="0"/>
    <x v="6"/>
    <x v="0"/>
    <s v="4"/>
    <s v="3"/>
    <s v="2025-03-06"/>
    <d v="1899-12-30T10:56:47"/>
    <x v="1"/>
  </r>
  <r>
    <s v="10"/>
    <s v="card"/>
    <n v="25.96"/>
    <x v="2"/>
    <x v="0"/>
    <x v="6"/>
    <x v="0"/>
    <s v="4"/>
    <s v="3"/>
    <s v="2025-03-06"/>
    <d v="1899-12-30T10:57:35"/>
    <x v="1"/>
  </r>
  <r>
    <s v="11"/>
    <s v="card"/>
    <n v="25.96"/>
    <x v="2"/>
    <x v="0"/>
    <x v="6"/>
    <x v="0"/>
    <s v="4"/>
    <s v="3"/>
    <s v="2025-03-06"/>
    <d v="1899-12-30T11:05:44"/>
    <x v="1"/>
  </r>
  <r>
    <s v="11"/>
    <s v="card"/>
    <n v="35.76"/>
    <x v="7"/>
    <x v="0"/>
    <x v="6"/>
    <x v="0"/>
    <s v="4"/>
    <s v="3"/>
    <s v="2025-03-06"/>
    <d v="1899-12-30T11:17:38"/>
    <x v="1"/>
  </r>
  <r>
    <s v="13"/>
    <s v="card"/>
    <n v="35.76"/>
    <x v="0"/>
    <x v="1"/>
    <x v="6"/>
    <x v="0"/>
    <s v="4"/>
    <s v="3"/>
    <s v="2025-03-06"/>
    <d v="1899-12-30T13:51:33"/>
    <x v="1"/>
  </r>
  <r>
    <s v="16"/>
    <s v="card"/>
    <n v="30.86"/>
    <x v="3"/>
    <x v="1"/>
    <x v="6"/>
    <x v="0"/>
    <s v="4"/>
    <s v="3"/>
    <s v="2025-03-06"/>
    <d v="1899-12-30T16:06:47"/>
    <x v="1"/>
  </r>
  <r>
    <s v="17"/>
    <s v="card"/>
    <n v="35.76"/>
    <x v="4"/>
    <x v="2"/>
    <x v="6"/>
    <x v="0"/>
    <s v="4"/>
    <s v="3"/>
    <s v="2025-03-06"/>
    <d v="1899-12-30T17:49:11"/>
    <x v="1"/>
  </r>
  <r>
    <s v="18"/>
    <s v="card"/>
    <n v="35.76"/>
    <x v="7"/>
    <x v="2"/>
    <x v="6"/>
    <x v="0"/>
    <s v="4"/>
    <s v="3"/>
    <s v="2025-03-06"/>
    <d v="1899-12-30T18:27:12"/>
    <x v="1"/>
  </r>
  <r>
    <s v="19"/>
    <s v="card"/>
    <n v="30.86"/>
    <x v="3"/>
    <x v="2"/>
    <x v="6"/>
    <x v="0"/>
    <s v="4"/>
    <s v="3"/>
    <s v="2025-03-06"/>
    <d v="1899-12-30T19:22:11"/>
    <x v="1"/>
  </r>
  <r>
    <s v="7"/>
    <s v="card"/>
    <n v="35.76"/>
    <x v="7"/>
    <x v="0"/>
    <x v="0"/>
    <x v="0"/>
    <s v="5"/>
    <s v="3"/>
    <s v="2025-03-07"/>
    <d v="1899-12-30T07:05:42"/>
    <x v="1"/>
  </r>
  <r>
    <s v="8"/>
    <s v="card"/>
    <n v="25.96"/>
    <x v="2"/>
    <x v="0"/>
    <x v="0"/>
    <x v="0"/>
    <s v="5"/>
    <s v="3"/>
    <s v="2025-03-07"/>
    <d v="1899-12-30T08:45:11"/>
    <x v="1"/>
  </r>
  <r>
    <s v="8"/>
    <s v="card"/>
    <n v="25.96"/>
    <x v="2"/>
    <x v="0"/>
    <x v="0"/>
    <x v="0"/>
    <s v="5"/>
    <s v="3"/>
    <s v="2025-03-07"/>
    <d v="1899-12-30T08:46:04"/>
    <x v="1"/>
  </r>
  <r>
    <s v="9"/>
    <s v="card"/>
    <n v="25.96"/>
    <x v="2"/>
    <x v="0"/>
    <x v="0"/>
    <x v="0"/>
    <s v="5"/>
    <s v="3"/>
    <s v="2025-03-07"/>
    <d v="1899-12-30T09:02:41"/>
    <x v="1"/>
  </r>
  <r>
    <s v="10"/>
    <s v="card"/>
    <n v="35.76"/>
    <x v="1"/>
    <x v="0"/>
    <x v="0"/>
    <x v="0"/>
    <s v="5"/>
    <s v="3"/>
    <s v="2025-03-07"/>
    <d v="1899-12-30T10:09:58"/>
    <x v="1"/>
  </r>
  <r>
    <s v="10"/>
    <s v="card"/>
    <n v="30.86"/>
    <x v="3"/>
    <x v="0"/>
    <x v="0"/>
    <x v="0"/>
    <s v="5"/>
    <s v="3"/>
    <s v="2025-03-07"/>
    <d v="1899-12-30T10:26:35"/>
    <x v="1"/>
  </r>
  <r>
    <s v="10"/>
    <s v="card"/>
    <n v="30.86"/>
    <x v="3"/>
    <x v="0"/>
    <x v="0"/>
    <x v="0"/>
    <s v="5"/>
    <s v="3"/>
    <s v="2025-03-07"/>
    <d v="1899-12-30T10:27:33"/>
    <x v="1"/>
  </r>
  <r>
    <s v="10"/>
    <s v="card"/>
    <n v="35.76"/>
    <x v="4"/>
    <x v="0"/>
    <x v="0"/>
    <x v="0"/>
    <s v="5"/>
    <s v="3"/>
    <s v="2025-03-07"/>
    <d v="1899-12-30T10:41:46"/>
    <x v="1"/>
  </r>
  <r>
    <s v="11"/>
    <s v="card"/>
    <n v="35.76"/>
    <x v="4"/>
    <x v="0"/>
    <x v="0"/>
    <x v="0"/>
    <s v="5"/>
    <s v="3"/>
    <s v="2025-03-07"/>
    <d v="1899-12-30T11:50:59"/>
    <x v="1"/>
  </r>
  <r>
    <s v="12"/>
    <s v="card"/>
    <n v="30.86"/>
    <x v="3"/>
    <x v="1"/>
    <x v="0"/>
    <x v="0"/>
    <s v="5"/>
    <s v="3"/>
    <s v="2025-03-07"/>
    <d v="1899-12-30T12:03:46"/>
    <x v="1"/>
  </r>
  <r>
    <s v="13"/>
    <s v="card"/>
    <n v="35.76"/>
    <x v="1"/>
    <x v="1"/>
    <x v="0"/>
    <x v="0"/>
    <s v="5"/>
    <s v="3"/>
    <s v="2025-03-07"/>
    <d v="1899-12-30T13:43:48"/>
    <x v="1"/>
  </r>
  <r>
    <s v="13"/>
    <s v="card"/>
    <n v="25.96"/>
    <x v="2"/>
    <x v="1"/>
    <x v="0"/>
    <x v="0"/>
    <s v="5"/>
    <s v="3"/>
    <s v="2025-03-07"/>
    <d v="1899-12-30T13:55:32"/>
    <x v="1"/>
  </r>
  <r>
    <s v="14"/>
    <s v="card"/>
    <n v="35.76"/>
    <x v="7"/>
    <x v="1"/>
    <x v="0"/>
    <x v="0"/>
    <s v="5"/>
    <s v="3"/>
    <s v="2025-03-07"/>
    <d v="1899-12-30T14:53:30"/>
    <x v="1"/>
  </r>
  <r>
    <s v="15"/>
    <s v="card"/>
    <n v="35.76"/>
    <x v="0"/>
    <x v="1"/>
    <x v="0"/>
    <x v="0"/>
    <s v="5"/>
    <s v="3"/>
    <s v="2025-03-07"/>
    <d v="1899-12-30T15:09:04"/>
    <x v="1"/>
  </r>
  <r>
    <s v="15"/>
    <s v="card"/>
    <n v="35.76"/>
    <x v="0"/>
    <x v="1"/>
    <x v="0"/>
    <x v="0"/>
    <s v="5"/>
    <s v="3"/>
    <s v="2025-03-07"/>
    <d v="1899-12-30T15:52:53"/>
    <x v="1"/>
  </r>
  <r>
    <s v="17"/>
    <s v="card"/>
    <n v="35.76"/>
    <x v="0"/>
    <x v="2"/>
    <x v="0"/>
    <x v="0"/>
    <s v="5"/>
    <s v="3"/>
    <s v="2025-03-07"/>
    <d v="1899-12-30T17:10:29"/>
    <x v="1"/>
  </r>
  <r>
    <s v="17"/>
    <s v="card"/>
    <n v="35.76"/>
    <x v="1"/>
    <x v="2"/>
    <x v="0"/>
    <x v="0"/>
    <s v="5"/>
    <s v="3"/>
    <s v="2025-03-07"/>
    <d v="1899-12-30T17:12:24"/>
    <x v="1"/>
  </r>
  <r>
    <s v="9"/>
    <s v="card"/>
    <n v="30.86"/>
    <x v="3"/>
    <x v="0"/>
    <x v="1"/>
    <x v="0"/>
    <s v="6"/>
    <s v="3"/>
    <s v="2025-03-08"/>
    <d v="1899-12-30T09:23:45"/>
    <x v="1"/>
  </r>
  <r>
    <s v="9"/>
    <s v="card"/>
    <n v="30.86"/>
    <x v="3"/>
    <x v="0"/>
    <x v="1"/>
    <x v="0"/>
    <s v="6"/>
    <s v="3"/>
    <s v="2025-03-08"/>
    <d v="1899-12-30T09:41:53"/>
    <x v="1"/>
  </r>
  <r>
    <s v="10"/>
    <s v="card"/>
    <n v="25.96"/>
    <x v="2"/>
    <x v="0"/>
    <x v="1"/>
    <x v="0"/>
    <s v="6"/>
    <s v="3"/>
    <s v="2025-03-08"/>
    <d v="1899-12-30T10:54:14"/>
    <x v="1"/>
  </r>
  <r>
    <s v="11"/>
    <s v="card"/>
    <n v="25.96"/>
    <x v="2"/>
    <x v="0"/>
    <x v="1"/>
    <x v="0"/>
    <s v="6"/>
    <s v="3"/>
    <s v="2025-03-08"/>
    <d v="1899-12-30T11:19:46"/>
    <x v="1"/>
  </r>
  <r>
    <s v="11"/>
    <s v="card"/>
    <n v="25.96"/>
    <x v="2"/>
    <x v="0"/>
    <x v="1"/>
    <x v="0"/>
    <s v="6"/>
    <s v="3"/>
    <s v="2025-03-08"/>
    <d v="1899-12-30T11:20:32"/>
    <x v="1"/>
  </r>
  <r>
    <s v="12"/>
    <s v="card"/>
    <n v="30.86"/>
    <x v="3"/>
    <x v="1"/>
    <x v="1"/>
    <x v="0"/>
    <s v="6"/>
    <s v="3"/>
    <s v="2025-03-08"/>
    <d v="1899-12-30T12:41:20"/>
    <x v="1"/>
  </r>
  <r>
    <s v="12"/>
    <s v="card"/>
    <n v="25.96"/>
    <x v="2"/>
    <x v="1"/>
    <x v="1"/>
    <x v="0"/>
    <s v="6"/>
    <s v="3"/>
    <s v="2025-03-08"/>
    <d v="1899-12-30T12:45:05"/>
    <x v="1"/>
  </r>
  <r>
    <s v="13"/>
    <s v="card"/>
    <n v="35.76"/>
    <x v="7"/>
    <x v="1"/>
    <x v="1"/>
    <x v="0"/>
    <s v="6"/>
    <s v="3"/>
    <s v="2025-03-08"/>
    <d v="1899-12-30T13:40:06"/>
    <x v="1"/>
  </r>
  <r>
    <s v="9"/>
    <s v="card"/>
    <n v="21.06"/>
    <x v="6"/>
    <x v="0"/>
    <x v="2"/>
    <x v="0"/>
    <s v="7"/>
    <s v="3"/>
    <s v="2025-03-09"/>
    <d v="1899-12-30T09:42:04"/>
    <x v="1"/>
  </r>
  <r>
    <s v="11"/>
    <s v="card"/>
    <n v="30.86"/>
    <x v="3"/>
    <x v="0"/>
    <x v="2"/>
    <x v="0"/>
    <s v="7"/>
    <s v="3"/>
    <s v="2025-03-09"/>
    <d v="1899-12-30T11:25:53"/>
    <x v="1"/>
  </r>
  <r>
    <s v="13"/>
    <s v="card"/>
    <n v="35.76"/>
    <x v="7"/>
    <x v="1"/>
    <x v="2"/>
    <x v="0"/>
    <s v="7"/>
    <s v="3"/>
    <s v="2025-03-09"/>
    <d v="1899-12-30T13:51:56"/>
    <x v="1"/>
  </r>
  <r>
    <s v="14"/>
    <s v="card"/>
    <n v="25.96"/>
    <x v="2"/>
    <x v="1"/>
    <x v="2"/>
    <x v="0"/>
    <s v="7"/>
    <s v="3"/>
    <s v="2025-03-09"/>
    <d v="1899-12-30T14:18:30"/>
    <x v="1"/>
  </r>
  <r>
    <s v="15"/>
    <s v="card"/>
    <n v="35.76"/>
    <x v="7"/>
    <x v="1"/>
    <x v="2"/>
    <x v="0"/>
    <s v="7"/>
    <s v="3"/>
    <s v="2025-03-09"/>
    <d v="1899-12-30T15:12:41"/>
    <x v="1"/>
  </r>
  <r>
    <s v="15"/>
    <s v="card"/>
    <n v="25.96"/>
    <x v="2"/>
    <x v="1"/>
    <x v="2"/>
    <x v="0"/>
    <s v="7"/>
    <s v="3"/>
    <s v="2025-03-09"/>
    <d v="1899-12-30T15:39:07"/>
    <x v="1"/>
  </r>
  <r>
    <s v="15"/>
    <s v="card"/>
    <n v="30.86"/>
    <x v="3"/>
    <x v="1"/>
    <x v="2"/>
    <x v="0"/>
    <s v="7"/>
    <s v="3"/>
    <s v="2025-03-09"/>
    <d v="1899-12-30T15:52:39"/>
    <x v="1"/>
  </r>
  <r>
    <s v="15"/>
    <s v="card"/>
    <n v="35.76"/>
    <x v="4"/>
    <x v="1"/>
    <x v="2"/>
    <x v="0"/>
    <s v="7"/>
    <s v="3"/>
    <s v="2025-03-09"/>
    <d v="1899-12-30T15:53:40"/>
    <x v="1"/>
  </r>
  <r>
    <s v="8"/>
    <s v="card"/>
    <n v="25.96"/>
    <x v="2"/>
    <x v="0"/>
    <x v="3"/>
    <x v="0"/>
    <s v="1"/>
    <s v="3"/>
    <s v="2025-03-10"/>
    <d v="1899-12-30T08:34:43"/>
    <x v="1"/>
  </r>
  <r>
    <s v="8"/>
    <s v="card"/>
    <n v="35.76"/>
    <x v="0"/>
    <x v="0"/>
    <x v="3"/>
    <x v="0"/>
    <s v="1"/>
    <s v="3"/>
    <s v="2025-03-10"/>
    <d v="1899-12-30T08:35:40"/>
    <x v="1"/>
  </r>
  <r>
    <s v="9"/>
    <s v="card"/>
    <n v="30.86"/>
    <x v="3"/>
    <x v="0"/>
    <x v="3"/>
    <x v="0"/>
    <s v="1"/>
    <s v="3"/>
    <s v="2025-03-10"/>
    <d v="1899-12-30T09:06:28"/>
    <x v="1"/>
  </r>
  <r>
    <s v="9"/>
    <s v="card"/>
    <n v="35.76"/>
    <x v="1"/>
    <x v="0"/>
    <x v="3"/>
    <x v="0"/>
    <s v="1"/>
    <s v="3"/>
    <s v="2025-03-10"/>
    <d v="1899-12-30T09:19:29"/>
    <x v="1"/>
  </r>
  <r>
    <s v="9"/>
    <s v="card"/>
    <n v="35.76"/>
    <x v="4"/>
    <x v="0"/>
    <x v="3"/>
    <x v="0"/>
    <s v="1"/>
    <s v="3"/>
    <s v="2025-03-10"/>
    <d v="1899-12-30T09:50:54"/>
    <x v="1"/>
  </r>
  <r>
    <s v="10"/>
    <s v="card"/>
    <n v="35.76"/>
    <x v="1"/>
    <x v="0"/>
    <x v="3"/>
    <x v="0"/>
    <s v="1"/>
    <s v="3"/>
    <s v="2025-03-10"/>
    <d v="1899-12-30T10:18:57"/>
    <x v="1"/>
  </r>
  <r>
    <s v="12"/>
    <s v="card"/>
    <n v="25.96"/>
    <x v="2"/>
    <x v="1"/>
    <x v="3"/>
    <x v="0"/>
    <s v="1"/>
    <s v="3"/>
    <s v="2025-03-10"/>
    <d v="1899-12-30T12:36:15"/>
    <x v="1"/>
  </r>
  <r>
    <s v="15"/>
    <s v="card"/>
    <n v="25.96"/>
    <x v="2"/>
    <x v="1"/>
    <x v="3"/>
    <x v="0"/>
    <s v="1"/>
    <s v="3"/>
    <s v="2025-03-10"/>
    <d v="1899-12-30T15:32:09"/>
    <x v="1"/>
  </r>
  <r>
    <s v="15"/>
    <s v="card"/>
    <n v="35.76"/>
    <x v="1"/>
    <x v="1"/>
    <x v="3"/>
    <x v="0"/>
    <s v="1"/>
    <s v="3"/>
    <s v="2025-03-10"/>
    <d v="1899-12-30T15:41:58"/>
    <x v="1"/>
  </r>
  <r>
    <s v="16"/>
    <s v="card"/>
    <n v="35.76"/>
    <x v="0"/>
    <x v="1"/>
    <x v="3"/>
    <x v="0"/>
    <s v="1"/>
    <s v="3"/>
    <s v="2025-03-10"/>
    <d v="1899-12-30T16:18:01"/>
    <x v="1"/>
  </r>
  <r>
    <s v="16"/>
    <s v="card"/>
    <n v="35.76"/>
    <x v="0"/>
    <x v="1"/>
    <x v="3"/>
    <x v="0"/>
    <s v="1"/>
    <s v="3"/>
    <s v="2025-03-10"/>
    <d v="1899-12-30T16:18:54"/>
    <x v="1"/>
  </r>
  <r>
    <s v="16"/>
    <s v="card"/>
    <n v="35.76"/>
    <x v="7"/>
    <x v="1"/>
    <x v="3"/>
    <x v="0"/>
    <s v="1"/>
    <s v="3"/>
    <s v="2025-03-10"/>
    <d v="1899-12-30T16:24:25"/>
    <x v="1"/>
  </r>
  <r>
    <s v="16"/>
    <s v="card"/>
    <n v="30.86"/>
    <x v="3"/>
    <x v="1"/>
    <x v="3"/>
    <x v="0"/>
    <s v="1"/>
    <s v="3"/>
    <s v="2025-03-10"/>
    <d v="1899-12-30T16:25:32"/>
    <x v="1"/>
  </r>
  <r>
    <s v="18"/>
    <s v="card"/>
    <n v="25.96"/>
    <x v="2"/>
    <x v="2"/>
    <x v="3"/>
    <x v="0"/>
    <s v="1"/>
    <s v="3"/>
    <s v="2025-03-10"/>
    <d v="1899-12-30T18:15:54"/>
    <x v="1"/>
  </r>
  <r>
    <s v="18"/>
    <s v="card"/>
    <n v="35.76"/>
    <x v="0"/>
    <x v="2"/>
    <x v="3"/>
    <x v="0"/>
    <s v="1"/>
    <s v="3"/>
    <s v="2025-03-10"/>
    <d v="1899-12-30T18:48:30"/>
    <x v="1"/>
  </r>
  <r>
    <s v="18"/>
    <s v="card"/>
    <n v="35.76"/>
    <x v="0"/>
    <x v="2"/>
    <x v="3"/>
    <x v="0"/>
    <s v="1"/>
    <s v="3"/>
    <s v="2025-03-10"/>
    <d v="1899-12-30T18:49:22"/>
    <x v="1"/>
  </r>
  <r>
    <s v="19"/>
    <s v="card"/>
    <n v="30.86"/>
    <x v="3"/>
    <x v="2"/>
    <x v="3"/>
    <x v="0"/>
    <s v="1"/>
    <s v="3"/>
    <s v="2025-03-10"/>
    <d v="1899-12-30T19:26:43"/>
    <x v="1"/>
  </r>
  <r>
    <s v="8"/>
    <s v="card"/>
    <n v="25.96"/>
    <x v="2"/>
    <x v="0"/>
    <x v="4"/>
    <x v="0"/>
    <s v="2"/>
    <s v="3"/>
    <s v="2025-03-11"/>
    <d v="1899-12-30T08:46:26"/>
    <x v="1"/>
  </r>
  <r>
    <s v="9"/>
    <s v="card"/>
    <n v="35.76"/>
    <x v="7"/>
    <x v="0"/>
    <x v="4"/>
    <x v="0"/>
    <s v="2"/>
    <s v="3"/>
    <s v="2025-03-11"/>
    <d v="1899-12-30T09:12:28"/>
    <x v="1"/>
  </r>
  <r>
    <s v="9"/>
    <s v="card"/>
    <n v="35.76"/>
    <x v="0"/>
    <x v="0"/>
    <x v="4"/>
    <x v="0"/>
    <s v="2"/>
    <s v="3"/>
    <s v="2025-03-11"/>
    <d v="1899-12-30T09:27:04"/>
    <x v="1"/>
  </r>
  <r>
    <s v="10"/>
    <s v="card"/>
    <n v="25.96"/>
    <x v="2"/>
    <x v="0"/>
    <x v="4"/>
    <x v="0"/>
    <s v="2"/>
    <s v="3"/>
    <s v="2025-03-11"/>
    <d v="1899-12-30T10:26:58"/>
    <x v="1"/>
  </r>
  <r>
    <s v="12"/>
    <s v="card"/>
    <n v="25.96"/>
    <x v="2"/>
    <x v="1"/>
    <x v="4"/>
    <x v="0"/>
    <s v="2"/>
    <s v="3"/>
    <s v="2025-03-11"/>
    <d v="1899-12-30T12:33:20"/>
    <x v="1"/>
  </r>
  <r>
    <s v="13"/>
    <s v="card"/>
    <n v="25.96"/>
    <x v="2"/>
    <x v="1"/>
    <x v="4"/>
    <x v="0"/>
    <s v="2"/>
    <s v="3"/>
    <s v="2025-03-11"/>
    <d v="1899-12-30T13:16:55"/>
    <x v="1"/>
  </r>
  <r>
    <s v="16"/>
    <s v="card"/>
    <n v="35.76"/>
    <x v="1"/>
    <x v="1"/>
    <x v="4"/>
    <x v="0"/>
    <s v="2"/>
    <s v="3"/>
    <s v="2025-03-11"/>
    <d v="1899-12-30T16:29:31"/>
    <x v="1"/>
  </r>
  <r>
    <s v="16"/>
    <s v="card"/>
    <n v="35.76"/>
    <x v="4"/>
    <x v="1"/>
    <x v="4"/>
    <x v="0"/>
    <s v="2"/>
    <s v="3"/>
    <s v="2025-03-11"/>
    <d v="1899-12-30T16:30:16"/>
    <x v="1"/>
  </r>
  <r>
    <s v="16"/>
    <s v="card"/>
    <n v="35.76"/>
    <x v="1"/>
    <x v="1"/>
    <x v="4"/>
    <x v="0"/>
    <s v="2"/>
    <s v="3"/>
    <s v="2025-03-11"/>
    <d v="1899-12-30T16:49:41"/>
    <x v="1"/>
  </r>
  <r>
    <s v="17"/>
    <s v="card"/>
    <n v="35.76"/>
    <x v="7"/>
    <x v="2"/>
    <x v="4"/>
    <x v="0"/>
    <s v="2"/>
    <s v="3"/>
    <s v="2025-03-11"/>
    <d v="1899-12-30T17:46:50"/>
    <x v="1"/>
  </r>
  <r>
    <s v="18"/>
    <s v="card"/>
    <n v="30.86"/>
    <x v="3"/>
    <x v="2"/>
    <x v="4"/>
    <x v="0"/>
    <s v="2"/>
    <s v="3"/>
    <s v="2025-03-11"/>
    <d v="1899-12-30T18:56:52"/>
    <x v="1"/>
  </r>
  <r>
    <s v="19"/>
    <s v="card"/>
    <n v="35.76"/>
    <x v="0"/>
    <x v="2"/>
    <x v="4"/>
    <x v="0"/>
    <s v="2"/>
    <s v="3"/>
    <s v="2025-03-11"/>
    <d v="1899-12-30T19:07:14"/>
    <x v="1"/>
  </r>
  <r>
    <s v="20"/>
    <s v="card"/>
    <n v="35.76"/>
    <x v="4"/>
    <x v="2"/>
    <x v="4"/>
    <x v="0"/>
    <s v="2"/>
    <s v="3"/>
    <s v="2025-03-11"/>
    <d v="1899-12-30T20:08:56"/>
    <x v="1"/>
  </r>
  <r>
    <s v="11"/>
    <s v="card"/>
    <n v="35.76"/>
    <x v="4"/>
    <x v="0"/>
    <x v="5"/>
    <x v="0"/>
    <s v="3"/>
    <s v="3"/>
    <s v="2025-03-12"/>
    <d v="1899-12-30T11:11:39"/>
    <x v="1"/>
  </r>
  <r>
    <s v="11"/>
    <s v="card"/>
    <n v="30.86"/>
    <x v="3"/>
    <x v="0"/>
    <x v="5"/>
    <x v="0"/>
    <s v="3"/>
    <s v="3"/>
    <s v="2025-03-12"/>
    <d v="1899-12-30T11:47:34"/>
    <x v="1"/>
  </r>
  <r>
    <s v="11"/>
    <s v="card"/>
    <n v="35.76"/>
    <x v="7"/>
    <x v="0"/>
    <x v="5"/>
    <x v="0"/>
    <s v="3"/>
    <s v="3"/>
    <s v="2025-03-12"/>
    <d v="1899-12-30T11:50:15"/>
    <x v="1"/>
  </r>
  <r>
    <s v="11"/>
    <s v="card"/>
    <n v="25.96"/>
    <x v="2"/>
    <x v="0"/>
    <x v="5"/>
    <x v="0"/>
    <s v="3"/>
    <s v="3"/>
    <s v="2025-03-12"/>
    <d v="1899-12-30T11:55:56"/>
    <x v="1"/>
  </r>
  <r>
    <s v="11"/>
    <s v="card"/>
    <n v="25.96"/>
    <x v="2"/>
    <x v="0"/>
    <x v="5"/>
    <x v="0"/>
    <s v="3"/>
    <s v="3"/>
    <s v="2025-03-12"/>
    <d v="1899-12-30T11:56:49"/>
    <x v="1"/>
  </r>
  <r>
    <s v="12"/>
    <s v="card"/>
    <n v="25.96"/>
    <x v="2"/>
    <x v="1"/>
    <x v="5"/>
    <x v="0"/>
    <s v="3"/>
    <s v="3"/>
    <s v="2025-03-12"/>
    <d v="1899-12-30T12:06:11"/>
    <x v="1"/>
  </r>
  <r>
    <s v="12"/>
    <s v="card"/>
    <n v="35.76"/>
    <x v="1"/>
    <x v="1"/>
    <x v="5"/>
    <x v="0"/>
    <s v="3"/>
    <s v="3"/>
    <s v="2025-03-12"/>
    <d v="1899-12-30T12:55:38"/>
    <x v="1"/>
  </r>
  <r>
    <s v="13"/>
    <s v="card"/>
    <n v="35.76"/>
    <x v="0"/>
    <x v="1"/>
    <x v="5"/>
    <x v="0"/>
    <s v="3"/>
    <s v="3"/>
    <s v="2025-03-12"/>
    <d v="1899-12-30T13:01:49"/>
    <x v="1"/>
  </r>
  <r>
    <s v="13"/>
    <s v="card"/>
    <n v="35.76"/>
    <x v="0"/>
    <x v="1"/>
    <x v="5"/>
    <x v="0"/>
    <s v="3"/>
    <s v="3"/>
    <s v="2025-03-12"/>
    <d v="1899-12-30T13:56:24"/>
    <x v="1"/>
  </r>
  <r>
    <s v="16"/>
    <s v="card"/>
    <n v="35.76"/>
    <x v="7"/>
    <x v="1"/>
    <x v="5"/>
    <x v="0"/>
    <s v="3"/>
    <s v="3"/>
    <s v="2025-03-12"/>
    <d v="1899-12-30T16:27:37"/>
    <x v="1"/>
  </r>
  <r>
    <s v="16"/>
    <s v="card"/>
    <n v="35.76"/>
    <x v="0"/>
    <x v="1"/>
    <x v="5"/>
    <x v="0"/>
    <s v="3"/>
    <s v="3"/>
    <s v="2025-03-12"/>
    <d v="1899-12-30T16:35:04"/>
    <x v="1"/>
  </r>
  <r>
    <s v="16"/>
    <s v="card"/>
    <n v="35.76"/>
    <x v="0"/>
    <x v="1"/>
    <x v="5"/>
    <x v="0"/>
    <s v="3"/>
    <s v="3"/>
    <s v="2025-03-12"/>
    <d v="1899-12-30T16:36:01"/>
    <x v="1"/>
  </r>
  <r>
    <s v="18"/>
    <s v="card"/>
    <n v="25.96"/>
    <x v="2"/>
    <x v="2"/>
    <x v="5"/>
    <x v="0"/>
    <s v="3"/>
    <s v="3"/>
    <s v="2025-03-12"/>
    <d v="1899-12-30T18:10:34"/>
    <x v="1"/>
  </r>
  <r>
    <s v="18"/>
    <s v="card"/>
    <n v="35.76"/>
    <x v="4"/>
    <x v="2"/>
    <x v="5"/>
    <x v="0"/>
    <s v="3"/>
    <s v="3"/>
    <s v="2025-03-12"/>
    <d v="1899-12-30T18:17:18"/>
    <x v="1"/>
  </r>
  <r>
    <s v="18"/>
    <s v="card"/>
    <n v="25.96"/>
    <x v="2"/>
    <x v="2"/>
    <x v="5"/>
    <x v="0"/>
    <s v="3"/>
    <s v="3"/>
    <s v="2025-03-12"/>
    <d v="1899-12-30T18:24:40"/>
    <x v="1"/>
  </r>
  <r>
    <s v="18"/>
    <s v="card"/>
    <n v="35.76"/>
    <x v="7"/>
    <x v="2"/>
    <x v="5"/>
    <x v="0"/>
    <s v="3"/>
    <s v="3"/>
    <s v="2025-03-12"/>
    <d v="1899-12-30T18:38:57"/>
    <x v="1"/>
  </r>
  <r>
    <s v="18"/>
    <s v="card"/>
    <n v="25.96"/>
    <x v="2"/>
    <x v="2"/>
    <x v="5"/>
    <x v="0"/>
    <s v="3"/>
    <s v="3"/>
    <s v="2025-03-12"/>
    <d v="1899-12-30T18:42:14"/>
    <x v="1"/>
  </r>
  <r>
    <s v="7"/>
    <s v="card"/>
    <n v="35.76"/>
    <x v="7"/>
    <x v="0"/>
    <x v="6"/>
    <x v="0"/>
    <s v="4"/>
    <s v="3"/>
    <s v="2025-03-13"/>
    <d v="1899-12-30T07:01:36"/>
    <x v="1"/>
  </r>
  <r>
    <s v="8"/>
    <s v="card"/>
    <n v="30.86"/>
    <x v="3"/>
    <x v="0"/>
    <x v="6"/>
    <x v="0"/>
    <s v="4"/>
    <s v="3"/>
    <s v="2025-03-13"/>
    <d v="1899-12-30T08:23:17"/>
    <x v="1"/>
  </r>
  <r>
    <s v="9"/>
    <s v="card"/>
    <n v="30.86"/>
    <x v="3"/>
    <x v="0"/>
    <x v="6"/>
    <x v="0"/>
    <s v="4"/>
    <s v="3"/>
    <s v="2025-03-13"/>
    <d v="1899-12-30T09:04:47"/>
    <x v="1"/>
  </r>
  <r>
    <s v="9"/>
    <s v="card"/>
    <n v="35.76"/>
    <x v="0"/>
    <x v="0"/>
    <x v="6"/>
    <x v="0"/>
    <s v="4"/>
    <s v="3"/>
    <s v="2025-03-13"/>
    <d v="1899-12-30T09:20:09"/>
    <x v="1"/>
  </r>
  <r>
    <s v="9"/>
    <s v="card"/>
    <n v="21.06"/>
    <x v="6"/>
    <x v="0"/>
    <x v="6"/>
    <x v="0"/>
    <s v="4"/>
    <s v="3"/>
    <s v="2025-03-13"/>
    <d v="1899-12-30T09:22:05"/>
    <x v="1"/>
  </r>
  <r>
    <s v="9"/>
    <s v="card"/>
    <n v="25.96"/>
    <x v="2"/>
    <x v="0"/>
    <x v="6"/>
    <x v="0"/>
    <s v="4"/>
    <s v="3"/>
    <s v="2025-03-13"/>
    <d v="1899-12-30T09:38:20"/>
    <x v="1"/>
  </r>
  <r>
    <s v="9"/>
    <s v="card"/>
    <n v="30.86"/>
    <x v="3"/>
    <x v="0"/>
    <x v="6"/>
    <x v="0"/>
    <s v="4"/>
    <s v="3"/>
    <s v="2025-03-13"/>
    <d v="1899-12-30T09:39:15"/>
    <x v="1"/>
  </r>
  <r>
    <s v="11"/>
    <s v="card"/>
    <n v="25.96"/>
    <x v="2"/>
    <x v="0"/>
    <x v="6"/>
    <x v="0"/>
    <s v="4"/>
    <s v="3"/>
    <s v="2025-03-13"/>
    <d v="1899-12-30T11:18:02"/>
    <x v="1"/>
  </r>
  <r>
    <s v="12"/>
    <s v="card"/>
    <n v="35.76"/>
    <x v="0"/>
    <x v="1"/>
    <x v="6"/>
    <x v="0"/>
    <s v="4"/>
    <s v="3"/>
    <s v="2025-03-13"/>
    <d v="1899-12-30T12:13:37"/>
    <x v="1"/>
  </r>
  <r>
    <s v="14"/>
    <s v="card"/>
    <n v="30.86"/>
    <x v="3"/>
    <x v="1"/>
    <x v="6"/>
    <x v="0"/>
    <s v="4"/>
    <s v="3"/>
    <s v="2025-03-13"/>
    <d v="1899-12-30T14:53:50"/>
    <x v="1"/>
  </r>
  <r>
    <s v="14"/>
    <s v="card"/>
    <n v="25.96"/>
    <x v="2"/>
    <x v="1"/>
    <x v="6"/>
    <x v="0"/>
    <s v="4"/>
    <s v="3"/>
    <s v="2025-03-13"/>
    <d v="1899-12-30T14:55:32"/>
    <x v="1"/>
  </r>
  <r>
    <s v="18"/>
    <s v="card"/>
    <n v="35.76"/>
    <x v="7"/>
    <x v="2"/>
    <x v="6"/>
    <x v="0"/>
    <s v="4"/>
    <s v="3"/>
    <s v="2025-03-13"/>
    <d v="1899-12-30T18:47:44"/>
    <x v="1"/>
  </r>
  <r>
    <s v="7"/>
    <s v="card"/>
    <n v="25.96"/>
    <x v="2"/>
    <x v="0"/>
    <x v="0"/>
    <x v="0"/>
    <s v="5"/>
    <s v="3"/>
    <s v="2025-03-14"/>
    <d v="1899-12-30T07:55:06"/>
    <x v="1"/>
  </r>
  <r>
    <s v="8"/>
    <s v="card"/>
    <n v="30.86"/>
    <x v="3"/>
    <x v="0"/>
    <x v="0"/>
    <x v="0"/>
    <s v="5"/>
    <s v="3"/>
    <s v="2025-03-14"/>
    <d v="1899-12-30T08:13:40"/>
    <x v="1"/>
  </r>
  <r>
    <s v="8"/>
    <s v="card"/>
    <n v="25.96"/>
    <x v="2"/>
    <x v="0"/>
    <x v="0"/>
    <x v="0"/>
    <s v="5"/>
    <s v="3"/>
    <s v="2025-03-14"/>
    <d v="1899-12-30T08:59:27"/>
    <x v="1"/>
  </r>
  <r>
    <s v="9"/>
    <s v="card"/>
    <n v="35.76"/>
    <x v="0"/>
    <x v="0"/>
    <x v="0"/>
    <x v="0"/>
    <s v="5"/>
    <s v="3"/>
    <s v="2025-03-14"/>
    <d v="1899-12-30T09:00:30"/>
    <x v="1"/>
  </r>
  <r>
    <s v="9"/>
    <s v="card"/>
    <n v="21.06"/>
    <x v="6"/>
    <x v="0"/>
    <x v="0"/>
    <x v="0"/>
    <s v="5"/>
    <s v="3"/>
    <s v="2025-03-14"/>
    <d v="1899-12-30T09:26:08"/>
    <x v="1"/>
  </r>
  <r>
    <s v="9"/>
    <s v="card"/>
    <n v="25.96"/>
    <x v="2"/>
    <x v="0"/>
    <x v="0"/>
    <x v="0"/>
    <s v="5"/>
    <s v="3"/>
    <s v="2025-03-14"/>
    <d v="1899-12-30T09:28:37"/>
    <x v="1"/>
  </r>
  <r>
    <s v="10"/>
    <s v="card"/>
    <n v="25.96"/>
    <x v="2"/>
    <x v="0"/>
    <x v="0"/>
    <x v="0"/>
    <s v="5"/>
    <s v="3"/>
    <s v="2025-03-14"/>
    <d v="1899-12-30T10:20:51"/>
    <x v="1"/>
  </r>
  <r>
    <s v="10"/>
    <s v="card"/>
    <n v="35.76"/>
    <x v="0"/>
    <x v="0"/>
    <x v="0"/>
    <x v="0"/>
    <s v="5"/>
    <s v="3"/>
    <s v="2025-03-14"/>
    <d v="1899-12-30T10:48:23"/>
    <x v="1"/>
  </r>
  <r>
    <s v="10"/>
    <s v="card"/>
    <n v="35.76"/>
    <x v="7"/>
    <x v="0"/>
    <x v="0"/>
    <x v="0"/>
    <s v="5"/>
    <s v="3"/>
    <s v="2025-03-14"/>
    <d v="1899-12-30T10:49:28"/>
    <x v="1"/>
  </r>
  <r>
    <s v="14"/>
    <s v="card"/>
    <n v="25.96"/>
    <x v="2"/>
    <x v="1"/>
    <x v="0"/>
    <x v="0"/>
    <s v="5"/>
    <s v="3"/>
    <s v="2025-03-14"/>
    <d v="1899-12-30T14:35:17"/>
    <x v="1"/>
  </r>
  <r>
    <s v="14"/>
    <s v="card"/>
    <n v="35.76"/>
    <x v="0"/>
    <x v="1"/>
    <x v="0"/>
    <x v="0"/>
    <s v="5"/>
    <s v="3"/>
    <s v="2025-03-14"/>
    <d v="1899-12-30T14:36:22"/>
    <x v="1"/>
  </r>
  <r>
    <s v="15"/>
    <s v="card"/>
    <n v="35.76"/>
    <x v="0"/>
    <x v="1"/>
    <x v="0"/>
    <x v="0"/>
    <s v="5"/>
    <s v="3"/>
    <s v="2025-03-14"/>
    <d v="1899-12-30T15:54:21"/>
    <x v="1"/>
  </r>
  <r>
    <s v="15"/>
    <s v="card"/>
    <n v="35.76"/>
    <x v="0"/>
    <x v="1"/>
    <x v="0"/>
    <x v="0"/>
    <s v="5"/>
    <s v="3"/>
    <s v="2025-03-14"/>
    <d v="1899-12-30T15:55:41"/>
    <x v="1"/>
  </r>
  <r>
    <s v="16"/>
    <s v="card"/>
    <n v="25.96"/>
    <x v="2"/>
    <x v="1"/>
    <x v="0"/>
    <x v="0"/>
    <s v="5"/>
    <s v="3"/>
    <s v="2025-03-14"/>
    <d v="1899-12-30T16:27:04"/>
    <x v="1"/>
  </r>
  <r>
    <s v="16"/>
    <s v="card"/>
    <n v="35.76"/>
    <x v="4"/>
    <x v="1"/>
    <x v="0"/>
    <x v="0"/>
    <s v="5"/>
    <s v="3"/>
    <s v="2025-03-14"/>
    <d v="1899-12-30T16:31:00"/>
    <x v="1"/>
  </r>
  <r>
    <s v="16"/>
    <s v="card"/>
    <n v="35.76"/>
    <x v="4"/>
    <x v="1"/>
    <x v="0"/>
    <x v="0"/>
    <s v="5"/>
    <s v="3"/>
    <s v="2025-03-14"/>
    <d v="1899-12-30T16:31:55"/>
    <x v="1"/>
  </r>
  <r>
    <s v="16"/>
    <s v="card"/>
    <n v="35.76"/>
    <x v="4"/>
    <x v="1"/>
    <x v="0"/>
    <x v="0"/>
    <s v="5"/>
    <s v="3"/>
    <s v="2025-03-14"/>
    <d v="1899-12-30T16:32:40"/>
    <x v="1"/>
  </r>
  <r>
    <s v="17"/>
    <s v="card"/>
    <n v="25.96"/>
    <x v="2"/>
    <x v="2"/>
    <x v="0"/>
    <x v="0"/>
    <s v="5"/>
    <s v="3"/>
    <s v="2025-03-14"/>
    <d v="1899-12-30T17:05:24"/>
    <x v="1"/>
  </r>
  <r>
    <s v="17"/>
    <s v="card"/>
    <n v="25.96"/>
    <x v="2"/>
    <x v="2"/>
    <x v="0"/>
    <x v="0"/>
    <s v="5"/>
    <s v="3"/>
    <s v="2025-03-14"/>
    <d v="1899-12-30T17:22:15"/>
    <x v="1"/>
  </r>
  <r>
    <s v="17"/>
    <s v="card"/>
    <n v="35.76"/>
    <x v="0"/>
    <x v="2"/>
    <x v="0"/>
    <x v="0"/>
    <s v="5"/>
    <s v="3"/>
    <s v="2025-03-14"/>
    <d v="1899-12-30T17:27:15"/>
    <x v="1"/>
  </r>
  <r>
    <s v="17"/>
    <s v="card"/>
    <n v="35.76"/>
    <x v="0"/>
    <x v="2"/>
    <x v="0"/>
    <x v="0"/>
    <s v="5"/>
    <s v="3"/>
    <s v="2025-03-14"/>
    <d v="1899-12-30T17:28:38"/>
    <x v="1"/>
  </r>
  <r>
    <s v="20"/>
    <s v="card"/>
    <n v="25.96"/>
    <x v="2"/>
    <x v="2"/>
    <x v="0"/>
    <x v="0"/>
    <s v="5"/>
    <s v="3"/>
    <s v="2025-03-14"/>
    <d v="1899-12-30T20:20:22"/>
    <x v="1"/>
  </r>
  <r>
    <s v="21"/>
    <s v="card"/>
    <n v="25.96"/>
    <x v="2"/>
    <x v="2"/>
    <x v="0"/>
    <x v="0"/>
    <s v="5"/>
    <s v="3"/>
    <s v="2025-03-14"/>
    <d v="1899-12-30T21:40:44"/>
    <x v="1"/>
  </r>
  <r>
    <s v="9"/>
    <s v="card"/>
    <n v="30.86"/>
    <x v="3"/>
    <x v="0"/>
    <x v="1"/>
    <x v="0"/>
    <s v="6"/>
    <s v="3"/>
    <s v="2025-03-15"/>
    <d v="1899-12-30T09:53:22"/>
    <x v="1"/>
  </r>
  <r>
    <s v="10"/>
    <s v="card"/>
    <n v="35.76"/>
    <x v="7"/>
    <x v="0"/>
    <x v="1"/>
    <x v="0"/>
    <s v="6"/>
    <s v="3"/>
    <s v="2025-03-15"/>
    <d v="1899-12-30T10:03:23"/>
    <x v="1"/>
  </r>
  <r>
    <s v="13"/>
    <s v="card"/>
    <n v="25.96"/>
    <x v="2"/>
    <x v="1"/>
    <x v="1"/>
    <x v="0"/>
    <s v="6"/>
    <s v="3"/>
    <s v="2025-03-15"/>
    <d v="1899-12-30T13:55:42"/>
    <x v="1"/>
  </r>
  <r>
    <s v="17"/>
    <s v="card"/>
    <n v="35.76"/>
    <x v="7"/>
    <x v="2"/>
    <x v="1"/>
    <x v="0"/>
    <s v="6"/>
    <s v="3"/>
    <s v="2025-03-15"/>
    <d v="1899-12-30T17:10:23"/>
    <x v="1"/>
  </r>
  <r>
    <s v="17"/>
    <s v="card"/>
    <n v="30.86"/>
    <x v="3"/>
    <x v="2"/>
    <x v="1"/>
    <x v="0"/>
    <s v="6"/>
    <s v="3"/>
    <s v="2025-03-15"/>
    <d v="1899-12-30T17:12:08"/>
    <x v="1"/>
  </r>
  <r>
    <s v="19"/>
    <s v="card"/>
    <n v="30.86"/>
    <x v="3"/>
    <x v="2"/>
    <x v="1"/>
    <x v="0"/>
    <s v="6"/>
    <s v="3"/>
    <s v="2025-03-15"/>
    <d v="1899-12-30T19:30:37"/>
    <x v="1"/>
  </r>
  <r>
    <s v="19"/>
    <s v="card"/>
    <n v="35.76"/>
    <x v="7"/>
    <x v="2"/>
    <x v="1"/>
    <x v="0"/>
    <s v="6"/>
    <s v="3"/>
    <s v="2025-03-15"/>
    <d v="1899-12-30T19:51:27"/>
    <x v="1"/>
  </r>
  <r>
    <s v="9"/>
    <s v="card"/>
    <n v="35.76"/>
    <x v="7"/>
    <x v="0"/>
    <x v="2"/>
    <x v="0"/>
    <s v="7"/>
    <s v="3"/>
    <s v="2025-03-16"/>
    <d v="1899-12-30T09:32:17"/>
    <x v="1"/>
  </r>
  <r>
    <s v="9"/>
    <s v="card"/>
    <n v="30.86"/>
    <x v="3"/>
    <x v="0"/>
    <x v="2"/>
    <x v="0"/>
    <s v="7"/>
    <s v="3"/>
    <s v="2025-03-16"/>
    <d v="1899-12-30T09:36:23"/>
    <x v="1"/>
  </r>
  <r>
    <s v="10"/>
    <s v="card"/>
    <n v="35.76"/>
    <x v="0"/>
    <x v="0"/>
    <x v="2"/>
    <x v="0"/>
    <s v="7"/>
    <s v="3"/>
    <s v="2025-03-16"/>
    <d v="1899-12-30T10:50:09"/>
    <x v="1"/>
  </r>
  <r>
    <s v="12"/>
    <s v="card"/>
    <n v="35.76"/>
    <x v="1"/>
    <x v="1"/>
    <x v="2"/>
    <x v="0"/>
    <s v="7"/>
    <s v="3"/>
    <s v="2025-03-16"/>
    <d v="1899-12-30T12:00:47"/>
    <x v="1"/>
  </r>
  <r>
    <s v="14"/>
    <s v="card"/>
    <n v="25.96"/>
    <x v="2"/>
    <x v="1"/>
    <x v="2"/>
    <x v="0"/>
    <s v="7"/>
    <s v="3"/>
    <s v="2025-03-16"/>
    <d v="1899-12-30T14:22:43"/>
    <x v="1"/>
  </r>
  <r>
    <s v="6"/>
    <s v="card"/>
    <n v="25.96"/>
    <x v="2"/>
    <x v="0"/>
    <x v="3"/>
    <x v="0"/>
    <s v="1"/>
    <s v="3"/>
    <s v="2025-03-17"/>
    <d v="1899-12-30T06:54:41"/>
    <x v="1"/>
  </r>
  <r>
    <s v="8"/>
    <s v="card"/>
    <n v="25.96"/>
    <x v="2"/>
    <x v="0"/>
    <x v="3"/>
    <x v="0"/>
    <s v="1"/>
    <s v="3"/>
    <s v="2025-03-17"/>
    <d v="1899-12-30T08:09:50"/>
    <x v="1"/>
  </r>
  <r>
    <s v="8"/>
    <s v="card"/>
    <n v="25.96"/>
    <x v="2"/>
    <x v="0"/>
    <x v="3"/>
    <x v="0"/>
    <s v="1"/>
    <s v="3"/>
    <s v="2025-03-17"/>
    <d v="1899-12-30T08:18:03"/>
    <x v="1"/>
  </r>
  <r>
    <s v="9"/>
    <s v="card"/>
    <n v="30.86"/>
    <x v="3"/>
    <x v="0"/>
    <x v="3"/>
    <x v="0"/>
    <s v="1"/>
    <s v="3"/>
    <s v="2025-03-17"/>
    <d v="1899-12-30T09:02:59"/>
    <x v="1"/>
  </r>
  <r>
    <s v="10"/>
    <s v="card"/>
    <n v="25.96"/>
    <x v="2"/>
    <x v="0"/>
    <x v="3"/>
    <x v="0"/>
    <s v="1"/>
    <s v="3"/>
    <s v="2025-03-17"/>
    <d v="1899-12-30T10:32:40"/>
    <x v="1"/>
  </r>
  <r>
    <s v="13"/>
    <s v="card"/>
    <n v="25.96"/>
    <x v="2"/>
    <x v="1"/>
    <x v="3"/>
    <x v="0"/>
    <s v="1"/>
    <s v="3"/>
    <s v="2025-03-17"/>
    <d v="1899-12-30T13:59:01"/>
    <x v="1"/>
  </r>
  <r>
    <s v="14"/>
    <s v="card"/>
    <n v="35.76"/>
    <x v="4"/>
    <x v="1"/>
    <x v="3"/>
    <x v="0"/>
    <s v="1"/>
    <s v="3"/>
    <s v="2025-03-17"/>
    <d v="1899-12-30T14:21:25"/>
    <x v="1"/>
  </r>
  <r>
    <s v="14"/>
    <s v="card"/>
    <n v="35.76"/>
    <x v="4"/>
    <x v="1"/>
    <x v="3"/>
    <x v="0"/>
    <s v="1"/>
    <s v="3"/>
    <s v="2025-03-17"/>
    <d v="1899-12-30T14:22:20"/>
    <x v="1"/>
  </r>
  <r>
    <s v="14"/>
    <s v="card"/>
    <n v="35.76"/>
    <x v="0"/>
    <x v="1"/>
    <x v="3"/>
    <x v="0"/>
    <s v="1"/>
    <s v="3"/>
    <s v="2025-03-17"/>
    <d v="1899-12-30T14:48:04"/>
    <x v="1"/>
  </r>
  <r>
    <s v="15"/>
    <s v="card"/>
    <n v="35.76"/>
    <x v="7"/>
    <x v="1"/>
    <x v="3"/>
    <x v="0"/>
    <s v="1"/>
    <s v="3"/>
    <s v="2025-03-17"/>
    <d v="1899-12-30T15:11:17"/>
    <x v="1"/>
  </r>
  <r>
    <s v="15"/>
    <s v="card"/>
    <n v="35.76"/>
    <x v="0"/>
    <x v="1"/>
    <x v="3"/>
    <x v="0"/>
    <s v="1"/>
    <s v="3"/>
    <s v="2025-03-17"/>
    <d v="1899-12-30T15:47:16"/>
    <x v="1"/>
  </r>
  <r>
    <s v="15"/>
    <s v="card"/>
    <n v="35.76"/>
    <x v="0"/>
    <x v="1"/>
    <x v="3"/>
    <x v="0"/>
    <s v="1"/>
    <s v="3"/>
    <s v="2025-03-17"/>
    <d v="1899-12-30T15:48:58"/>
    <x v="1"/>
  </r>
  <r>
    <s v="16"/>
    <s v="card"/>
    <n v="25.96"/>
    <x v="2"/>
    <x v="1"/>
    <x v="3"/>
    <x v="0"/>
    <s v="1"/>
    <s v="3"/>
    <s v="2025-03-17"/>
    <d v="1899-12-30T16:46:45"/>
    <x v="1"/>
  </r>
  <r>
    <s v="8"/>
    <s v="card"/>
    <n v="30.86"/>
    <x v="3"/>
    <x v="0"/>
    <x v="4"/>
    <x v="0"/>
    <s v="2"/>
    <s v="3"/>
    <s v="2025-03-18"/>
    <d v="1899-12-30T08:23:11"/>
    <x v="1"/>
  </r>
  <r>
    <s v="8"/>
    <s v="card"/>
    <n v="35.76"/>
    <x v="0"/>
    <x v="0"/>
    <x v="4"/>
    <x v="0"/>
    <s v="2"/>
    <s v="3"/>
    <s v="2025-03-18"/>
    <d v="1899-12-30T08:33:50"/>
    <x v="1"/>
  </r>
  <r>
    <s v="10"/>
    <s v="card"/>
    <n v="35.76"/>
    <x v="0"/>
    <x v="0"/>
    <x v="4"/>
    <x v="0"/>
    <s v="2"/>
    <s v="3"/>
    <s v="2025-03-18"/>
    <d v="1899-12-30T10:49:51"/>
    <x v="1"/>
  </r>
  <r>
    <s v="10"/>
    <s v="card"/>
    <n v="25.96"/>
    <x v="2"/>
    <x v="0"/>
    <x v="4"/>
    <x v="0"/>
    <s v="2"/>
    <s v="3"/>
    <s v="2025-03-18"/>
    <d v="1899-12-30T10:51:18"/>
    <x v="1"/>
  </r>
  <r>
    <s v="11"/>
    <s v="card"/>
    <n v="35.76"/>
    <x v="1"/>
    <x v="0"/>
    <x v="4"/>
    <x v="0"/>
    <s v="2"/>
    <s v="3"/>
    <s v="2025-03-18"/>
    <d v="1899-12-30T11:47:20"/>
    <x v="1"/>
  </r>
  <r>
    <s v="11"/>
    <s v="card"/>
    <n v="35.76"/>
    <x v="1"/>
    <x v="0"/>
    <x v="4"/>
    <x v="0"/>
    <s v="2"/>
    <s v="3"/>
    <s v="2025-03-18"/>
    <d v="1899-12-30T11:48:56"/>
    <x v="1"/>
  </r>
  <r>
    <s v="14"/>
    <s v="card"/>
    <n v="30.86"/>
    <x v="3"/>
    <x v="1"/>
    <x v="4"/>
    <x v="0"/>
    <s v="2"/>
    <s v="3"/>
    <s v="2025-03-18"/>
    <d v="1899-12-30T14:43:35"/>
    <x v="1"/>
  </r>
  <r>
    <s v="15"/>
    <s v="card"/>
    <n v="25.96"/>
    <x v="2"/>
    <x v="1"/>
    <x v="4"/>
    <x v="0"/>
    <s v="2"/>
    <s v="3"/>
    <s v="2025-03-18"/>
    <d v="1899-12-30T15:03:53"/>
    <x v="1"/>
  </r>
  <r>
    <s v="15"/>
    <s v="card"/>
    <n v="30.86"/>
    <x v="3"/>
    <x v="1"/>
    <x v="4"/>
    <x v="0"/>
    <s v="2"/>
    <s v="3"/>
    <s v="2025-03-18"/>
    <d v="1899-12-30T15:11:07"/>
    <x v="1"/>
  </r>
  <r>
    <s v="16"/>
    <s v="card"/>
    <n v="25.96"/>
    <x v="2"/>
    <x v="1"/>
    <x v="4"/>
    <x v="0"/>
    <s v="2"/>
    <s v="3"/>
    <s v="2025-03-18"/>
    <d v="1899-12-30T16:09:08"/>
    <x v="1"/>
  </r>
  <r>
    <s v="16"/>
    <s v="card"/>
    <n v="35.76"/>
    <x v="0"/>
    <x v="1"/>
    <x v="4"/>
    <x v="0"/>
    <s v="2"/>
    <s v="3"/>
    <s v="2025-03-18"/>
    <d v="1899-12-30T16:11:45"/>
    <x v="1"/>
  </r>
  <r>
    <s v="16"/>
    <s v="card"/>
    <n v="21.06"/>
    <x v="6"/>
    <x v="1"/>
    <x v="4"/>
    <x v="0"/>
    <s v="2"/>
    <s v="3"/>
    <s v="2025-03-18"/>
    <d v="1899-12-30T16:23:21"/>
    <x v="1"/>
  </r>
  <r>
    <s v="18"/>
    <s v="card"/>
    <n v="35.76"/>
    <x v="4"/>
    <x v="2"/>
    <x v="4"/>
    <x v="0"/>
    <s v="2"/>
    <s v="3"/>
    <s v="2025-03-18"/>
    <d v="1899-12-30T18:42:31"/>
    <x v="1"/>
  </r>
  <r>
    <s v="18"/>
    <s v="card"/>
    <n v="35.76"/>
    <x v="4"/>
    <x v="2"/>
    <x v="4"/>
    <x v="0"/>
    <s v="2"/>
    <s v="3"/>
    <s v="2025-03-18"/>
    <d v="1899-12-30T18:43:17"/>
    <x v="1"/>
  </r>
  <r>
    <s v="20"/>
    <s v="card"/>
    <n v="35.76"/>
    <x v="4"/>
    <x v="2"/>
    <x v="4"/>
    <x v="0"/>
    <s v="2"/>
    <s v="3"/>
    <s v="2025-03-18"/>
    <d v="1899-12-30T20:00:35"/>
    <x v="1"/>
  </r>
  <r>
    <s v="20"/>
    <s v="card"/>
    <n v="35.76"/>
    <x v="4"/>
    <x v="2"/>
    <x v="4"/>
    <x v="0"/>
    <s v="2"/>
    <s v="3"/>
    <s v="2025-03-18"/>
    <d v="1899-12-30T20:01:38"/>
    <x v="1"/>
  </r>
  <r>
    <s v="21"/>
    <s v="card"/>
    <n v="35.76"/>
    <x v="0"/>
    <x v="2"/>
    <x v="4"/>
    <x v="0"/>
    <s v="2"/>
    <s v="3"/>
    <s v="2025-03-18"/>
    <d v="1899-12-30T21:20:40"/>
    <x v="1"/>
  </r>
  <r>
    <s v="7"/>
    <s v="card"/>
    <n v="25.96"/>
    <x v="2"/>
    <x v="0"/>
    <x v="5"/>
    <x v="0"/>
    <s v="3"/>
    <s v="3"/>
    <s v="2025-03-19"/>
    <d v="1899-12-30T07:03:07"/>
    <x v="1"/>
  </r>
  <r>
    <s v="7"/>
    <s v="card"/>
    <n v="25.96"/>
    <x v="2"/>
    <x v="0"/>
    <x v="5"/>
    <x v="0"/>
    <s v="3"/>
    <s v="3"/>
    <s v="2025-03-19"/>
    <d v="1899-12-30T07:04:09"/>
    <x v="1"/>
  </r>
  <r>
    <s v="7"/>
    <s v="card"/>
    <n v="35.76"/>
    <x v="7"/>
    <x v="0"/>
    <x v="5"/>
    <x v="0"/>
    <s v="3"/>
    <s v="3"/>
    <s v="2025-03-19"/>
    <d v="1899-12-30T07:06:35"/>
    <x v="1"/>
  </r>
  <r>
    <s v="8"/>
    <s v="card"/>
    <n v="25.96"/>
    <x v="2"/>
    <x v="0"/>
    <x v="5"/>
    <x v="0"/>
    <s v="3"/>
    <s v="3"/>
    <s v="2025-03-19"/>
    <d v="1899-12-30T08:03:18"/>
    <x v="1"/>
  </r>
  <r>
    <s v="10"/>
    <s v="card"/>
    <n v="35.76"/>
    <x v="1"/>
    <x v="0"/>
    <x v="5"/>
    <x v="0"/>
    <s v="3"/>
    <s v="3"/>
    <s v="2025-03-19"/>
    <d v="1899-12-30T10:18:39"/>
    <x v="1"/>
  </r>
  <r>
    <s v="11"/>
    <s v="card"/>
    <n v="25.96"/>
    <x v="2"/>
    <x v="0"/>
    <x v="5"/>
    <x v="0"/>
    <s v="3"/>
    <s v="3"/>
    <s v="2025-03-19"/>
    <d v="1899-12-30T11:55:40"/>
    <x v="1"/>
  </r>
  <r>
    <s v="12"/>
    <s v="card"/>
    <n v="25.96"/>
    <x v="2"/>
    <x v="1"/>
    <x v="5"/>
    <x v="0"/>
    <s v="3"/>
    <s v="3"/>
    <s v="2025-03-19"/>
    <d v="1899-12-30T12:58:27"/>
    <x v="1"/>
  </r>
  <r>
    <s v="15"/>
    <s v="card"/>
    <n v="35.76"/>
    <x v="0"/>
    <x v="1"/>
    <x v="5"/>
    <x v="0"/>
    <s v="3"/>
    <s v="3"/>
    <s v="2025-03-19"/>
    <d v="1899-12-30T15:12:53"/>
    <x v="1"/>
  </r>
  <r>
    <s v="15"/>
    <s v="card"/>
    <n v="35.76"/>
    <x v="0"/>
    <x v="1"/>
    <x v="5"/>
    <x v="0"/>
    <s v="3"/>
    <s v="3"/>
    <s v="2025-03-19"/>
    <d v="1899-12-30T15:14:23"/>
    <x v="1"/>
  </r>
  <r>
    <s v="16"/>
    <s v="card"/>
    <n v="35.76"/>
    <x v="0"/>
    <x v="1"/>
    <x v="5"/>
    <x v="0"/>
    <s v="3"/>
    <s v="3"/>
    <s v="2025-03-19"/>
    <d v="1899-12-30T16:19:34"/>
    <x v="1"/>
  </r>
  <r>
    <s v="16"/>
    <s v="card"/>
    <n v="25.96"/>
    <x v="2"/>
    <x v="1"/>
    <x v="5"/>
    <x v="0"/>
    <s v="3"/>
    <s v="3"/>
    <s v="2025-03-19"/>
    <d v="1899-12-30T16:29:56"/>
    <x v="1"/>
  </r>
  <r>
    <s v="16"/>
    <s v="card"/>
    <n v="35.76"/>
    <x v="7"/>
    <x v="1"/>
    <x v="5"/>
    <x v="0"/>
    <s v="3"/>
    <s v="3"/>
    <s v="2025-03-19"/>
    <d v="1899-12-30T16:40:34"/>
    <x v="1"/>
  </r>
  <r>
    <s v="16"/>
    <s v="card"/>
    <n v="35.76"/>
    <x v="7"/>
    <x v="1"/>
    <x v="5"/>
    <x v="0"/>
    <s v="3"/>
    <s v="3"/>
    <s v="2025-03-19"/>
    <d v="1899-12-30T16:42:16"/>
    <x v="1"/>
  </r>
  <r>
    <s v="16"/>
    <s v="card"/>
    <n v="25.96"/>
    <x v="2"/>
    <x v="1"/>
    <x v="5"/>
    <x v="0"/>
    <s v="3"/>
    <s v="3"/>
    <s v="2025-03-19"/>
    <d v="1899-12-30T16:51:35"/>
    <x v="1"/>
  </r>
  <r>
    <s v="16"/>
    <s v="card"/>
    <n v="25.96"/>
    <x v="2"/>
    <x v="1"/>
    <x v="5"/>
    <x v="0"/>
    <s v="3"/>
    <s v="3"/>
    <s v="2025-03-19"/>
    <d v="1899-12-30T16:52:30"/>
    <x v="1"/>
  </r>
  <r>
    <s v="17"/>
    <s v="card"/>
    <n v="35.76"/>
    <x v="4"/>
    <x v="2"/>
    <x v="5"/>
    <x v="0"/>
    <s v="3"/>
    <s v="3"/>
    <s v="2025-03-19"/>
    <d v="1899-12-30T17:00:00"/>
    <x v="1"/>
  </r>
  <r>
    <s v="17"/>
    <s v="card"/>
    <n v="30.86"/>
    <x v="3"/>
    <x v="2"/>
    <x v="5"/>
    <x v="0"/>
    <s v="3"/>
    <s v="3"/>
    <s v="2025-03-19"/>
    <d v="1899-12-30T17:09:55"/>
    <x v="1"/>
  </r>
  <r>
    <s v="17"/>
    <s v="card"/>
    <n v="30.86"/>
    <x v="3"/>
    <x v="2"/>
    <x v="5"/>
    <x v="0"/>
    <s v="3"/>
    <s v="3"/>
    <s v="2025-03-19"/>
    <d v="1899-12-30T17:27:40"/>
    <x v="1"/>
  </r>
  <r>
    <s v="18"/>
    <s v="card"/>
    <n v="25.96"/>
    <x v="5"/>
    <x v="2"/>
    <x v="5"/>
    <x v="0"/>
    <s v="3"/>
    <s v="3"/>
    <s v="2025-03-19"/>
    <d v="1899-12-30T18:29:50"/>
    <x v="1"/>
  </r>
  <r>
    <s v="18"/>
    <s v="card"/>
    <n v="21.06"/>
    <x v="6"/>
    <x v="2"/>
    <x v="5"/>
    <x v="0"/>
    <s v="3"/>
    <s v="3"/>
    <s v="2025-03-19"/>
    <d v="1899-12-30T18:30:44"/>
    <x v="1"/>
  </r>
  <r>
    <s v="18"/>
    <s v="card"/>
    <n v="21.06"/>
    <x v="6"/>
    <x v="2"/>
    <x v="5"/>
    <x v="0"/>
    <s v="3"/>
    <s v="3"/>
    <s v="2025-03-19"/>
    <d v="1899-12-30T18:31:26"/>
    <x v="1"/>
  </r>
  <r>
    <s v="8"/>
    <s v="card"/>
    <n v="30.86"/>
    <x v="3"/>
    <x v="0"/>
    <x v="6"/>
    <x v="0"/>
    <s v="4"/>
    <s v="3"/>
    <s v="2025-03-20"/>
    <d v="1899-12-30T08:13:16"/>
    <x v="1"/>
  </r>
  <r>
    <s v="9"/>
    <s v="card"/>
    <n v="30.86"/>
    <x v="3"/>
    <x v="0"/>
    <x v="6"/>
    <x v="0"/>
    <s v="4"/>
    <s v="3"/>
    <s v="2025-03-20"/>
    <d v="1899-12-30T09:52:05"/>
    <x v="1"/>
  </r>
  <r>
    <s v="10"/>
    <s v="card"/>
    <n v="30.86"/>
    <x v="3"/>
    <x v="0"/>
    <x v="6"/>
    <x v="0"/>
    <s v="4"/>
    <s v="3"/>
    <s v="2025-03-20"/>
    <d v="1899-12-30T10:06:44"/>
    <x v="1"/>
  </r>
  <r>
    <s v="10"/>
    <s v="card"/>
    <n v="25.96"/>
    <x v="2"/>
    <x v="0"/>
    <x v="6"/>
    <x v="0"/>
    <s v="4"/>
    <s v="3"/>
    <s v="2025-03-20"/>
    <d v="1899-12-30T10:45:44"/>
    <x v="1"/>
  </r>
  <r>
    <s v="10"/>
    <s v="card"/>
    <n v="25.96"/>
    <x v="2"/>
    <x v="0"/>
    <x v="6"/>
    <x v="0"/>
    <s v="4"/>
    <s v="3"/>
    <s v="2025-03-20"/>
    <d v="1899-12-30T10:55:17"/>
    <x v="1"/>
  </r>
  <r>
    <s v="12"/>
    <s v="card"/>
    <n v="25.96"/>
    <x v="2"/>
    <x v="1"/>
    <x v="6"/>
    <x v="0"/>
    <s v="4"/>
    <s v="3"/>
    <s v="2025-03-20"/>
    <d v="1899-12-30T12:48:24"/>
    <x v="1"/>
  </r>
  <r>
    <s v="14"/>
    <s v="card"/>
    <n v="25.96"/>
    <x v="2"/>
    <x v="1"/>
    <x v="6"/>
    <x v="0"/>
    <s v="4"/>
    <s v="3"/>
    <s v="2025-03-20"/>
    <d v="1899-12-30T14:04:44"/>
    <x v="1"/>
  </r>
  <r>
    <s v="14"/>
    <s v="card"/>
    <n v="25.96"/>
    <x v="2"/>
    <x v="1"/>
    <x v="6"/>
    <x v="0"/>
    <s v="4"/>
    <s v="3"/>
    <s v="2025-03-20"/>
    <d v="1899-12-30T14:20:38"/>
    <x v="1"/>
  </r>
  <r>
    <s v="14"/>
    <s v="card"/>
    <n v="21.06"/>
    <x v="6"/>
    <x v="1"/>
    <x v="6"/>
    <x v="0"/>
    <s v="4"/>
    <s v="3"/>
    <s v="2025-03-20"/>
    <d v="1899-12-30T14:21:42"/>
    <x v="1"/>
  </r>
  <r>
    <s v="14"/>
    <s v="card"/>
    <n v="25.96"/>
    <x v="5"/>
    <x v="1"/>
    <x v="6"/>
    <x v="0"/>
    <s v="4"/>
    <s v="3"/>
    <s v="2025-03-20"/>
    <d v="1899-12-30T14:25:05"/>
    <x v="1"/>
  </r>
  <r>
    <s v="14"/>
    <s v="card"/>
    <n v="35.76"/>
    <x v="7"/>
    <x v="1"/>
    <x v="6"/>
    <x v="0"/>
    <s v="4"/>
    <s v="3"/>
    <s v="2025-03-20"/>
    <d v="1899-12-30T14:26:47"/>
    <x v="1"/>
  </r>
  <r>
    <s v="14"/>
    <s v="card"/>
    <n v="35.76"/>
    <x v="7"/>
    <x v="1"/>
    <x v="6"/>
    <x v="0"/>
    <s v="4"/>
    <s v="3"/>
    <s v="2025-03-20"/>
    <d v="1899-12-30T14:59:47"/>
    <x v="1"/>
  </r>
  <r>
    <s v="15"/>
    <s v="card"/>
    <n v="25.96"/>
    <x v="2"/>
    <x v="1"/>
    <x v="6"/>
    <x v="0"/>
    <s v="4"/>
    <s v="3"/>
    <s v="2025-03-20"/>
    <d v="1899-12-30T15:05:22"/>
    <x v="1"/>
  </r>
  <r>
    <s v="15"/>
    <s v="card"/>
    <n v="25.96"/>
    <x v="2"/>
    <x v="1"/>
    <x v="6"/>
    <x v="0"/>
    <s v="4"/>
    <s v="3"/>
    <s v="2025-03-20"/>
    <d v="1899-12-30T15:21:52"/>
    <x v="1"/>
  </r>
  <r>
    <s v="16"/>
    <s v="card"/>
    <n v="35.76"/>
    <x v="7"/>
    <x v="1"/>
    <x v="6"/>
    <x v="0"/>
    <s v="4"/>
    <s v="3"/>
    <s v="2025-03-20"/>
    <d v="1899-12-30T16:45:45"/>
    <x v="1"/>
  </r>
  <r>
    <s v="17"/>
    <s v="card"/>
    <n v="25.96"/>
    <x v="2"/>
    <x v="2"/>
    <x v="6"/>
    <x v="0"/>
    <s v="4"/>
    <s v="3"/>
    <s v="2025-03-20"/>
    <d v="1899-12-30T17:23:51"/>
    <x v="1"/>
  </r>
  <r>
    <s v="18"/>
    <s v="card"/>
    <n v="35.76"/>
    <x v="1"/>
    <x v="2"/>
    <x v="6"/>
    <x v="0"/>
    <s v="4"/>
    <s v="3"/>
    <s v="2025-03-20"/>
    <d v="1899-12-30T18:55:59"/>
    <x v="1"/>
  </r>
  <r>
    <s v="19"/>
    <s v="card"/>
    <n v="35.76"/>
    <x v="4"/>
    <x v="2"/>
    <x v="6"/>
    <x v="0"/>
    <s v="4"/>
    <s v="3"/>
    <s v="2025-03-20"/>
    <d v="1899-12-30T19:36:42"/>
    <x v="1"/>
  </r>
  <r>
    <s v="19"/>
    <s v="card"/>
    <n v="35.76"/>
    <x v="7"/>
    <x v="2"/>
    <x v="6"/>
    <x v="0"/>
    <s v="4"/>
    <s v="3"/>
    <s v="2025-03-20"/>
    <d v="1899-12-30T19:57:48"/>
    <x v="1"/>
  </r>
  <r>
    <s v="21"/>
    <s v="card"/>
    <n v="35.76"/>
    <x v="0"/>
    <x v="2"/>
    <x v="6"/>
    <x v="0"/>
    <s v="4"/>
    <s v="3"/>
    <s v="2025-03-20"/>
    <d v="1899-12-30T21:50:16"/>
    <x v="1"/>
  </r>
  <r>
    <s v="7"/>
    <s v="card"/>
    <n v="30.86"/>
    <x v="3"/>
    <x v="0"/>
    <x v="0"/>
    <x v="0"/>
    <s v="5"/>
    <s v="3"/>
    <s v="2025-03-21"/>
    <d v="1899-12-30T07:06:12"/>
    <x v="1"/>
  </r>
  <r>
    <s v="7"/>
    <s v="card"/>
    <n v="30.86"/>
    <x v="3"/>
    <x v="0"/>
    <x v="0"/>
    <x v="0"/>
    <s v="5"/>
    <s v="3"/>
    <s v="2025-03-21"/>
    <d v="1899-12-30T07:09:08"/>
    <x v="1"/>
  </r>
  <r>
    <s v="8"/>
    <s v="card"/>
    <n v="25.96"/>
    <x v="2"/>
    <x v="0"/>
    <x v="0"/>
    <x v="0"/>
    <s v="5"/>
    <s v="3"/>
    <s v="2025-03-21"/>
    <d v="1899-12-30T08:16:44"/>
    <x v="1"/>
  </r>
  <r>
    <s v="8"/>
    <s v="card"/>
    <n v="25.96"/>
    <x v="2"/>
    <x v="0"/>
    <x v="0"/>
    <x v="0"/>
    <s v="5"/>
    <s v="3"/>
    <s v="2025-03-21"/>
    <d v="1899-12-30T08:28:37"/>
    <x v="1"/>
  </r>
  <r>
    <s v="8"/>
    <s v="card"/>
    <n v="25.96"/>
    <x v="2"/>
    <x v="0"/>
    <x v="0"/>
    <x v="0"/>
    <s v="5"/>
    <s v="3"/>
    <s v="2025-03-21"/>
    <d v="1899-12-30T08:29:21"/>
    <x v="1"/>
  </r>
  <r>
    <s v="8"/>
    <s v="card"/>
    <n v="35.76"/>
    <x v="7"/>
    <x v="0"/>
    <x v="0"/>
    <x v="0"/>
    <s v="5"/>
    <s v="3"/>
    <s v="2025-03-21"/>
    <d v="1899-12-30T08:35:19"/>
    <x v="1"/>
  </r>
  <r>
    <s v="11"/>
    <s v="card"/>
    <n v="25.96"/>
    <x v="2"/>
    <x v="0"/>
    <x v="0"/>
    <x v="0"/>
    <s v="5"/>
    <s v="3"/>
    <s v="2025-03-21"/>
    <d v="1899-12-30T11:50:09"/>
    <x v="1"/>
  </r>
  <r>
    <s v="11"/>
    <s v="card"/>
    <n v="35.76"/>
    <x v="0"/>
    <x v="0"/>
    <x v="0"/>
    <x v="0"/>
    <s v="5"/>
    <s v="3"/>
    <s v="2025-03-21"/>
    <d v="1899-12-30T11:51:08"/>
    <x v="1"/>
  </r>
  <r>
    <s v="13"/>
    <s v="card"/>
    <n v="25.96"/>
    <x v="2"/>
    <x v="1"/>
    <x v="0"/>
    <x v="0"/>
    <s v="5"/>
    <s v="3"/>
    <s v="2025-03-21"/>
    <d v="1899-12-30T13:02:48"/>
    <x v="1"/>
  </r>
  <r>
    <s v="13"/>
    <s v="card"/>
    <n v="35.76"/>
    <x v="0"/>
    <x v="1"/>
    <x v="0"/>
    <x v="0"/>
    <s v="5"/>
    <s v="3"/>
    <s v="2025-03-21"/>
    <d v="1899-12-30T13:23:57"/>
    <x v="1"/>
  </r>
  <r>
    <s v="14"/>
    <s v="card"/>
    <n v="35.76"/>
    <x v="7"/>
    <x v="1"/>
    <x v="0"/>
    <x v="0"/>
    <s v="5"/>
    <s v="3"/>
    <s v="2025-03-21"/>
    <d v="1899-12-30T14:11:44"/>
    <x v="1"/>
  </r>
  <r>
    <s v="15"/>
    <s v="card"/>
    <n v="35.76"/>
    <x v="7"/>
    <x v="1"/>
    <x v="0"/>
    <x v="0"/>
    <s v="5"/>
    <s v="3"/>
    <s v="2025-03-21"/>
    <d v="1899-12-30T15:09:03"/>
    <x v="1"/>
  </r>
  <r>
    <s v="15"/>
    <s v="card"/>
    <n v="25.96"/>
    <x v="2"/>
    <x v="1"/>
    <x v="0"/>
    <x v="0"/>
    <s v="5"/>
    <s v="3"/>
    <s v="2025-03-21"/>
    <d v="1899-12-30T15:24:43"/>
    <x v="1"/>
  </r>
  <r>
    <s v="15"/>
    <s v="card"/>
    <n v="35.76"/>
    <x v="0"/>
    <x v="1"/>
    <x v="0"/>
    <x v="0"/>
    <s v="5"/>
    <s v="3"/>
    <s v="2025-03-21"/>
    <d v="1899-12-30T15:28:20"/>
    <x v="1"/>
  </r>
  <r>
    <s v="15"/>
    <s v="card"/>
    <n v="35.76"/>
    <x v="7"/>
    <x v="1"/>
    <x v="0"/>
    <x v="0"/>
    <s v="5"/>
    <s v="3"/>
    <s v="2025-03-21"/>
    <d v="1899-12-30T15:29:32"/>
    <x v="1"/>
  </r>
  <r>
    <s v="17"/>
    <s v="card"/>
    <n v="35.76"/>
    <x v="1"/>
    <x v="2"/>
    <x v="0"/>
    <x v="0"/>
    <s v="5"/>
    <s v="3"/>
    <s v="2025-03-21"/>
    <d v="1899-12-30T17:01:29"/>
    <x v="1"/>
  </r>
  <r>
    <s v="17"/>
    <s v="card"/>
    <n v="35.76"/>
    <x v="0"/>
    <x v="2"/>
    <x v="0"/>
    <x v="0"/>
    <s v="5"/>
    <s v="3"/>
    <s v="2025-03-21"/>
    <d v="1899-12-30T17:21:17"/>
    <x v="1"/>
  </r>
  <r>
    <s v="17"/>
    <s v="card"/>
    <n v="35.76"/>
    <x v="0"/>
    <x v="2"/>
    <x v="0"/>
    <x v="0"/>
    <s v="5"/>
    <s v="3"/>
    <s v="2025-03-21"/>
    <d v="1899-12-30T17:22:50"/>
    <x v="1"/>
  </r>
  <r>
    <s v="18"/>
    <s v="card"/>
    <n v="35.76"/>
    <x v="0"/>
    <x v="2"/>
    <x v="0"/>
    <x v="0"/>
    <s v="5"/>
    <s v="3"/>
    <s v="2025-03-21"/>
    <d v="1899-12-30T18:52:13"/>
    <x v="1"/>
  </r>
  <r>
    <s v="18"/>
    <s v="card"/>
    <n v="25.96"/>
    <x v="2"/>
    <x v="2"/>
    <x v="0"/>
    <x v="0"/>
    <s v="5"/>
    <s v="3"/>
    <s v="2025-03-21"/>
    <d v="1899-12-30T18:59:24"/>
    <x v="1"/>
  </r>
  <r>
    <s v="9"/>
    <s v="card"/>
    <n v="30.86"/>
    <x v="3"/>
    <x v="0"/>
    <x v="1"/>
    <x v="0"/>
    <s v="6"/>
    <s v="3"/>
    <s v="2025-03-22"/>
    <d v="1899-12-30T09:05:13"/>
    <x v="1"/>
  </r>
  <r>
    <s v="10"/>
    <s v="card"/>
    <n v="30.86"/>
    <x v="3"/>
    <x v="0"/>
    <x v="1"/>
    <x v="0"/>
    <s v="6"/>
    <s v="3"/>
    <s v="2025-03-22"/>
    <d v="1899-12-30T10:30:09"/>
    <x v="1"/>
  </r>
  <r>
    <s v="11"/>
    <s v="card"/>
    <n v="35.76"/>
    <x v="1"/>
    <x v="0"/>
    <x v="1"/>
    <x v="0"/>
    <s v="6"/>
    <s v="3"/>
    <s v="2025-03-22"/>
    <d v="1899-12-30T11:14:06"/>
    <x v="1"/>
  </r>
  <r>
    <s v="11"/>
    <s v="card"/>
    <n v="35.76"/>
    <x v="4"/>
    <x v="0"/>
    <x v="1"/>
    <x v="0"/>
    <s v="6"/>
    <s v="3"/>
    <s v="2025-03-22"/>
    <d v="1899-12-30T11:41:21"/>
    <x v="1"/>
  </r>
  <r>
    <s v="12"/>
    <s v="card"/>
    <n v="30.86"/>
    <x v="3"/>
    <x v="1"/>
    <x v="1"/>
    <x v="0"/>
    <s v="6"/>
    <s v="3"/>
    <s v="2025-03-22"/>
    <d v="1899-12-30T12:18:27"/>
    <x v="1"/>
  </r>
  <r>
    <s v="12"/>
    <s v="card"/>
    <n v="25.96"/>
    <x v="2"/>
    <x v="1"/>
    <x v="1"/>
    <x v="0"/>
    <s v="6"/>
    <s v="3"/>
    <s v="2025-03-22"/>
    <d v="1899-12-30T12:26:00"/>
    <x v="1"/>
  </r>
  <r>
    <s v="13"/>
    <s v="card"/>
    <n v="25.96"/>
    <x v="2"/>
    <x v="1"/>
    <x v="1"/>
    <x v="0"/>
    <s v="6"/>
    <s v="3"/>
    <s v="2025-03-22"/>
    <d v="1899-12-30T13:06:22"/>
    <x v="1"/>
  </r>
  <r>
    <s v="13"/>
    <s v="card"/>
    <n v="30.86"/>
    <x v="3"/>
    <x v="1"/>
    <x v="1"/>
    <x v="0"/>
    <s v="6"/>
    <s v="3"/>
    <s v="2025-03-22"/>
    <d v="1899-12-30T13:23:18"/>
    <x v="1"/>
  </r>
  <r>
    <s v="15"/>
    <s v="card"/>
    <n v="21.06"/>
    <x v="6"/>
    <x v="1"/>
    <x v="1"/>
    <x v="0"/>
    <s v="6"/>
    <s v="3"/>
    <s v="2025-03-22"/>
    <d v="1899-12-30T15:57:58"/>
    <x v="1"/>
  </r>
  <r>
    <s v="16"/>
    <s v="card"/>
    <n v="35.76"/>
    <x v="0"/>
    <x v="1"/>
    <x v="1"/>
    <x v="0"/>
    <s v="6"/>
    <s v="3"/>
    <s v="2025-03-22"/>
    <d v="1899-12-30T16:27:00"/>
    <x v="1"/>
  </r>
  <r>
    <s v="17"/>
    <s v="card"/>
    <n v="30.86"/>
    <x v="3"/>
    <x v="2"/>
    <x v="1"/>
    <x v="0"/>
    <s v="6"/>
    <s v="3"/>
    <s v="2025-03-22"/>
    <d v="1899-12-30T17:53:36"/>
    <x v="1"/>
  </r>
  <r>
    <s v="19"/>
    <s v="card"/>
    <n v="30.86"/>
    <x v="3"/>
    <x v="2"/>
    <x v="1"/>
    <x v="0"/>
    <s v="6"/>
    <s v="3"/>
    <s v="2025-03-22"/>
    <d v="1899-12-30T19:16:53"/>
    <x v="1"/>
  </r>
  <r>
    <s v="10"/>
    <s v="card"/>
    <n v="35.76"/>
    <x v="0"/>
    <x v="0"/>
    <x v="2"/>
    <x v="0"/>
    <s v="7"/>
    <s v="3"/>
    <s v="2025-03-23"/>
    <d v="1899-12-30T10:07:11"/>
    <x v="1"/>
  </r>
  <r>
    <s v="10"/>
    <s v="card"/>
    <n v="35.76"/>
    <x v="7"/>
    <x v="0"/>
    <x v="2"/>
    <x v="0"/>
    <s v="7"/>
    <s v="3"/>
    <s v="2025-03-23"/>
    <d v="1899-12-30T10:34:55"/>
    <x v="1"/>
  </r>
  <r>
    <s v="14"/>
    <s v="card"/>
    <n v="35.76"/>
    <x v="4"/>
    <x v="1"/>
    <x v="2"/>
    <x v="0"/>
    <s v="7"/>
    <s v="3"/>
    <s v="2025-03-23"/>
    <d v="1899-12-30T14:43:37"/>
    <x v="1"/>
  </r>
  <r>
    <s v="14"/>
    <s v="card"/>
    <n v="35.76"/>
    <x v="4"/>
    <x v="1"/>
    <x v="2"/>
    <x v="0"/>
    <s v="7"/>
    <s v="3"/>
    <s v="2025-03-23"/>
    <d v="1899-12-30T14:44:17"/>
    <x v="1"/>
  </r>
  <r>
    <s v="15"/>
    <s v="card"/>
    <n v="25.96"/>
    <x v="2"/>
    <x v="1"/>
    <x v="2"/>
    <x v="0"/>
    <s v="7"/>
    <s v="3"/>
    <s v="2025-03-23"/>
    <d v="1899-12-30T15:47:29"/>
    <x v="1"/>
  </r>
  <r>
    <s v="18"/>
    <s v="card"/>
    <n v="35.76"/>
    <x v="0"/>
    <x v="2"/>
    <x v="2"/>
    <x v="0"/>
    <s v="7"/>
    <s v="3"/>
    <s v="2025-03-23"/>
    <d v="1899-12-30T18:11:39"/>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8518E9-2DB3-401F-911B-0E02CB77C7B2}" name="PivotTable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X3:AB13" firstHeaderRow="1" firstDataRow="2" firstDataCol="1"/>
  <pivotFields count="12">
    <pivotField showAll="0"/>
    <pivotField showAll="0"/>
    <pivotField dataField="1" showAll="0"/>
    <pivotField axis="axisRow" showAll="0">
      <items count="9">
        <item x="2"/>
        <item x="3"/>
        <item x="7"/>
        <item x="4"/>
        <item x="5"/>
        <item x="6"/>
        <item x="1"/>
        <item x="0"/>
        <item t="default"/>
      </items>
    </pivotField>
    <pivotField axis="axisCol" showAll="0">
      <items count="4">
        <item x="1"/>
        <item x="0"/>
        <item x="2"/>
        <item t="default"/>
      </items>
    </pivotField>
    <pivotField showAll="0"/>
    <pivotField showAll="0">
      <items count="13">
        <item x="10"/>
        <item x="11"/>
        <item x="0"/>
        <item x="1"/>
        <item x="2"/>
        <item x="3"/>
        <item x="4"/>
        <item x="5"/>
        <item x="6"/>
        <item x="7"/>
        <item x="8"/>
        <item x="9"/>
        <item t="default"/>
      </items>
    </pivotField>
    <pivotField showAll="0"/>
    <pivotField showAll="0"/>
    <pivotField showAll="0"/>
    <pivotField numFmtId="165" showAll="0"/>
    <pivotField showAll="0">
      <items count="3">
        <item x="0"/>
        <item x="1"/>
        <item t="default"/>
      </items>
    </pivotField>
  </pivotFields>
  <rowFields count="1">
    <field x="3"/>
  </rowFields>
  <rowItems count="9">
    <i>
      <x/>
    </i>
    <i>
      <x v="1"/>
    </i>
    <i>
      <x v="2"/>
    </i>
    <i>
      <x v="3"/>
    </i>
    <i>
      <x v="4"/>
    </i>
    <i>
      <x v="5"/>
    </i>
    <i>
      <x v="6"/>
    </i>
    <i>
      <x v="7"/>
    </i>
    <i t="grand">
      <x/>
    </i>
  </rowItems>
  <colFields count="1">
    <field x="4"/>
  </colFields>
  <colItems count="4">
    <i>
      <x/>
    </i>
    <i>
      <x v="1"/>
    </i>
    <i>
      <x v="2"/>
    </i>
    <i t="grand">
      <x/>
    </i>
  </colItems>
  <dataFields count="1">
    <dataField name="QTY SOLD" fld="2" subtotal="count" baseField="5" baseItem="3" numFmtId="3"/>
  </dataFields>
  <chartFormats count="3">
    <chartFormat chart="2" format="6" series="1">
      <pivotArea type="data" outline="0" fieldPosition="0">
        <references count="2">
          <reference field="4294967294" count="1" selected="0">
            <x v="0"/>
          </reference>
          <reference field="4" count="1" selected="0">
            <x v="0"/>
          </reference>
        </references>
      </pivotArea>
    </chartFormat>
    <chartFormat chart="2" format="7" series="1">
      <pivotArea type="data" outline="0" fieldPosition="0">
        <references count="2">
          <reference field="4294967294" count="1" selected="0">
            <x v="0"/>
          </reference>
          <reference field="4" count="1" selected="0">
            <x v="1"/>
          </reference>
        </references>
      </pivotArea>
    </chartFormat>
    <chartFormat chart="2" format="8"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60DA66-8841-4DD9-A886-310E9A6AA5B7}"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U3:V7" firstHeaderRow="1" firstDataRow="1" firstDataCol="1"/>
  <pivotFields count="12">
    <pivotField showAll="0"/>
    <pivotField showAll="0"/>
    <pivotField dataField="1" showAll="0"/>
    <pivotField showAll="0"/>
    <pivotField axis="axisRow" showAll="0">
      <items count="4">
        <item x="1"/>
        <item x="0"/>
        <item x="2"/>
        <item t="default"/>
      </items>
    </pivotField>
    <pivotField showAll="0"/>
    <pivotField showAll="0">
      <items count="13">
        <item x="10"/>
        <item x="11"/>
        <item x="0"/>
        <item x="1"/>
        <item x="2"/>
        <item x="3"/>
        <item x="4"/>
        <item x="5"/>
        <item x="6"/>
        <item x="7"/>
        <item x="8"/>
        <item x="9"/>
        <item t="default"/>
      </items>
    </pivotField>
    <pivotField showAll="0"/>
    <pivotField showAll="0"/>
    <pivotField showAll="0"/>
    <pivotField numFmtId="165" showAll="0"/>
    <pivotField showAll="0">
      <items count="3">
        <item x="0"/>
        <item x="1"/>
        <item t="default"/>
      </items>
    </pivotField>
  </pivotFields>
  <rowFields count="1">
    <field x="4"/>
  </rowFields>
  <rowItems count="4">
    <i>
      <x/>
    </i>
    <i>
      <x v="1"/>
    </i>
    <i>
      <x v="2"/>
    </i>
    <i t="grand">
      <x/>
    </i>
  </rowItems>
  <colItems count="1">
    <i/>
  </colItems>
  <dataFields count="1">
    <dataField name="QTY SOLD" fld="2" subtotal="count" baseField="5" baseItem="3" numFmtId="3"/>
  </dataFields>
  <chartFormats count="4">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4" count="1" selected="0">
            <x v="0"/>
          </reference>
        </references>
      </pivotArea>
    </chartFormat>
    <chartFormat chart="3" format="7">
      <pivotArea type="data" outline="0" fieldPosition="0">
        <references count="2">
          <reference field="4294967294" count="1" selected="0">
            <x v="0"/>
          </reference>
          <reference field="4" count="1" selected="0">
            <x v="1"/>
          </reference>
        </references>
      </pivotArea>
    </chartFormat>
    <chartFormat chart="3" format="8">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9D039C-84B6-4B03-AA7E-CBAFB4488AEC}"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J3:K11" firstHeaderRow="1" firstDataRow="1" firstDataCol="1"/>
  <pivotFields count="12">
    <pivotField showAll="0"/>
    <pivotField showAll="0"/>
    <pivotField dataField="1" showAll="0"/>
    <pivotField showAll="0"/>
    <pivotField showAll="0">
      <items count="4">
        <item x="1"/>
        <item x="0"/>
        <item x="2"/>
        <item t="default"/>
      </items>
    </pivotField>
    <pivotField axis="axisRow" showAll="0">
      <items count="8">
        <item x="2"/>
        <item x="3"/>
        <item x="4"/>
        <item x="5"/>
        <item x="6"/>
        <item x="0"/>
        <item x="1"/>
        <item t="default"/>
      </items>
    </pivotField>
    <pivotField showAll="0">
      <items count="13">
        <item x="10"/>
        <item x="11"/>
        <item x="0"/>
        <item x="1"/>
        <item x="2"/>
        <item x="3"/>
        <item x="4"/>
        <item x="5"/>
        <item x="6"/>
        <item x="7"/>
        <item x="8"/>
        <item x="9"/>
        <item t="default"/>
      </items>
    </pivotField>
    <pivotField showAll="0"/>
    <pivotField showAll="0"/>
    <pivotField showAll="0"/>
    <pivotField numFmtId="165" showAll="0"/>
    <pivotField showAll="0">
      <items count="3">
        <item x="0"/>
        <item x="1"/>
        <item t="default"/>
      </items>
    </pivotField>
  </pivotFields>
  <rowFields count="1">
    <field x="5"/>
  </rowFields>
  <rowItems count="8">
    <i>
      <x/>
    </i>
    <i>
      <x v="1"/>
    </i>
    <i>
      <x v="2"/>
    </i>
    <i>
      <x v="3"/>
    </i>
    <i>
      <x v="4"/>
    </i>
    <i>
      <x v="5"/>
    </i>
    <i>
      <x v="6"/>
    </i>
    <i t="grand">
      <x/>
    </i>
  </rowItems>
  <colItems count="1">
    <i/>
  </colItems>
  <dataFields count="1">
    <dataField name="REVENUE" fld="2" baseField="3"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0D7973-C684-4C2D-8583-7FB9801838C1}"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location ref="D3:E6" firstHeaderRow="1" firstDataRow="1" firstDataCol="1"/>
  <pivotFields count="12">
    <pivotField showAll="0"/>
    <pivotField showAll="0"/>
    <pivotField dataField="1" showAll="0"/>
    <pivotField showAll="0"/>
    <pivotField showAll="0">
      <items count="4">
        <item x="1"/>
        <item x="0"/>
        <item x="2"/>
        <item t="default"/>
      </items>
    </pivotField>
    <pivotField showAll="0"/>
    <pivotField showAll="0">
      <items count="13">
        <item x="10"/>
        <item x="11"/>
        <item x="0"/>
        <item x="1"/>
        <item x="2"/>
        <item x="3"/>
        <item x="4"/>
        <item x="5"/>
        <item x="6"/>
        <item x="7"/>
        <item x="8"/>
        <item x="9"/>
        <item t="default"/>
      </items>
    </pivotField>
    <pivotField showAll="0"/>
    <pivotField showAll="0"/>
    <pivotField showAll="0"/>
    <pivotField numFmtId="165" showAll="0"/>
    <pivotField axis="axisRow" showAll="0">
      <items count="3">
        <item x="0"/>
        <item x="1"/>
        <item t="default"/>
      </items>
    </pivotField>
  </pivotFields>
  <rowFields count="1">
    <field x="11"/>
  </rowFields>
  <rowItems count="3">
    <i>
      <x/>
    </i>
    <i>
      <x v="1"/>
    </i>
    <i t="grand">
      <x/>
    </i>
  </rowItems>
  <colItems count="1">
    <i/>
  </colItems>
  <dataFields count="1">
    <dataField name="REVENUE" fld="2" baseField="3" baseItem="0" numFmtId="166"/>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1" count="1" selected="0">
            <x v="0"/>
          </reference>
        </references>
      </pivotArea>
    </chartFormat>
    <chartFormat chart="1" format="3">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A5B160B-69D8-4788-B704-89630FDA2321}"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location ref="G3:H16" firstHeaderRow="1" firstDataRow="1" firstDataCol="1"/>
  <pivotFields count="12">
    <pivotField showAll="0"/>
    <pivotField showAll="0"/>
    <pivotField dataField="1" showAll="0"/>
    <pivotField showAll="0"/>
    <pivotField showAll="0">
      <items count="4">
        <item x="1"/>
        <item x="0"/>
        <item x="2"/>
        <item t="default"/>
      </items>
    </pivotField>
    <pivotField showAll="0"/>
    <pivotField axis="axisRow" showAll="0">
      <items count="13">
        <item x="10"/>
        <item x="11"/>
        <item x="0"/>
        <item x="1"/>
        <item x="2"/>
        <item x="3"/>
        <item x="4"/>
        <item x="5"/>
        <item x="6"/>
        <item x="7"/>
        <item x="8"/>
        <item x="9"/>
        <item t="default"/>
      </items>
    </pivotField>
    <pivotField showAll="0"/>
    <pivotField showAll="0"/>
    <pivotField showAll="0"/>
    <pivotField numFmtId="165" showAll="0"/>
    <pivotField showAll="0">
      <items count="3">
        <item x="0"/>
        <item x="1"/>
        <item t="default"/>
      </items>
    </pivotField>
  </pivotFields>
  <rowFields count="1">
    <field x="6"/>
  </rowFields>
  <rowItems count="13">
    <i>
      <x/>
    </i>
    <i>
      <x v="1"/>
    </i>
    <i>
      <x v="2"/>
    </i>
    <i>
      <x v="3"/>
    </i>
    <i>
      <x v="4"/>
    </i>
    <i>
      <x v="5"/>
    </i>
    <i>
      <x v="6"/>
    </i>
    <i>
      <x v="7"/>
    </i>
    <i>
      <x v="8"/>
    </i>
    <i>
      <x v="9"/>
    </i>
    <i>
      <x v="10"/>
    </i>
    <i>
      <x v="11"/>
    </i>
    <i t="grand">
      <x/>
    </i>
  </rowItems>
  <colItems count="1">
    <i/>
  </colItems>
  <dataFields count="1">
    <dataField name="REVENUE" fld="2" baseField="3" baseItem="0" numFmtId="166"/>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B9FC2C-2FFF-4873-9B6E-A57FF19411CD}"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P3:S17" firstHeaderRow="1" firstDataRow="2" firstDataCol="1"/>
  <pivotFields count="12">
    <pivotField showAll="0"/>
    <pivotField showAll="0"/>
    <pivotField dataField="1" showAll="0"/>
    <pivotField showAll="0"/>
    <pivotField showAll="0">
      <items count="4">
        <item x="1"/>
        <item x="0"/>
        <item x="2"/>
        <item t="default"/>
      </items>
    </pivotField>
    <pivotField showAll="0"/>
    <pivotField axis="axisRow" showAll="0">
      <items count="13">
        <item x="10"/>
        <item x="11"/>
        <item x="0"/>
        <item x="1"/>
        <item x="2"/>
        <item x="3"/>
        <item x="4"/>
        <item x="5"/>
        <item x="6"/>
        <item x="7"/>
        <item x="8"/>
        <item x="9"/>
        <item t="default"/>
      </items>
    </pivotField>
    <pivotField showAll="0"/>
    <pivotField showAll="0"/>
    <pivotField showAll="0"/>
    <pivotField numFmtId="165" showAll="0"/>
    <pivotField axis="axisCol" showAll="0">
      <items count="3">
        <item x="0"/>
        <item x="1"/>
        <item t="default"/>
      </items>
    </pivotField>
  </pivotFields>
  <rowFields count="1">
    <field x="6"/>
  </rowFields>
  <rowItems count="13">
    <i>
      <x/>
    </i>
    <i>
      <x v="1"/>
    </i>
    <i>
      <x v="2"/>
    </i>
    <i>
      <x v="3"/>
    </i>
    <i>
      <x v="4"/>
    </i>
    <i>
      <x v="5"/>
    </i>
    <i>
      <x v="6"/>
    </i>
    <i>
      <x v="7"/>
    </i>
    <i>
      <x v="8"/>
    </i>
    <i>
      <x v="9"/>
    </i>
    <i>
      <x v="10"/>
    </i>
    <i>
      <x v="11"/>
    </i>
    <i t="grand">
      <x/>
    </i>
  </rowItems>
  <colFields count="1">
    <field x="11"/>
  </colFields>
  <colItems count="3">
    <i>
      <x/>
    </i>
    <i>
      <x v="1"/>
    </i>
    <i t="grand">
      <x/>
    </i>
  </colItems>
  <dataFields count="1">
    <dataField name="QTY SOLD" fld="2" subtotal="count" baseField="5" baseItem="3"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E35B256-23DC-466E-B11A-B45B1254ACB8}"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location ref="A3:B12" firstHeaderRow="1" firstDataRow="1" firstDataCol="1"/>
  <pivotFields count="12">
    <pivotField showAll="0"/>
    <pivotField showAll="0"/>
    <pivotField dataField="1" showAll="0"/>
    <pivotField axis="axisRow" showAll="0">
      <items count="9">
        <item x="2"/>
        <item x="3"/>
        <item x="7"/>
        <item x="4"/>
        <item x="5"/>
        <item x="6"/>
        <item x="1"/>
        <item x="0"/>
        <item t="default"/>
      </items>
    </pivotField>
    <pivotField showAll="0">
      <items count="4">
        <item x="1"/>
        <item x="0"/>
        <item x="2"/>
        <item t="default"/>
      </items>
    </pivotField>
    <pivotField showAll="0"/>
    <pivotField showAll="0">
      <items count="13">
        <item x="10"/>
        <item x="11"/>
        <item x="0"/>
        <item x="1"/>
        <item x="2"/>
        <item x="3"/>
        <item x="4"/>
        <item x="5"/>
        <item x="6"/>
        <item x="7"/>
        <item x="8"/>
        <item x="9"/>
        <item t="default"/>
      </items>
    </pivotField>
    <pivotField showAll="0"/>
    <pivotField showAll="0"/>
    <pivotField showAll="0"/>
    <pivotField numFmtId="165" showAll="0"/>
    <pivotField showAll="0">
      <items count="3">
        <item x="0"/>
        <item x="1"/>
        <item t="default"/>
      </items>
    </pivotField>
  </pivotFields>
  <rowFields count="1">
    <field x="3"/>
  </rowFields>
  <rowItems count="9">
    <i>
      <x/>
    </i>
    <i>
      <x v="1"/>
    </i>
    <i>
      <x v="2"/>
    </i>
    <i>
      <x v="3"/>
    </i>
    <i>
      <x v="4"/>
    </i>
    <i>
      <x v="5"/>
    </i>
    <i>
      <x v="6"/>
    </i>
    <i>
      <x v="7"/>
    </i>
    <i t="grand">
      <x/>
    </i>
  </rowItems>
  <colItems count="1">
    <i/>
  </colItems>
  <dataFields count="1">
    <dataField name="REVENUE" fld="2" baseField="3" baseItem="0" numFmtId="166"/>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3F46346-674C-4E7B-BF1A-623BE7B7BDC6}"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M3:N11" firstHeaderRow="1" firstDataRow="1" firstDataCol="1"/>
  <pivotFields count="12">
    <pivotField showAll="0"/>
    <pivotField showAll="0"/>
    <pivotField dataField="1" showAll="0"/>
    <pivotField showAll="0"/>
    <pivotField showAll="0">
      <items count="4">
        <item x="1"/>
        <item x="0"/>
        <item x="2"/>
        <item t="default"/>
      </items>
    </pivotField>
    <pivotField axis="axisRow" showAll="0">
      <items count="8">
        <item x="2"/>
        <item x="3"/>
        <item x="4"/>
        <item x="5"/>
        <item x="6"/>
        <item x="0"/>
        <item x="1"/>
        <item t="default"/>
      </items>
    </pivotField>
    <pivotField showAll="0">
      <items count="13">
        <item x="10"/>
        <item x="11"/>
        <item x="0"/>
        <item x="1"/>
        <item x="2"/>
        <item x="3"/>
        <item x="4"/>
        <item x="5"/>
        <item x="6"/>
        <item x="7"/>
        <item x="8"/>
        <item x="9"/>
        <item t="default"/>
      </items>
    </pivotField>
    <pivotField showAll="0"/>
    <pivotField showAll="0"/>
    <pivotField showAll="0"/>
    <pivotField numFmtId="165" showAll="0"/>
    <pivotField showAll="0">
      <items count="3">
        <item x="0"/>
        <item x="1"/>
        <item t="default"/>
      </items>
    </pivotField>
  </pivotFields>
  <rowFields count="1">
    <field x="5"/>
  </rowFields>
  <rowItems count="8">
    <i>
      <x/>
    </i>
    <i>
      <x v="1"/>
    </i>
    <i>
      <x v="2"/>
    </i>
    <i>
      <x v="3"/>
    </i>
    <i>
      <x v="4"/>
    </i>
    <i>
      <x v="5"/>
    </i>
    <i>
      <x v="6"/>
    </i>
    <i t="grand">
      <x/>
    </i>
  </rowItems>
  <colItems count="1">
    <i/>
  </colItems>
  <dataFields count="1">
    <dataField name="QTY SOLD" fld="2" subtotal="count" baseField="5" baseItem="3" numFmtId="3"/>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494EB03-F746-44CB-97AF-749B4185DAEF}" autoFormatId="16" applyNumberFormats="0" applyBorderFormats="0" applyFontFormats="0" applyPatternFormats="0" applyAlignmentFormats="0" applyWidthHeightFormats="0">
  <queryTableRefresh nextId="13" unboundColumnsRight="1">
    <queryTableFields count="12">
      <queryTableField id="1" name="hour_of_day" tableColumnId="1"/>
      <queryTableField id="2" name="cash_type" tableColumnId="2"/>
      <queryTableField id="3" name="money" tableColumnId="3"/>
      <queryTableField id="4" name="coffee_name" tableColumnId="4"/>
      <queryTableField id="5" name="Time_of_Day" tableColumnId="5"/>
      <queryTableField id="6" name="Weekday" tableColumnId="6"/>
      <queryTableField id="7" name="Month_name" tableColumnId="7"/>
      <queryTableField id="8" name="Weekdaysort" tableColumnId="8"/>
      <queryTableField id="9" name="Monthsort" tableColumnId="9"/>
      <queryTableField id="10" name="Date" tableColumnId="10"/>
      <queryTableField id="11" name="Time" tableColumnId="11"/>
      <queryTableField id="12" dataBound="0"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of_Day" xr10:uid="{F753644C-0770-4503-B8F4-6E6F85ECF106}" sourceName="Time_of_Day">
  <pivotTables>
    <pivotTable tabId="3" name="PivotTable2"/>
    <pivotTable tabId="3" name="PivotTable1"/>
    <pivotTable tabId="3" name="PivotTable3"/>
    <pivotTable tabId="3" name="PivotTable4"/>
    <pivotTable tabId="3" name="PivotTable5"/>
    <pivotTable tabId="3" name="PivotTable6"/>
    <pivotTable tabId="3" name="PivotTable7"/>
    <pivotTable tabId="3" name="PivotTable8"/>
  </pivotTables>
  <data>
    <tabular pivotCacheId="1596785323">
      <items count="3">
        <i x="1" s="1"/>
        <i x="0"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CDD32A6A-FBA4-4AA7-9479-19A3EAD765C9}" sourceName="Month_name">
  <pivotTables>
    <pivotTable tabId="3" name="PivotTable2"/>
    <pivotTable tabId="3" name="PivotTable1"/>
    <pivotTable tabId="3" name="PivotTable3"/>
    <pivotTable tabId="3" name="PivotTable4"/>
    <pivotTable tabId="3" name="PivotTable5"/>
    <pivotTable tabId="3" name="PivotTable6"/>
    <pivotTable tabId="3" name="PivotTable7"/>
    <pivotTable tabId="3" name="PivotTable8"/>
  </pivotTables>
  <data>
    <tabular pivotCacheId="1596785323">
      <items count="12">
        <i x="10" s="1"/>
        <i x="11" s="1"/>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11200AD-50CF-4486-86D9-1A0C9326751F}" sourceName="Year">
  <pivotTables>
    <pivotTable tabId="3" name="PivotTable2"/>
    <pivotTable tabId="3" name="PivotTable1"/>
    <pivotTable tabId="3" name="PivotTable3"/>
    <pivotTable tabId="3" name="PivotTable4"/>
    <pivotTable tabId="3" name="PivotTable5"/>
    <pivotTable tabId="3" name="PivotTable6"/>
    <pivotTable tabId="3" name="PivotTable7"/>
    <pivotTable tabId="3" name="PivotTable8"/>
  </pivotTables>
  <data>
    <tabular pivotCacheId="1596785323">
      <items count="2">
        <i x="0"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me_of_Day" xr10:uid="{3DCA138D-8CC2-40AF-9D74-F087946FD927}" cache="Slicer_Time_of_Day" caption="Time_of_Day" rowHeight="257175"/>
  <slicer name="Month_name" xr10:uid="{DCAB60C3-4740-4350-AE38-C93263B47BAD}" cache="Slicer_Month_name" caption="Month_name" columnCount="4" rowHeight="257175"/>
  <slicer name="Year" xr10:uid="{3B2E21EA-F88E-4E84-B145-4058EC81BF8C}" cache="Slicer_Year" caption="Year"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26C0E9-8E97-415A-9893-96A9E725D5C0}" name="Coffe_sales" displayName="Coffe_sales" ref="A1:L3548" tableType="queryTable" totalsRowShown="0">
  <autoFilter ref="A1:L3548" xr:uid="{5E26C0E9-8E97-415A-9893-96A9E725D5C0}"/>
  <tableColumns count="12">
    <tableColumn id="1" xr3:uid="{58383A18-56A0-42C7-8623-F46CA7989BBF}" uniqueName="1" name="hour_of_day" queryTableFieldId="1" dataDxfId="10"/>
    <tableColumn id="2" xr3:uid="{4533BDEE-1D60-43AF-9A9F-030605F1F3A8}" uniqueName="2" name="cash_type" queryTableFieldId="2" dataDxfId="9"/>
    <tableColumn id="3" xr3:uid="{ED15B215-F2E5-4E78-B72E-C248421340BB}" uniqueName="3" name="money" queryTableFieldId="3"/>
    <tableColumn id="4" xr3:uid="{8EEE668E-989C-4899-862A-83B7F6B9B0A2}" uniqueName="4" name="coffee_name" queryTableFieldId="4" dataDxfId="8"/>
    <tableColumn id="5" xr3:uid="{EA1CF702-2200-476C-8E48-746971E00587}" uniqueName="5" name="Time_of_Day" queryTableFieldId="5" dataDxfId="7"/>
    <tableColumn id="6" xr3:uid="{81698D2F-D3F7-46BB-B022-824EF2DFD461}" uniqueName="6" name="Weekday" queryTableFieldId="6" dataDxfId="6"/>
    <tableColumn id="7" xr3:uid="{AF71B486-1892-40BD-B396-36CCC4CFE2A1}" uniqueName="7" name="Month_name" queryTableFieldId="7" dataDxfId="5"/>
    <tableColumn id="8" xr3:uid="{3A8E1192-ADEA-4ABA-A325-F28E193B1185}" uniqueName="8" name="Weekdaysort" queryTableFieldId="8" dataDxfId="4"/>
    <tableColumn id="9" xr3:uid="{6D540D43-DDE8-4FB5-ABB6-5B779086B0BC}" uniqueName="9" name="Monthsort" queryTableFieldId="9" dataDxfId="3"/>
    <tableColumn id="10" xr3:uid="{1F3A0C30-70E4-47F9-B698-CD222EB3F855}" uniqueName="10" name="Date" queryTableFieldId="10" dataDxfId="2"/>
    <tableColumn id="11" xr3:uid="{3A4752B4-3710-41DC-AD37-5EF10E9B0546}" uniqueName="11" name="Time" queryTableFieldId="11" dataDxfId="1"/>
    <tableColumn id="12" xr3:uid="{980E54A6-53EC-464D-B7C3-7617293AD53B}" uniqueName="12" name="Year" queryTableFieldId="12" dataDxfId="0">
      <calculatedColumnFormula>YEAR(Coffe_sales[[#This Row],[Date]])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C6A02-0091-4A1B-BF45-810CCC688CC3}">
  <sheetPr>
    <tabColor rgb="FFFFC000"/>
  </sheetPr>
  <dimension ref="A1"/>
  <sheetViews>
    <sheetView zoomScale="69" zoomScaleNormal="70" workbookViewId="0">
      <selection activeCell="G59" sqref="G59"/>
    </sheetView>
  </sheetViews>
  <sheetFormatPr baseColWidth="10" defaultColWidth="8.83203125" defaultRowHeight="15" x14ac:dyDescent="0.2"/>
  <sheetData/>
  <pageMargins left="0.7" right="0.7" top="0.75" bottom="0.75" header="0.3" footer="0.3"/>
  <pageSetup paperSize="10000" orientation="portrait" horizontalDpi="0" verticalDpi="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B7569-DF5A-4DFC-9792-3B171042C34D}">
  <dimension ref="A2:AB22"/>
  <sheetViews>
    <sheetView showGridLines="0" workbookViewId="0">
      <selection activeCell="U37" sqref="U37"/>
    </sheetView>
  </sheetViews>
  <sheetFormatPr baseColWidth="10" defaultColWidth="8.83203125" defaultRowHeight="15" x14ac:dyDescent="0.2"/>
  <cols>
    <col min="1" max="1" width="19.1640625" bestFit="1" customWidth="1"/>
    <col min="2" max="2" width="12.1640625" customWidth="1"/>
    <col min="3" max="3" width="2" customWidth="1"/>
    <col min="4" max="4" width="13.5" bestFit="1" customWidth="1"/>
    <col min="5" max="5" width="11.1640625" bestFit="1" customWidth="1"/>
    <col min="6" max="6" width="1.83203125" customWidth="1"/>
    <col min="7" max="7" width="9.6640625" customWidth="1"/>
    <col min="8" max="8" width="11.1640625" bestFit="1" customWidth="1"/>
    <col min="9" max="9" width="2.1640625" customWidth="1"/>
    <col min="10" max="10" width="7.33203125" customWidth="1"/>
    <col min="11" max="11" width="11.1640625" bestFit="1" customWidth="1"/>
    <col min="12" max="12" width="1.83203125" customWidth="1"/>
    <col min="13" max="13" width="8.83203125" customWidth="1"/>
    <col min="14" max="14" width="10" customWidth="1"/>
    <col min="15" max="15" width="1.83203125" customWidth="1"/>
    <col min="16" max="16" width="9.83203125" customWidth="1"/>
    <col min="17" max="17" width="6.1640625" customWidth="1"/>
    <col min="18" max="18" width="5" bestFit="1" customWidth="1"/>
    <col min="19" max="19" width="11.33203125" bestFit="1" customWidth="1"/>
    <col min="20" max="20" width="2" customWidth="1"/>
    <col min="21" max="21" width="13.5" bestFit="1" customWidth="1"/>
    <col min="22" max="22" width="9.6640625" customWidth="1"/>
    <col min="23" max="23" width="2.1640625" customWidth="1"/>
    <col min="24" max="24" width="19.1640625" bestFit="1" customWidth="1"/>
    <col min="25" max="25" width="9.83203125" customWidth="1"/>
    <col min="26" max="26" width="8.33203125" bestFit="1" customWidth="1"/>
    <col min="27" max="27" width="5.83203125" bestFit="1" customWidth="1"/>
    <col min="28" max="28" width="11.33203125" bestFit="1" customWidth="1"/>
    <col min="29" max="29" width="8.33203125" bestFit="1" customWidth="1"/>
    <col min="30" max="30" width="9.33203125" bestFit="1" customWidth="1"/>
    <col min="31" max="31" width="14.1640625" bestFit="1" customWidth="1"/>
    <col min="32" max="32" width="5.5" bestFit="1" customWidth="1"/>
    <col min="33" max="33" width="11.33203125" bestFit="1" customWidth="1"/>
  </cols>
  <sheetData>
    <row r="2" spans="1:28" x14ac:dyDescent="0.2">
      <c r="A2" s="5" t="s">
        <v>449</v>
      </c>
      <c r="D2" s="5" t="s">
        <v>450</v>
      </c>
      <c r="G2" s="5" t="s">
        <v>451</v>
      </c>
      <c r="J2" s="5" t="s">
        <v>452</v>
      </c>
      <c r="M2" s="5" t="s">
        <v>453</v>
      </c>
      <c r="P2" s="5" t="s">
        <v>455</v>
      </c>
      <c r="U2" s="5" t="s">
        <v>457</v>
      </c>
      <c r="X2" s="5" t="s">
        <v>458</v>
      </c>
    </row>
    <row r="3" spans="1:28" x14ac:dyDescent="0.2">
      <c r="A3" s="2" t="s">
        <v>446</v>
      </c>
      <c r="B3" t="s">
        <v>448</v>
      </c>
      <c r="D3" s="2" t="s">
        <v>446</v>
      </c>
      <c r="E3" t="s">
        <v>448</v>
      </c>
      <c r="G3" s="2" t="s">
        <v>446</v>
      </c>
      <c r="H3" t="s">
        <v>448</v>
      </c>
      <c r="J3" s="2" t="s">
        <v>446</v>
      </c>
      <c r="K3" t="s">
        <v>448</v>
      </c>
      <c r="M3" s="2" t="s">
        <v>446</v>
      </c>
      <c r="N3" t="s">
        <v>454</v>
      </c>
      <c r="P3" s="2" t="s">
        <v>454</v>
      </c>
      <c r="Q3" s="2" t="s">
        <v>456</v>
      </c>
      <c r="U3" s="2" t="s">
        <v>446</v>
      </c>
      <c r="V3" t="s">
        <v>454</v>
      </c>
      <c r="X3" s="2" t="s">
        <v>454</v>
      </c>
      <c r="Y3" s="2" t="s">
        <v>456</v>
      </c>
    </row>
    <row r="4" spans="1:28" x14ac:dyDescent="0.2">
      <c r="A4" s="3" t="s">
        <v>24</v>
      </c>
      <c r="B4" s="4">
        <v>14650.259999999824</v>
      </c>
      <c r="D4" s="3">
        <v>2024</v>
      </c>
      <c r="E4" s="4">
        <v>82644.79999999865</v>
      </c>
      <c r="G4" s="3" t="s">
        <v>364</v>
      </c>
      <c r="H4" s="4">
        <v>6398.8600000000124</v>
      </c>
      <c r="J4" s="3" t="s">
        <v>38</v>
      </c>
      <c r="K4" s="4">
        <v>13336.060000000019</v>
      </c>
      <c r="M4" s="3" t="s">
        <v>38</v>
      </c>
      <c r="N4" s="6">
        <v>419</v>
      </c>
      <c r="P4" s="2" t="s">
        <v>446</v>
      </c>
      <c r="Q4">
        <v>2024</v>
      </c>
      <c r="R4">
        <v>2025</v>
      </c>
      <c r="S4" t="s">
        <v>447</v>
      </c>
      <c r="U4" s="3" t="s">
        <v>22</v>
      </c>
      <c r="V4" s="6">
        <v>1205</v>
      </c>
      <c r="X4" s="2" t="s">
        <v>446</v>
      </c>
      <c r="Y4" t="s">
        <v>22</v>
      </c>
      <c r="Z4" t="s">
        <v>14</v>
      </c>
      <c r="AA4" t="s">
        <v>29</v>
      </c>
      <c r="AB4" t="s">
        <v>447</v>
      </c>
    </row>
    <row r="5" spans="1:28" x14ac:dyDescent="0.2">
      <c r="A5" s="3" t="s">
        <v>26</v>
      </c>
      <c r="B5" s="4">
        <v>24751.120000000228</v>
      </c>
      <c r="D5" s="3">
        <v>2025</v>
      </c>
      <c r="E5" s="4">
        <v>29600.779999999606</v>
      </c>
      <c r="G5" s="3" t="s">
        <v>393</v>
      </c>
      <c r="H5" s="4">
        <v>13215.479999999996</v>
      </c>
      <c r="J5" s="3" t="s">
        <v>42</v>
      </c>
      <c r="K5" s="4">
        <v>17363.099999999977</v>
      </c>
      <c r="M5" s="3" t="s">
        <v>42</v>
      </c>
      <c r="N5" s="6">
        <v>544</v>
      </c>
      <c r="P5" s="3" t="s">
        <v>364</v>
      </c>
      <c r="Q5" s="6"/>
      <c r="R5" s="6">
        <v>201</v>
      </c>
      <c r="S5" s="6">
        <v>201</v>
      </c>
      <c r="U5" s="3" t="s">
        <v>14</v>
      </c>
      <c r="V5" s="6">
        <v>1181</v>
      </c>
      <c r="X5" s="3" t="s">
        <v>24</v>
      </c>
      <c r="Y5" s="6">
        <v>233</v>
      </c>
      <c r="Z5" s="6">
        <v>219</v>
      </c>
      <c r="AA5" s="6">
        <v>112</v>
      </c>
      <c r="AB5" s="6">
        <v>564</v>
      </c>
    </row>
    <row r="6" spans="1:28" x14ac:dyDescent="0.2">
      <c r="A6" s="3" t="s">
        <v>52</v>
      </c>
      <c r="B6" s="4">
        <v>17439.139999999974</v>
      </c>
      <c r="D6" s="3" t="s">
        <v>447</v>
      </c>
      <c r="E6" s="4">
        <v>112245.57999999826</v>
      </c>
      <c r="G6" s="3" t="s">
        <v>16</v>
      </c>
      <c r="H6" s="4">
        <v>15891.639999999976</v>
      </c>
      <c r="J6" s="3" t="s">
        <v>47</v>
      </c>
      <c r="K6" s="4">
        <v>18168.379999999957</v>
      </c>
      <c r="M6" s="3" t="s">
        <v>47</v>
      </c>
      <c r="N6" s="6">
        <v>572</v>
      </c>
      <c r="P6" s="3" t="s">
        <v>393</v>
      </c>
      <c r="Q6" s="6"/>
      <c r="R6" s="6">
        <v>423</v>
      </c>
      <c r="S6" s="6">
        <v>423</v>
      </c>
      <c r="U6" s="3" t="s">
        <v>29</v>
      </c>
      <c r="V6" s="6">
        <v>1161</v>
      </c>
      <c r="X6" s="3" t="s">
        <v>26</v>
      </c>
      <c r="Y6" s="6">
        <v>239</v>
      </c>
      <c r="Z6" s="6">
        <v>331</v>
      </c>
      <c r="AA6" s="6">
        <v>239</v>
      </c>
      <c r="AB6" s="6">
        <v>809</v>
      </c>
    </row>
    <row r="7" spans="1:28" x14ac:dyDescent="0.2">
      <c r="A7" s="3" t="s">
        <v>31</v>
      </c>
      <c r="B7" s="4">
        <v>8521.1600000000381</v>
      </c>
      <c r="G7" s="3" t="s">
        <v>80</v>
      </c>
      <c r="H7" s="4">
        <v>5719.5600000000022</v>
      </c>
      <c r="J7" s="3" t="s">
        <v>50</v>
      </c>
      <c r="K7" s="4">
        <v>15750.459999999994</v>
      </c>
      <c r="M7" s="3" t="s">
        <v>50</v>
      </c>
      <c r="N7" s="6">
        <v>500</v>
      </c>
      <c r="P7" s="3" t="s">
        <v>16</v>
      </c>
      <c r="Q7" s="6">
        <v>175</v>
      </c>
      <c r="R7" s="6">
        <v>319</v>
      </c>
      <c r="S7" s="6">
        <v>494</v>
      </c>
      <c r="U7" s="3" t="s">
        <v>447</v>
      </c>
      <c r="V7" s="6">
        <v>3547</v>
      </c>
      <c r="X7" s="3" t="s">
        <v>52</v>
      </c>
      <c r="Y7" s="6">
        <v>164</v>
      </c>
      <c r="Z7" s="6">
        <v>122</v>
      </c>
      <c r="AA7" s="6">
        <v>200</v>
      </c>
      <c r="AB7" s="6">
        <v>486</v>
      </c>
    </row>
    <row r="8" spans="1:28" x14ac:dyDescent="0.2">
      <c r="A8" s="3" t="s">
        <v>41</v>
      </c>
      <c r="B8" s="4">
        <v>7384.8600000000097</v>
      </c>
      <c r="G8" s="3" t="s">
        <v>112</v>
      </c>
      <c r="H8" s="4">
        <v>8164.4200000000119</v>
      </c>
      <c r="J8" s="3" t="s">
        <v>53</v>
      </c>
      <c r="K8" s="4">
        <v>16091.400000000001</v>
      </c>
      <c r="M8" s="3" t="s">
        <v>53</v>
      </c>
      <c r="N8" s="6">
        <v>510</v>
      </c>
      <c r="P8" s="3" t="s">
        <v>80</v>
      </c>
      <c r="Q8" s="6">
        <v>168</v>
      </c>
      <c r="R8" s="6"/>
      <c r="S8" s="6">
        <v>168</v>
      </c>
      <c r="X8" s="3" t="s">
        <v>31</v>
      </c>
      <c r="Y8" s="6">
        <v>75</v>
      </c>
      <c r="Z8" s="6">
        <v>58</v>
      </c>
      <c r="AA8" s="6">
        <v>106</v>
      </c>
      <c r="AB8" s="6">
        <v>239</v>
      </c>
    </row>
    <row r="9" spans="1:28" x14ac:dyDescent="0.2">
      <c r="A9" s="3" t="s">
        <v>45</v>
      </c>
      <c r="B9" s="4">
        <v>2690.2799999999938</v>
      </c>
      <c r="G9" s="3" t="s">
        <v>144</v>
      </c>
      <c r="H9" s="4">
        <v>7617.7600000000057</v>
      </c>
      <c r="J9" s="3" t="s">
        <v>15</v>
      </c>
      <c r="K9" s="4">
        <v>16802.659999999971</v>
      </c>
      <c r="M9" s="3" t="s">
        <v>15</v>
      </c>
      <c r="N9" s="6">
        <v>532</v>
      </c>
      <c r="P9" s="3" t="s">
        <v>112</v>
      </c>
      <c r="Q9" s="6">
        <v>241</v>
      </c>
      <c r="R9" s="6"/>
      <c r="S9" s="6">
        <v>241</v>
      </c>
      <c r="X9" s="3" t="s">
        <v>41</v>
      </c>
      <c r="Y9" s="6">
        <v>88</v>
      </c>
      <c r="Z9" s="6">
        <v>143</v>
      </c>
      <c r="AA9" s="6">
        <v>56</v>
      </c>
      <c r="AB9" s="6">
        <v>287</v>
      </c>
    </row>
    <row r="10" spans="1:28" x14ac:dyDescent="0.2">
      <c r="A10" s="3" t="s">
        <v>21</v>
      </c>
      <c r="B10" s="4">
        <v>9933.4600000000464</v>
      </c>
      <c r="G10" s="3" t="s">
        <v>175</v>
      </c>
      <c r="H10" s="4">
        <v>6915.940000000006</v>
      </c>
      <c r="J10" s="3" t="s">
        <v>32</v>
      </c>
      <c r="K10" s="4">
        <v>14733.519999999995</v>
      </c>
      <c r="M10" s="3" t="s">
        <v>32</v>
      </c>
      <c r="N10" s="6">
        <v>470</v>
      </c>
      <c r="P10" s="3" t="s">
        <v>144</v>
      </c>
      <c r="Q10" s="6">
        <v>223</v>
      </c>
      <c r="R10" s="6"/>
      <c r="S10" s="6">
        <v>223</v>
      </c>
      <c r="X10" s="3" t="s">
        <v>45</v>
      </c>
      <c r="Y10" s="6">
        <v>56</v>
      </c>
      <c r="Z10" s="6">
        <v>44</v>
      </c>
      <c r="AA10" s="6">
        <v>29</v>
      </c>
      <c r="AB10" s="6">
        <v>129</v>
      </c>
    </row>
    <row r="11" spans="1:28" x14ac:dyDescent="0.2">
      <c r="A11" s="3" t="s">
        <v>13</v>
      </c>
      <c r="B11" s="4">
        <v>26875.299999999501</v>
      </c>
      <c r="G11" s="3" t="s">
        <v>207</v>
      </c>
      <c r="H11" s="4">
        <v>7613.8400000000147</v>
      </c>
      <c r="J11" s="3" t="s">
        <v>447</v>
      </c>
      <c r="K11" s="4">
        <v>112245.5799999999</v>
      </c>
      <c r="M11" s="3" t="s">
        <v>447</v>
      </c>
      <c r="N11" s="6">
        <v>3547</v>
      </c>
      <c r="P11" s="3" t="s">
        <v>175</v>
      </c>
      <c r="Q11" s="6">
        <v>237</v>
      </c>
      <c r="R11" s="6"/>
      <c r="S11" s="6">
        <v>237</v>
      </c>
      <c r="X11" s="3" t="s">
        <v>21</v>
      </c>
      <c r="Y11" s="6">
        <v>80</v>
      </c>
      <c r="Z11" s="6">
        <v>49</v>
      </c>
      <c r="AA11" s="6">
        <v>147</v>
      </c>
      <c r="AB11" s="6">
        <v>276</v>
      </c>
    </row>
    <row r="12" spans="1:28" x14ac:dyDescent="0.2">
      <c r="A12" s="3" t="s">
        <v>447</v>
      </c>
      <c r="B12" s="4">
        <v>112245.57999999961</v>
      </c>
      <c r="G12" s="3" t="s">
        <v>239</v>
      </c>
      <c r="H12" s="4">
        <v>9988.6400000000067</v>
      </c>
      <c r="P12" s="3" t="s">
        <v>207</v>
      </c>
      <c r="Q12" s="6">
        <v>272</v>
      </c>
      <c r="R12" s="6"/>
      <c r="S12" s="6">
        <v>272</v>
      </c>
      <c r="X12" s="3" t="s">
        <v>13</v>
      </c>
      <c r="Y12" s="6">
        <v>270</v>
      </c>
      <c r="Z12" s="6">
        <v>215</v>
      </c>
      <c r="AA12" s="6">
        <v>272</v>
      </c>
      <c r="AB12" s="6">
        <v>757</v>
      </c>
    </row>
    <row r="13" spans="1:28" x14ac:dyDescent="0.2">
      <c r="G13" s="3" t="s">
        <v>270</v>
      </c>
      <c r="H13" s="4">
        <v>13891.16000000004</v>
      </c>
      <c r="P13" s="3" t="s">
        <v>239</v>
      </c>
      <c r="Q13" s="6">
        <v>344</v>
      </c>
      <c r="R13" s="6"/>
      <c r="S13" s="6">
        <v>344</v>
      </c>
      <c r="X13" s="3" t="s">
        <v>447</v>
      </c>
      <c r="Y13" s="6">
        <v>1205</v>
      </c>
      <c r="Z13" s="6">
        <v>1181</v>
      </c>
      <c r="AA13" s="6">
        <v>1161</v>
      </c>
      <c r="AB13" s="6">
        <v>3547</v>
      </c>
    </row>
    <row r="14" spans="1:28" x14ac:dyDescent="0.2">
      <c r="G14" s="3" t="s">
        <v>302</v>
      </c>
      <c r="H14" s="4">
        <v>8590.5400000000227</v>
      </c>
      <c r="P14" s="3" t="s">
        <v>270</v>
      </c>
      <c r="Q14" s="6">
        <v>426</v>
      </c>
      <c r="R14" s="6"/>
      <c r="S14" s="6">
        <v>426</v>
      </c>
    </row>
    <row r="15" spans="1:28" x14ac:dyDescent="0.2">
      <c r="G15" s="3" t="s">
        <v>332</v>
      </c>
      <c r="H15" s="4">
        <v>8237.740000000018</v>
      </c>
      <c r="P15" s="3" t="s">
        <v>302</v>
      </c>
      <c r="Q15" s="6">
        <v>259</v>
      </c>
      <c r="R15" s="6"/>
      <c r="S15" s="6">
        <v>259</v>
      </c>
    </row>
    <row r="16" spans="1:28" x14ac:dyDescent="0.2">
      <c r="G16" s="3" t="s">
        <v>447</v>
      </c>
      <c r="H16" s="4">
        <v>112245.58000000009</v>
      </c>
      <c r="P16" s="3" t="s">
        <v>332</v>
      </c>
      <c r="Q16" s="6">
        <v>259</v>
      </c>
      <c r="R16" s="6"/>
      <c r="S16" s="6">
        <v>259</v>
      </c>
    </row>
    <row r="17" spans="1:19" x14ac:dyDescent="0.2">
      <c r="P17" s="3" t="s">
        <v>447</v>
      </c>
      <c r="Q17" s="6">
        <v>2604</v>
      </c>
      <c r="R17" s="6">
        <v>943</v>
      </c>
      <c r="S17" s="6">
        <v>3547</v>
      </c>
    </row>
    <row r="20" spans="1:19" x14ac:dyDescent="0.2">
      <c r="A20" s="9" t="s">
        <v>459</v>
      </c>
      <c r="B20" s="8">
        <f>GETPIVOTDATA("money",$P$3)</f>
        <v>3547</v>
      </c>
    </row>
    <row r="21" spans="1:19" x14ac:dyDescent="0.2">
      <c r="A21" s="9" t="s">
        <v>460</v>
      </c>
      <c r="B21" s="8">
        <f>GETPIVOTDATA("money",$M$3)</f>
        <v>3547</v>
      </c>
    </row>
    <row r="22" spans="1:19" x14ac:dyDescent="0.2">
      <c r="A22" s="9" t="s">
        <v>461</v>
      </c>
      <c r="B22" s="7">
        <f>GETPIVOTDATA("money",$A$3)</f>
        <v>112245.57999999961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D0112-1CF7-4D70-9355-3C9032D6C4DB}">
  <dimension ref="A1:L3548"/>
  <sheetViews>
    <sheetView tabSelected="1" workbookViewId="0">
      <selection activeCell="U18" sqref="U18"/>
    </sheetView>
  </sheetViews>
  <sheetFormatPr baseColWidth="10" defaultColWidth="8.83203125" defaultRowHeight="15" x14ac:dyDescent="0.2"/>
  <cols>
    <col min="1" max="1" width="14.1640625" bestFit="1" customWidth="1"/>
    <col min="2" max="2" width="12.33203125" bestFit="1" customWidth="1"/>
    <col min="3" max="3" width="9.5" bestFit="1" customWidth="1"/>
    <col min="4" max="4" width="19.1640625" bestFit="1" customWidth="1"/>
    <col min="5" max="5" width="14.6640625" bestFit="1" customWidth="1"/>
    <col min="6" max="6" width="11.5" bestFit="1" customWidth="1"/>
    <col min="7" max="7" width="14.83203125" bestFit="1" customWidth="1"/>
    <col min="8" max="8" width="15.1640625" bestFit="1" customWidth="1"/>
    <col min="9" max="9" width="12.5" bestFit="1" customWidth="1"/>
    <col min="10" max="10" width="10.5" bestFit="1" customWidth="1"/>
    <col min="11" max="11" width="11.33203125" bestFit="1" customWidth="1"/>
    <col min="12" max="12" width="7.33203125" bestFit="1" customWidth="1"/>
  </cols>
  <sheetData>
    <row r="1" spans="1:12" x14ac:dyDescent="0.2">
      <c r="A1" t="s">
        <v>0</v>
      </c>
      <c r="B1" t="s">
        <v>1</v>
      </c>
      <c r="C1" t="s">
        <v>2</v>
      </c>
      <c r="D1" t="s">
        <v>3</v>
      </c>
      <c r="E1" t="s">
        <v>4</v>
      </c>
      <c r="F1" t="s">
        <v>5</v>
      </c>
      <c r="G1" t="s">
        <v>6</v>
      </c>
      <c r="H1" t="s">
        <v>7</v>
      </c>
      <c r="I1" t="s">
        <v>8</v>
      </c>
      <c r="J1" t="s">
        <v>9</v>
      </c>
      <c r="K1" t="s">
        <v>10</v>
      </c>
      <c r="L1" t="s">
        <v>445</v>
      </c>
    </row>
    <row r="2" spans="1:12" x14ac:dyDescent="0.2">
      <c r="A2" t="s">
        <v>11</v>
      </c>
      <c r="B2" t="s">
        <v>12</v>
      </c>
      <c r="C2">
        <v>38.700000000000003</v>
      </c>
      <c r="D2" t="s">
        <v>13</v>
      </c>
      <c r="E2" t="s">
        <v>14</v>
      </c>
      <c r="F2" t="s">
        <v>15</v>
      </c>
      <c r="G2" t="s">
        <v>16</v>
      </c>
      <c r="H2" t="s">
        <v>17</v>
      </c>
      <c r="I2" t="s">
        <v>18</v>
      </c>
      <c r="J2" t="s">
        <v>19</v>
      </c>
      <c r="K2" s="1">
        <v>0.42766805555555554</v>
      </c>
      <c r="L2">
        <f>YEAR(Coffe_sales[[#This Row],[Date]])</f>
        <v>2024</v>
      </c>
    </row>
    <row r="3" spans="1:12" x14ac:dyDescent="0.2">
      <c r="A3" t="s">
        <v>20</v>
      </c>
      <c r="B3" t="s">
        <v>12</v>
      </c>
      <c r="C3">
        <v>38.700000000000003</v>
      </c>
      <c r="D3" t="s">
        <v>21</v>
      </c>
      <c r="E3" t="s">
        <v>22</v>
      </c>
      <c r="F3" t="s">
        <v>15</v>
      </c>
      <c r="G3" t="s">
        <v>16</v>
      </c>
      <c r="H3" t="s">
        <v>17</v>
      </c>
      <c r="I3" t="s">
        <v>18</v>
      </c>
      <c r="J3" t="s">
        <v>19</v>
      </c>
      <c r="K3" s="1">
        <v>0.51345531249999998</v>
      </c>
      <c r="L3">
        <f>YEAR(Coffe_sales[[#This Row],[Date]])</f>
        <v>2024</v>
      </c>
    </row>
    <row r="4" spans="1:12" x14ac:dyDescent="0.2">
      <c r="A4" t="s">
        <v>20</v>
      </c>
      <c r="B4" t="s">
        <v>12</v>
      </c>
      <c r="C4">
        <v>38.700000000000003</v>
      </c>
      <c r="D4" t="s">
        <v>21</v>
      </c>
      <c r="E4" t="s">
        <v>22</v>
      </c>
      <c r="F4" t="s">
        <v>15</v>
      </c>
      <c r="G4" t="s">
        <v>16</v>
      </c>
      <c r="H4" t="s">
        <v>17</v>
      </c>
      <c r="I4" t="s">
        <v>18</v>
      </c>
      <c r="J4" t="s">
        <v>19</v>
      </c>
      <c r="K4" s="1">
        <v>0.51409825231481476</v>
      </c>
      <c r="L4">
        <f>YEAR(Coffe_sales[[#This Row],[Date]])</f>
        <v>2024</v>
      </c>
    </row>
    <row r="5" spans="1:12" x14ac:dyDescent="0.2">
      <c r="A5" t="s">
        <v>23</v>
      </c>
      <c r="B5" t="s">
        <v>12</v>
      </c>
      <c r="C5">
        <v>28.9</v>
      </c>
      <c r="D5" t="s">
        <v>24</v>
      </c>
      <c r="E5" t="s">
        <v>22</v>
      </c>
      <c r="F5" t="s">
        <v>15</v>
      </c>
      <c r="G5" t="s">
        <v>16</v>
      </c>
      <c r="H5" t="s">
        <v>17</v>
      </c>
      <c r="I5" t="s">
        <v>18</v>
      </c>
      <c r="J5" t="s">
        <v>19</v>
      </c>
      <c r="K5" s="1">
        <v>0.57399312499999999</v>
      </c>
      <c r="L5">
        <f>YEAR(Coffe_sales[[#This Row],[Date]])</f>
        <v>2024</v>
      </c>
    </row>
    <row r="6" spans="1:12" x14ac:dyDescent="0.2">
      <c r="A6" t="s">
        <v>23</v>
      </c>
      <c r="B6" t="s">
        <v>12</v>
      </c>
      <c r="C6">
        <v>38.700000000000003</v>
      </c>
      <c r="D6" t="s">
        <v>13</v>
      </c>
      <c r="E6" t="s">
        <v>22</v>
      </c>
      <c r="F6" t="s">
        <v>15</v>
      </c>
      <c r="G6" t="s">
        <v>16</v>
      </c>
      <c r="H6" t="s">
        <v>17</v>
      </c>
      <c r="I6" t="s">
        <v>18</v>
      </c>
      <c r="J6" t="s">
        <v>19</v>
      </c>
      <c r="K6" s="1">
        <v>0.57516928240740739</v>
      </c>
      <c r="L6">
        <f>YEAR(Coffe_sales[[#This Row],[Date]])</f>
        <v>2024</v>
      </c>
    </row>
    <row r="7" spans="1:12" x14ac:dyDescent="0.2">
      <c r="A7" t="s">
        <v>25</v>
      </c>
      <c r="B7" t="s">
        <v>12</v>
      </c>
      <c r="C7">
        <v>33.799999999999997</v>
      </c>
      <c r="D7" t="s">
        <v>26</v>
      </c>
      <c r="E7" t="s">
        <v>22</v>
      </c>
      <c r="F7" t="s">
        <v>15</v>
      </c>
      <c r="G7" t="s">
        <v>16</v>
      </c>
      <c r="H7" t="s">
        <v>17</v>
      </c>
      <c r="I7" t="s">
        <v>18</v>
      </c>
      <c r="J7" t="s">
        <v>19</v>
      </c>
      <c r="K7" s="1">
        <v>0.65263571759259265</v>
      </c>
      <c r="L7">
        <f>YEAR(Coffe_sales[[#This Row],[Date]])</f>
        <v>2024</v>
      </c>
    </row>
    <row r="8" spans="1:12" x14ac:dyDescent="0.2">
      <c r="A8" t="s">
        <v>27</v>
      </c>
      <c r="B8" t="s">
        <v>12</v>
      </c>
      <c r="C8">
        <v>38.700000000000003</v>
      </c>
      <c r="D8" t="s">
        <v>21</v>
      </c>
      <c r="E8" t="s">
        <v>22</v>
      </c>
      <c r="F8" t="s">
        <v>15</v>
      </c>
      <c r="G8" t="s">
        <v>16</v>
      </c>
      <c r="H8" t="s">
        <v>17</v>
      </c>
      <c r="I8" t="s">
        <v>18</v>
      </c>
      <c r="J8" t="s">
        <v>19</v>
      </c>
      <c r="K8" s="1">
        <v>0.67989300925925922</v>
      </c>
      <c r="L8">
        <f>YEAR(Coffe_sales[[#This Row],[Date]])</f>
        <v>2024</v>
      </c>
    </row>
    <row r="9" spans="1:12" x14ac:dyDescent="0.2">
      <c r="A9" t="s">
        <v>28</v>
      </c>
      <c r="B9" t="s">
        <v>12</v>
      </c>
      <c r="C9">
        <v>33.799999999999997</v>
      </c>
      <c r="D9" t="s">
        <v>26</v>
      </c>
      <c r="E9" t="s">
        <v>29</v>
      </c>
      <c r="F9" t="s">
        <v>15</v>
      </c>
      <c r="G9" t="s">
        <v>16</v>
      </c>
      <c r="H9" t="s">
        <v>17</v>
      </c>
      <c r="I9" t="s">
        <v>18</v>
      </c>
      <c r="J9" t="s">
        <v>19</v>
      </c>
      <c r="K9" s="1">
        <v>0.77712476851851853</v>
      </c>
      <c r="L9">
        <f>YEAR(Coffe_sales[[#This Row],[Date]])</f>
        <v>2024</v>
      </c>
    </row>
    <row r="10" spans="1:12" x14ac:dyDescent="0.2">
      <c r="A10" t="s">
        <v>30</v>
      </c>
      <c r="B10" t="s">
        <v>12</v>
      </c>
      <c r="C10">
        <v>38.700000000000003</v>
      </c>
      <c r="D10" t="s">
        <v>31</v>
      </c>
      <c r="E10" t="s">
        <v>29</v>
      </c>
      <c r="F10" t="s">
        <v>15</v>
      </c>
      <c r="G10" t="s">
        <v>16</v>
      </c>
      <c r="H10" t="s">
        <v>17</v>
      </c>
      <c r="I10" t="s">
        <v>18</v>
      </c>
      <c r="J10" t="s">
        <v>19</v>
      </c>
      <c r="K10" s="1">
        <v>0.80696483796296292</v>
      </c>
      <c r="L10">
        <f>YEAR(Coffe_sales[[#This Row],[Date]])</f>
        <v>2024</v>
      </c>
    </row>
    <row r="11" spans="1:12" x14ac:dyDescent="0.2">
      <c r="A11" t="s">
        <v>30</v>
      </c>
      <c r="B11" t="s">
        <v>12</v>
      </c>
      <c r="C11">
        <v>33.799999999999997</v>
      </c>
      <c r="D11" t="s">
        <v>26</v>
      </c>
      <c r="E11" t="s">
        <v>29</v>
      </c>
      <c r="F11" t="s">
        <v>15</v>
      </c>
      <c r="G11" t="s">
        <v>16</v>
      </c>
      <c r="H11" t="s">
        <v>17</v>
      </c>
      <c r="I11" t="s">
        <v>18</v>
      </c>
      <c r="J11" t="s">
        <v>19</v>
      </c>
      <c r="K11" s="1">
        <v>0.80782276620370375</v>
      </c>
      <c r="L11">
        <f>YEAR(Coffe_sales[[#This Row],[Date]])</f>
        <v>2024</v>
      </c>
    </row>
    <row r="12" spans="1:12" x14ac:dyDescent="0.2">
      <c r="A12" t="s">
        <v>30</v>
      </c>
      <c r="B12" t="s">
        <v>12</v>
      </c>
      <c r="C12">
        <v>33.799999999999997</v>
      </c>
      <c r="D12" t="s">
        <v>26</v>
      </c>
      <c r="E12" t="s">
        <v>29</v>
      </c>
      <c r="F12" t="s">
        <v>15</v>
      </c>
      <c r="G12" t="s">
        <v>16</v>
      </c>
      <c r="H12" t="s">
        <v>17</v>
      </c>
      <c r="I12" t="s">
        <v>18</v>
      </c>
      <c r="J12" t="s">
        <v>19</v>
      </c>
      <c r="K12" s="1">
        <v>0.81200684027777781</v>
      </c>
      <c r="L12">
        <f>YEAR(Coffe_sales[[#This Row],[Date]])</f>
        <v>2024</v>
      </c>
    </row>
    <row r="13" spans="1:12" x14ac:dyDescent="0.2">
      <c r="A13" t="s">
        <v>11</v>
      </c>
      <c r="B13" t="s">
        <v>12</v>
      </c>
      <c r="C13">
        <v>28.9</v>
      </c>
      <c r="D13" t="s">
        <v>24</v>
      </c>
      <c r="E13" t="s">
        <v>14</v>
      </c>
      <c r="F13" t="s">
        <v>32</v>
      </c>
      <c r="G13" t="s">
        <v>16</v>
      </c>
      <c r="H13" t="s">
        <v>33</v>
      </c>
      <c r="I13" t="s">
        <v>18</v>
      </c>
      <c r="J13" t="s">
        <v>34</v>
      </c>
      <c r="K13" s="1">
        <v>0.43202496527777778</v>
      </c>
      <c r="L13">
        <f>YEAR(Coffe_sales[[#This Row],[Date]])</f>
        <v>2024</v>
      </c>
    </row>
    <row r="14" spans="1:12" x14ac:dyDescent="0.2">
      <c r="A14" t="s">
        <v>11</v>
      </c>
      <c r="B14" t="s">
        <v>12</v>
      </c>
      <c r="C14">
        <v>33.799999999999997</v>
      </c>
      <c r="D14" t="s">
        <v>26</v>
      </c>
      <c r="E14" t="s">
        <v>14</v>
      </c>
      <c r="F14" t="s">
        <v>32</v>
      </c>
      <c r="G14" t="s">
        <v>16</v>
      </c>
      <c r="H14" t="s">
        <v>33</v>
      </c>
      <c r="I14" t="s">
        <v>18</v>
      </c>
      <c r="J14" t="s">
        <v>34</v>
      </c>
      <c r="K14" s="1">
        <v>0.44561630787037038</v>
      </c>
      <c r="L14">
        <f>YEAR(Coffe_sales[[#This Row],[Date]])</f>
        <v>2024</v>
      </c>
    </row>
    <row r="15" spans="1:12" x14ac:dyDescent="0.2">
      <c r="A15" t="s">
        <v>35</v>
      </c>
      <c r="B15" t="s">
        <v>12</v>
      </c>
      <c r="C15">
        <v>33.799999999999997</v>
      </c>
      <c r="D15" t="s">
        <v>26</v>
      </c>
      <c r="E15" t="s">
        <v>14</v>
      </c>
      <c r="F15" t="s">
        <v>32</v>
      </c>
      <c r="G15" t="s">
        <v>16</v>
      </c>
      <c r="H15" t="s">
        <v>33</v>
      </c>
      <c r="I15" t="s">
        <v>18</v>
      </c>
      <c r="J15" t="s">
        <v>34</v>
      </c>
      <c r="K15" s="1">
        <v>0.49983199074074075</v>
      </c>
      <c r="L15">
        <f>YEAR(Coffe_sales[[#This Row],[Date]])</f>
        <v>2024</v>
      </c>
    </row>
    <row r="16" spans="1:12" x14ac:dyDescent="0.2">
      <c r="A16" t="s">
        <v>36</v>
      </c>
      <c r="B16" t="s">
        <v>12</v>
      </c>
      <c r="C16">
        <v>28.9</v>
      </c>
      <c r="D16" t="s">
        <v>24</v>
      </c>
      <c r="E16" t="s">
        <v>22</v>
      </c>
      <c r="F16" t="s">
        <v>32</v>
      </c>
      <c r="G16" t="s">
        <v>16</v>
      </c>
      <c r="H16" t="s">
        <v>33</v>
      </c>
      <c r="I16" t="s">
        <v>18</v>
      </c>
      <c r="J16" t="s">
        <v>34</v>
      </c>
      <c r="K16" s="1">
        <v>0.61013350694444446</v>
      </c>
      <c r="L16">
        <f>YEAR(Coffe_sales[[#This Row],[Date]])</f>
        <v>2024</v>
      </c>
    </row>
    <row r="17" spans="1:12" x14ac:dyDescent="0.2">
      <c r="A17" t="s">
        <v>27</v>
      </c>
      <c r="B17" t="s">
        <v>12</v>
      </c>
      <c r="C17">
        <v>33.799999999999997</v>
      </c>
      <c r="D17" t="s">
        <v>26</v>
      </c>
      <c r="E17" t="s">
        <v>22</v>
      </c>
      <c r="F17" t="s">
        <v>32</v>
      </c>
      <c r="G17" t="s">
        <v>16</v>
      </c>
      <c r="H17" t="s">
        <v>33</v>
      </c>
      <c r="I17" t="s">
        <v>18</v>
      </c>
      <c r="J17" t="s">
        <v>34</v>
      </c>
      <c r="K17" s="1">
        <v>0.69264438657407412</v>
      </c>
      <c r="L17">
        <f>YEAR(Coffe_sales[[#This Row],[Date]])</f>
        <v>2024</v>
      </c>
    </row>
    <row r="18" spans="1:12" x14ac:dyDescent="0.2">
      <c r="A18" t="s">
        <v>37</v>
      </c>
      <c r="B18" t="s">
        <v>12</v>
      </c>
      <c r="C18">
        <v>28.9</v>
      </c>
      <c r="D18" t="s">
        <v>24</v>
      </c>
      <c r="E18" t="s">
        <v>29</v>
      </c>
      <c r="F18" t="s">
        <v>32</v>
      </c>
      <c r="G18" t="s">
        <v>16</v>
      </c>
      <c r="H18" t="s">
        <v>33</v>
      </c>
      <c r="I18" t="s">
        <v>18</v>
      </c>
      <c r="J18" t="s">
        <v>34</v>
      </c>
      <c r="K18" s="1">
        <v>0.73258065972222219</v>
      </c>
      <c r="L18">
        <f>YEAR(Coffe_sales[[#This Row],[Date]])</f>
        <v>2024</v>
      </c>
    </row>
    <row r="19" spans="1:12" x14ac:dyDescent="0.2">
      <c r="A19" t="s">
        <v>11</v>
      </c>
      <c r="B19" t="s">
        <v>12</v>
      </c>
      <c r="C19">
        <v>38.700000000000003</v>
      </c>
      <c r="D19" t="s">
        <v>13</v>
      </c>
      <c r="E19" t="s">
        <v>14</v>
      </c>
      <c r="F19" t="s">
        <v>38</v>
      </c>
      <c r="G19" t="s">
        <v>16</v>
      </c>
      <c r="H19" t="s">
        <v>39</v>
      </c>
      <c r="I19" t="s">
        <v>18</v>
      </c>
      <c r="J19" t="s">
        <v>40</v>
      </c>
      <c r="K19" s="1">
        <v>0.43563149305555554</v>
      </c>
      <c r="L19">
        <f>YEAR(Coffe_sales[[#This Row],[Date]])</f>
        <v>2024</v>
      </c>
    </row>
    <row r="20" spans="1:12" x14ac:dyDescent="0.2">
      <c r="A20" t="s">
        <v>35</v>
      </c>
      <c r="B20" t="s">
        <v>12</v>
      </c>
      <c r="C20">
        <v>28.9</v>
      </c>
      <c r="D20" t="s">
        <v>41</v>
      </c>
      <c r="E20" t="s">
        <v>14</v>
      </c>
      <c r="F20" t="s">
        <v>38</v>
      </c>
      <c r="G20" t="s">
        <v>16</v>
      </c>
      <c r="H20" t="s">
        <v>39</v>
      </c>
      <c r="I20" t="s">
        <v>18</v>
      </c>
      <c r="J20" t="s">
        <v>40</v>
      </c>
      <c r="K20" s="1">
        <v>0.48189951388888891</v>
      </c>
      <c r="L20">
        <f>YEAR(Coffe_sales[[#This Row],[Date]])</f>
        <v>2024</v>
      </c>
    </row>
    <row r="21" spans="1:12" x14ac:dyDescent="0.2">
      <c r="A21" t="s">
        <v>20</v>
      </c>
      <c r="B21" t="s">
        <v>12</v>
      </c>
      <c r="C21">
        <v>28.9</v>
      </c>
      <c r="D21" t="s">
        <v>24</v>
      </c>
      <c r="E21" t="s">
        <v>22</v>
      </c>
      <c r="F21" t="s">
        <v>38</v>
      </c>
      <c r="G21" t="s">
        <v>16</v>
      </c>
      <c r="H21" t="s">
        <v>39</v>
      </c>
      <c r="I21" t="s">
        <v>18</v>
      </c>
      <c r="J21" t="s">
        <v>40</v>
      </c>
      <c r="K21" s="1">
        <v>0.51870483796296296</v>
      </c>
      <c r="L21">
        <f>YEAR(Coffe_sales[[#This Row],[Date]])</f>
        <v>2024</v>
      </c>
    </row>
    <row r="22" spans="1:12" x14ac:dyDescent="0.2">
      <c r="A22" t="s">
        <v>23</v>
      </c>
      <c r="B22" t="s">
        <v>12</v>
      </c>
      <c r="C22">
        <v>38.700000000000003</v>
      </c>
      <c r="D22" t="s">
        <v>21</v>
      </c>
      <c r="E22" t="s">
        <v>22</v>
      </c>
      <c r="F22" t="s">
        <v>38</v>
      </c>
      <c r="G22" t="s">
        <v>16</v>
      </c>
      <c r="H22" t="s">
        <v>39</v>
      </c>
      <c r="I22" t="s">
        <v>18</v>
      </c>
      <c r="J22" t="s">
        <v>40</v>
      </c>
      <c r="K22" s="1">
        <v>0.5483370486111111</v>
      </c>
      <c r="L22">
        <f>YEAR(Coffe_sales[[#This Row],[Date]])</f>
        <v>2024</v>
      </c>
    </row>
    <row r="23" spans="1:12" x14ac:dyDescent="0.2">
      <c r="A23" t="s">
        <v>37</v>
      </c>
      <c r="B23" t="s">
        <v>12</v>
      </c>
      <c r="C23">
        <v>38.700000000000003</v>
      </c>
      <c r="D23" t="s">
        <v>31</v>
      </c>
      <c r="E23" t="s">
        <v>29</v>
      </c>
      <c r="F23" t="s">
        <v>38</v>
      </c>
      <c r="G23" t="s">
        <v>16</v>
      </c>
      <c r="H23" t="s">
        <v>39</v>
      </c>
      <c r="I23" t="s">
        <v>18</v>
      </c>
      <c r="J23" t="s">
        <v>40</v>
      </c>
      <c r="K23" s="1">
        <v>0.71296609953703705</v>
      </c>
      <c r="L23">
        <f>YEAR(Coffe_sales[[#This Row],[Date]])</f>
        <v>2024</v>
      </c>
    </row>
    <row r="24" spans="1:12" x14ac:dyDescent="0.2">
      <c r="A24" t="s">
        <v>37</v>
      </c>
      <c r="B24" t="s">
        <v>12</v>
      </c>
      <c r="C24">
        <v>28.9</v>
      </c>
      <c r="D24" t="s">
        <v>41</v>
      </c>
      <c r="E24" t="s">
        <v>29</v>
      </c>
      <c r="F24" t="s">
        <v>38</v>
      </c>
      <c r="G24" t="s">
        <v>16</v>
      </c>
      <c r="H24" t="s">
        <v>39</v>
      </c>
      <c r="I24" t="s">
        <v>18</v>
      </c>
      <c r="J24" t="s">
        <v>40</v>
      </c>
      <c r="K24" s="1">
        <v>0.7144200810185185</v>
      </c>
      <c r="L24">
        <f>YEAR(Coffe_sales[[#This Row],[Date]])</f>
        <v>2024</v>
      </c>
    </row>
    <row r="25" spans="1:12" x14ac:dyDescent="0.2">
      <c r="A25" t="s">
        <v>28</v>
      </c>
      <c r="B25" t="s">
        <v>12</v>
      </c>
      <c r="C25">
        <v>33.799999999999997</v>
      </c>
      <c r="D25" t="s">
        <v>26</v>
      </c>
      <c r="E25" t="s">
        <v>29</v>
      </c>
      <c r="F25" t="s">
        <v>38</v>
      </c>
      <c r="G25" t="s">
        <v>16</v>
      </c>
      <c r="H25" t="s">
        <v>39</v>
      </c>
      <c r="I25" t="s">
        <v>18</v>
      </c>
      <c r="J25" t="s">
        <v>40</v>
      </c>
      <c r="K25" s="1">
        <v>0.75235380787037032</v>
      </c>
      <c r="L25">
        <f>YEAR(Coffe_sales[[#This Row],[Date]])</f>
        <v>2024</v>
      </c>
    </row>
    <row r="26" spans="1:12" x14ac:dyDescent="0.2">
      <c r="A26" t="s">
        <v>28</v>
      </c>
      <c r="B26" t="s">
        <v>12</v>
      </c>
      <c r="C26">
        <v>33.799999999999997</v>
      </c>
      <c r="D26" t="s">
        <v>26</v>
      </c>
      <c r="E26" t="s">
        <v>29</v>
      </c>
      <c r="F26" t="s">
        <v>38</v>
      </c>
      <c r="G26" t="s">
        <v>16</v>
      </c>
      <c r="H26" t="s">
        <v>39</v>
      </c>
      <c r="I26" t="s">
        <v>18</v>
      </c>
      <c r="J26" t="s">
        <v>40</v>
      </c>
      <c r="K26" s="1">
        <v>0.75310122685185188</v>
      </c>
      <c r="L26">
        <f>YEAR(Coffe_sales[[#This Row],[Date]])</f>
        <v>2024</v>
      </c>
    </row>
    <row r="27" spans="1:12" x14ac:dyDescent="0.2">
      <c r="A27" t="s">
        <v>28</v>
      </c>
      <c r="B27" t="s">
        <v>12</v>
      </c>
      <c r="C27">
        <v>38.700000000000003</v>
      </c>
      <c r="D27" t="s">
        <v>21</v>
      </c>
      <c r="E27" t="s">
        <v>29</v>
      </c>
      <c r="F27" t="s">
        <v>38</v>
      </c>
      <c r="G27" t="s">
        <v>16</v>
      </c>
      <c r="H27" t="s">
        <v>39</v>
      </c>
      <c r="I27" t="s">
        <v>18</v>
      </c>
      <c r="J27" t="s">
        <v>40</v>
      </c>
      <c r="K27" s="1">
        <v>0.75561295138888884</v>
      </c>
      <c r="L27">
        <f>YEAR(Coffe_sales[[#This Row],[Date]])</f>
        <v>2024</v>
      </c>
    </row>
    <row r="28" spans="1:12" x14ac:dyDescent="0.2">
      <c r="A28" t="s">
        <v>11</v>
      </c>
      <c r="B28" t="s">
        <v>12</v>
      </c>
      <c r="C28">
        <v>38.700000000000003</v>
      </c>
      <c r="D28" t="s">
        <v>13</v>
      </c>
      <c r="E28" t="s">
        <v>14</v>
      </c>
      <c r="F28" t="s">
        <v>42</v>
      </c>
      <c r="G28" t="s">
        <v>16</v>
      </c>
      <c r="H28" t="s">
        <v>43</v>
      </c>
      <c r="I28" t="s">
        <v>18</v>
      </c>
      <c r="J28" t="s">
        <v>44</v>
      </c>
      <c r="K28" s="1">
        <v>0.41935178240740739</v>
      </c>
      <c r="L28">
        <f>YEAR(Coffe_sales[[#This Row],[Date]])</f>
        <v>2024</v>
      </c>
    </row>
    <row r="29" spans="1:12" x14ac:dyDescent="0.2">
      <c r="A29" t="s">
        <v>11</v>
      </c>
      <c r="B29" t="s">
        <v>12</v>
      </c>
      <c r="C29">
        <v>38.700000000000003</v>
      </c>
      <c r="D29" t="s">
        <v>13</v>
      </c>
      <c r="E29" t="s">
        <v>14</v>
      </c>
      <c r="F29" t="s">
        <v>42</v>
      </c>
      <c r="G29" t="s">
        <v>16</v>
      </c>
      <c r="H29" t="s">
        <v>43</v>
      </c>
      <c r="I29" t="s">
        <v>18</v>
      </c>
      <c r="J29" t="s">
        <v>44</v>
      </c>
      <c r="K29" s="1">
        <v>0.45475645833333334</v>
      </c>
      <c r="L29">
        <f>YEAR(Coffe_sales[[#This Row],[Date]])</f>
        <v>2024</v>
      </c>
    </row>
    <row r="30" spans="1:12" x14ac:dyDescent="0.2">
      <c r="A30" t="s">
        <v>35</v>
      </c>
      <c r="B30" t="s">
        <v>12</v>
      </c>
      <c r="C30">
        <v>33.799999999999997</v>
      </c>
      <c r="D30" t="s">
        <v>26</v>
      </c>
      <c r="E30" t="s">
        <v>14</v>
      </c>
      <c r="F30" t="s">
        <v>42</v>
      </c>
      <c r="G30" t="s">
        <v>16</v>
      </c>
      <c r="H30" t="s">
        <v>43</v>
      </c>
      <c r="I30" t="s">
        <v>18</v>
      </c>
      <c r="J30" t="s">
        <v>44</v>
      </c>
      <c r="K30" s="1">
        <v>0.46199287037037035</v>
      </c>
      <c r="L30">
        <f>YEAR(Coffe_sales[[#This Row],[Date]])</f>
        <v>2024</v>
      </c>
    </row>
    <row r="31" spans="1:12" x14ac:dyDescent="0.2">
      <c r="A31" t="s">
        <v>36</v>
      </c>
      <c r="B31" t="s">
        <v>12</v>
      </c>
      <c r="C31">
        <v>24</v>
      </c>
      <c r="D31" t="s">
        <v>45</v>
      </c>
      <c r="E31" t="s">
        <v>22</v>
      </c>
      <c r="F31" t="s">
        <v>42</v>
      </c>
      <c r="G31" t="s">
        <v>16</v>
      </c>
      <c r="H31" t="s">
        <v>43</v>
      </c>
      <c r="I31" t="s">
        <v>18</v>
      </c>
      <c r="J31" t="s">
        <v>44</v>
      </c>
      <c r="K31" s="1">
        <v>0.5865478472222222</v>
      </c>
      <c r="L31">
        <f>YEAR(Coffe_sales[[#This Row],[Date]])</f>
        <v>2024</v>
      </c>
    </row>
    <row r="32" spans="1:12" x14ac:dyDescent="0.2">
      <c r="A32" t="s">
        <v>46</v>
      </c>
      <c r="B32" t="s">
        <v>12</v>
      </c>
      <c r="C32">
        <v>38.700000000000003</v>
      </c>
      <c r="D32" t="s">
        <v>13</v>
      </c>
      <c r="E32" t="s">
        <v>14</v>
      </c>
      <c r="F32" t="s">
        <v>47</v>
      </c>
      <c r="G32" t="s">
        <v>16</v>
      </c>
      <c r="H32" t="s">
        <v>48</v>
      </c>
      <c r="I32" t="s">
        <v>18</v>
      </c>
      <c r="J32" t="s">
        <v>49</v>
      </c>
      <c r="K32" s="1">
        <v>0.4165816087962963</v>
      </c>
      <c r="L32">
        <f>YEAR(Coffe_sales[[#This Row],[Date]])</f>
        <v>2024</v>
      </c>
    </row>
    <row r="33" spans="1:12" x14ac:dyDescent="0.2">
      <c r="A33" t="s">
        <v>36</v>
      </c>
      <c r="B33" t="s">
        <v>12</v>
      </c>
      <c r="C33">
        <v>38.700000000000003</v>
      </c>
      <c r="D33" t="s">
        <v>13</v>
      </c>
      <c r="E33" t="s">
        <v>22</v>
      </c>
      <c r="F33" t="s">
        <v>47</v>
      </c>
      <c r="G33" t="s">
        <v>16</v>
      </c>
      <c r="H33" t="s">
        <v>48</v>
      </c>
      <c r="I33" t="s">
        <v>18</v>
      </c>
      <c r="J33" t="s">
        <v>49</v>
      </c>
      <c r="K33" s="1">
        <v>0.60759216435185182</v>
      </c>
      <c r="L33">
        <f>YEAR(Coffe_sales[[#This Row],[Date]])</f>
        <v>2024</v>
      </c>
    </row>
    <row r="34" spans="1:12" x14ac:dyDescent="0.2">
      <c r="A34" t="s">
        <v>37</v>
      </c>
      <c r="B34" t="s">
        <v>12</v>
      </c>
      <c r="C34">
        <v>38.700000000000003</v>
      </c>
      <c r="D34" t="s">
        <v>13</v>
      </c>
      <c r="E34" t="s">
        <v>29</v>
      </c>
      <c r="F34" t="s">
        <v>47</v>
      </c>
      <c r="G34" t="s">
        <v>16</v>
      </c>
      <c r="H34" t="s">
        <v>48</v>
      </c>
      <c r="I34" t="s">
        <v>18</v>
      </c>
      <c r="J34" t="s">
        <v>49</v>
      </c>
      <c r="K34" s="1">
        <v>0.73201438657407403</v>
      </c>
      <c r="L34">
        <f>YEAR(Coffe_sales[[#This Row],[Date]])</f>
        <v>2024</v>
      </c>
    </row>
    <row r="35" spans="1:12" x14ac:dyDescent="0.2">
      <c r="A35" t="s">
        <v>37</v>
      </c>
      <c r="B35" t="s">
        <v>12</v>
      </c>
      <c r="C35">
        <v>38.700000000000003</v>
      </c>
      <c r="D35" t="s">
        <v>21</v>
      </c>
      <c r="E35" t="s">
        <v>29</v>
      </c>
      <c r="F35" t="s">
        <v>47</v>
      </c>
      <c r="G35" t="s">
        <v>16</v>
      </c>
      <c r="H35" t="s">
        <v>48</v>
      </c>
      <c r="I35" t="s">
        <v>18</v>
      </c>
      <c r="J35" t="s">
        <v>49</v>
      </c>
      <c r="K35" s="1">
        <v>0.73292848379629627</v>
      </c>
      <c r="L35">
        <f>YEAR(Coffe_sales[[#This Row],[Date]])</f>
        <v>2024</v>
      </c>
    </row>
    <row r="36" spans="1:12" x14ac:dyDescent="0.2">
      <c r="A36" t="s">
        <v>37</v>
      </c>
      <c r="B36" t="s">
        <v>12</v>
      </c>
      <c r="C36">
        <v>38.700000000000003</v>
      </c>
      <c r="D36" t="s">
        <v>31</v>
      </c>
      <c r="E36" t="s">
        <v>29</v>
      </c>
      <c r="F36" t="s">
        <v>47</v>
      </c>
      <c r="G36" t="s">
        <v>16</v>
      </c>
      <c r="H36" t="s">
        <v>48</v>
      </c>
      <c r="I36" t="s">
        <v>18</v>
      </c>
      <c r="J36" t="s">
        <v>49</v>
      </c>
      <c r="K36" s="1">
        <v>0.73366401620370369</v>
      </c>
      <c r="L36">
        <f>YEAR(Coffe_sales[[#This Row],[Date]])</f>
        <v>2024</v>
      </c>
    </row>
    <row r="37" spans="1:12" x14ac:dyDescent="0.2">
      <c r="A37" t="s">
        <v>37</v>
      </c>
      <c r="B37" t="s">
        <v>12</v>
      </c>
      <c r="C37">
        <v>38.700000000000003</v>
      </c>
      <c r="D37" t="s">
        <v>21</v>
      </c>
      <c r="E37" t="s">
        <v>29</v>
      </c>
      <c r="F37" t="s">
        <v>47</v>
      </c>
      <c r="G37" t="s">
        <v>16</v>
      </c>
      <c r="H37" t="s">
        <v>48</v>
      </c>
      <c r="I37" t="s">
        <v>18</v>
      </c>
      <c r="J37" t="s">
        <v>49</v>
      </c>
      <c r="K37" s="1">
        <v>0.73418586805555552</v>
      </c>
      <c r="L37">
        <f>YEAR(Coffe_sales[[#This Row],[Date]])</f>
        <v>2024</v>
      </c>
    </row>
    <row r="38" spans="1:12" x14ac:dyDescent="0.2">
      <c r="A38" t="s">
        <v>37</v>
      </c>
      <c r="B38" t="s">
        <v>12</v>
      </c>
      <c r="C38">
        <v>38.700000000000003</v>
      </c>
      <c r="D38" t="s">
        <v>21</v>
      </c>
      <c r="E38" t="s">
        <v>29</v>
      </c>
      <c r="F38" t="s">
        <v>47</v>
      </c>
      <c r="G38" t="s">
        <v>16</v>
      </c>
      <c r="H38" t="s">
        <v>48</v>
      </c>
      <c r="I38" t="s">
        <v>18</v>
      </c>
      <c r="J38" t="s">
        <v>49</v>
      </c>
      <c r="K38" s="1">
        <v>0.73483048611111113</v>
      </c>
      <c r="L38">
        <f>YEAR(Coffe_sales[[#This Row],[Date]])</f>
        <v>2024</v>
      </c>
    </row>
    <row r="39" spans="1:12" x14ac:dyDescent="0.2">
      <c r="A39" t="s">
        <v>37</v>
      </c>
      <c r="B39" t="s">
        <v>12</v>
      </c>
      <c r="C39">
        <v>28.9</v>
      </c>
      <c r="D39" t="s">
        <v>41</v>
      </c>
      <c r="E39" t="s">
        <v>29</v>
      </c>
      <c r="F39" t="s">
        <v>47</v>
      </c>
      <c r="G39" t="s">
        <v>16</v>
      </c>
      <c r="H39" t="s">
        <v>48</v>
      </c>
      <c r="I39" t="s">
        <v>18</v>
      </c>
      <c r="J39" t="s">
        <v>49</v>
      </c>
      <c r="K39" s="1">
        <v>0.7474048148148148</v>
      </c>
      <c r="L39">
        <f>YEAR(Coffe_sales[[#This Row],[Date]])</f>
        <v>2024</v>
      </c>
    </row>
    <row r="40" spans="1:12" x14ac:dyDescent="0.2">
      <c r="A40" t="s">
        <v>28</v>
      </c>
      <c r="B40" t="s">
        <v>12</v>
      </c>
      <c r="C40">
        <v>38.700000000000003</v>
      </c>
      <c r="D40" t="s">
        <v>21</v>
      </c>
      <c r="E40" t="s">
        <v>29</v>
      </c>
      <c r="F40" t="s">
        <v>47</v>
      </c>
      <c r="G40" t="s">
        <v>16</v>
      </c>
      <c r="H40" t="s">
        <v>48</v>
      </c>
      <c r="I40" t="s">
        <v>18</v>
      </c>
      <c r="J40" t="s">
        <v>49</v>
      </c>
      <c r="K40" s="1">
        <v>0.75105604166666662</v>
      </c>
      <c r="L40">
        <f>YEAR(Coffe_sales[[#This Row],[Date]])</f>
        <v>2024</v>
      </c>
    </row>
    <row r="41" spans="1:12" x14ac:dyDescent="0.2">
      <c r="A41" t="s">
        <v>23</v>
      </c>
      <c r="B41" t="s">
        <v>12</v>
      </c>
      <c r="C41">
        <v>28.9</v>
      </c>
      <c r="D41" t="s">
        <v>24</v>
      </c>
      <c r="E41" t="s">
        <v>22</v>
      </c>
      <c r="F41" t="s">
        <v>50</v>
      </c>
      <c r="G41" t="s">
        <v>16</v>
      </c>
      <c r="H41" t="s">
        <v>18</v>
      </c>
      <c r="I41" t="s">
        <v>18</v>
      </c>
      <c r="J41" t="s">
        <v>51</v>
      </c>
      <c r="K41" s="1">
        <v>0.55842207175925929</v>
      </c>
      <c r="L41">
        <f>YEAR(Coffe_sales[[#This Row],[Date]])</f>
        <v>2024</v>
      </c>
    </row>
    <row r="42" spans="1:12" x14ac:dyDescent="0.2">
      <c r="A42" t="s">
        <v>23</v>
      </c>
      <c r="B42" t="s">
        <v>12</v>
      </c>
      <c r="C42">
        <v>28.9</v>
      </c>
      <c r="D42" t="s">
        <v>41</v>
      </c>
      <c r="E42" t="s">
        <v>22</v>
      </c>
      <c r="F42" t="s">
        <v>50</v>
      </c>
      <c r="G42" t="s">
        <v>16</v>
      </c>
      <c r="H42" t="s">
        <v>18</v>
      </c>
      <c r="I42" t="s">
        <v>18</v>
      </c>
      <c r="J42" t="s">
        <v>51</v>
      </c>
      <c r="K42" s="1">
        <v>0.55919387731481485</v>
      </c>
      <c r="L42">
        <f>YEAR(Coffe_sales[[#This Row],[Date]])</f>
        <v>2024</v>
      </c>
    </row>
    <row r="43" spans="1:12" x14ac:dyDescent="0.2">
      <c r="A43" t="s">
        <v>36</v>
      </c>
      <c r="B43" t="s">
        <v>12</v>
      </c>
      <c r="C43">
        <v>38.700000000000003</v>
      </c>
      <c r="D43" t="s">
        <v>52</v>
      </c>
      <c r="E43" t="s">
        <v>22</v>
      </c>
      <c r="F43" t="s">
        <v>50</v>
      </c>
      <c r="G43" t="s">
        <v>16</v>
      </c>
      <c r="H43" t="s">
        <v>18</v>
      </c>
      <c r="I43" t="s">
        <v>18</v>
      </c>
      <c r="J43" t="s">
        <v>51</v>
      </c>
      <c r="K43" s="1">
        <v>0.61946482638888889</v>
      </c>
      <c r="L43">
        <f>YEAR(Coffe_sales[[#This Row],[Date]])</f>
        <v>2024</v>
      </c>
    </row>
    <row r="44" spans="1:12" x14ac:dyDescent="0.2">
      <c r="A44" t="s">
        <v>36</v>
      </c>
      <c r="B44" t="s">
        <v>12</v>
      </c>
      <c r="C44">
        <v>38.700000000000003</v>
      </c>
      <c r="D44" t="s">
        <v>52</v>
      </c>
      <c r="E44" t="s">
        <v>22</v>
      </c>
      <c r="F44" t="s">
        <v>50</v>
      </c>
      <c r="G44" t="s">
        <v>16</v>
      </c>
      <c r="H44" t="s">
        <v>18</v>
      </c>
      <c r="I44" t="s">
        <v>18</v>
      </c>
      <c r="J44" t="s">
        <v>51</v>
      </c>
      <c r="K44" s="1">
        <v>0.62035120370370367</v>
      </c>
      <c r="L44">
        <f>YEAR(Coffe_sales[[#This Row],[Date]])</f>
        <v>2024</v>
      </c>
    </row>
    <row r="45" spans="1:12" x14ac:dyDescent="0.2">
      <c r="A45" t="s">
        <v>11</v>
      </c>
      <c r="B45" t="s">
        <v>12</v>
      </c>
      <c r="C45">
        <v>38.700000000000003</v>
      </c>
      <c r="D45" t="s">
        <v>21</v>
      </c>
      <c r="E45" t="s">
        <v>14</v>
      </c>
      <c r="F45" t="s">
        <v>53</v>
      </c>
      <c r="G45" t="s">
        <v>16</v>
      </c>
      <c r="H45" t="s">
        <v>54</v>
      </c>
      <c r="I45" t="s">
        <v>18</v>
      </c>
      <c r="J45" t="s">
        <v>55</v>
      </c>
      <c r="K45" s="1">
        <v>0.42963591435185183</v>
      </c>
      <c r="L45">
        <f>YEAR(Coffe_sales[[#This Row],[Date]])</f>
        <v>2024</v>
      </c>
    </row>
    <row r="46" spans="1:12" x14ac:dyDescent="0.2">
      <c r="A46" t="s">
        <v>35</v>
      </c>
      <c r="B46" t="s">
        <v>12</v>
      </c>
      <c r="C46">
        <v>38.700000000000003</v>
      </c>
      <c r="D46" t="s">
        <v>13</v>
      </c>
      <c r="E46" t="s">
        <v>14</v>
      </c>
      <c r="F46" t="s">
        <v>53</v>
      </c>
      <c r="G46" t="s">
        <v>16</v>
      </c>
      <c r="H46" t="s">
        <v>54</v>
      </c>
      <c r="I46" t="s">
        <v>18</v>
      </c>
      <c r="J46" t="s">
        <v>55</v>
      </c>
      <c r="K46" s="1">
        <v>0.46109925925925926</v>
      </c>
      <c r="L46">
        <f>YEAR(Coffe_sales[[#This Row],[Date]])</f>
        <v>2024</v>
      </c>
    </row>
    <row r="47" spans="1:12" x14ac:dyDescent="0.2">
      <c r="A47" t="s">
        <v>25</v>
      </c>
      <c r="B47" t="s">
        <v>12</v>
      </c>
      <c r="C47">
        <v>28.9</v>
      </c>
      <c r="D47" t="s">
        <v>24</v>
      </c>
      <c r="E47" t="s">
        <v>22</v>
      </c>
      <c r="F47" t="s">
        <v>53</v>
      </c>
      <c r="G47" t="s">
        <v>16</v>
      </c>
      <c r="H47" t="s">
        <v>54</v>
      </c>
      <c r="I47" t="s">
        <v>18</v>
      </c>
      <c r="J47" t="s">
        <v>55</v>
      </c>
      <c r="K47" s="1">
        <v>0.65303942129629633</v>
      </c>
      <c r="L47">
        <f>YEAR(Coffe_sales[[#This Row],[Date]])</f>
        <v>2024</v>
      </c>
    </row>
    <row r="48" spans="1:12" x14ac:dyDescent="0.2">
      <c r="A48" t="s">
        <v>25</v>
      </c>
      <c r="B48" t="s">
        <v>12</v>
      </c>
      <c r="C48">
        <v>33.799999999999997</v>
      </c>
      <c r="D48" t="s">
        <v>26</v>
      </c>
      <c r="E48" t="s">
        <v>22</v>
      </c>
      <c r="F48" t="s">
        <v>53</v>
      </c>
      <c r="G48" t="s">
        <v>16</v>
      </c>
      <c r="H48" t="s">
        <v>54</v>
      </c>
      <c r="I48" t="s">
        <v>18</v>
      </c>
      <c r="J48" t="s">
        <v>55</v>
      </c>
      <c r="K48" s="1">
        <v>0.65380537037037034</v>
      </c>
      <c r="L48">
        <f>YEAR(Coffe_sales[[#This Row],[Date]])</f>
        <v>2024</v>
      </c>
    </row>
    <row r="49" spans="1:12" x14ac:dyDescent="0.2">
      <c r="A49" t="s">
        <v>11</v>
      </c>
      <c r="B49" t="s">
        <v>12</v>
      </c>
      <c r="C49">
        <v>28.9</v>
      </c>
      <c r="D49" t="s">
        <v>41</v>
      </c>
      <c r="E49" t="s">
        <v>14</v>
      </c>
      <c r="F49" t="s">
        <v>15</v>
      </c>
      <c r="G49" t="s">
        <v>16</v>
      </c>
      <c r="H49" t="s">
        <v>17</v>
      </c>
      <c r="I49" t="s">
        <v>18</v>
      </c>
      <c r="J49" t="s">
        <v>56</v>
      </c>
      <c r="K49" s="1">
        <v>0.44075559027777778</v>
      </c>
      <c r="L49">
        <f>YEAR(Coffe_sales[[#This Row],[Date]])</f>
        <v>2024</v>
      </c>
    </row>
    <row r="50" spans="1:12" x14ac:dyDescent="0.2">
      <c r="A50" t="s">
        <v>20</v>
      </c>
      <c r="B50" t="s">
        <v>12</v>
      </c>
      <c r="C50">
        <v>38.700000000000003</v>
      </c>
      <c r="D50" t="s">
        <v>52</v>
      </c>
      <c r="E50" t="s">
        <v>22</v>
      </c>
      <c r="F50" t="s">
        <v>15</v>
      </c>
      <c r="G50" t="s">
        <v>16</v>
      </c>
      <c r="H50" t="s">
        <v>17</v>
      </c>
      <c r="I50" t="s">
        <v>18</v>
      </c>
      <c r="J50" t="s">
        <v>56</v>
      </c>
      <c r="K50" s="1">
        <v>0.51560940972222224</v>
      </c>
      <c r="L50">
        <f>YEAR(Coffe_sales[[#This Row],[Date]])</f>
        <v>2024</v>
      </c>
    </row>
    <row r="51" spans="1:12" x14ac:dyDescent="0.2">
      <c r="A51" t="s">
        <v>23</v>
      </c>
      <c r="B51" t="s">
        <v>12</v>
      </c>
      <c r="C51">
        <v>28.9</v>
      </c>
      <c r="D51" t="s">
        <v>24</v>
      </c>
      <c r="E51" t="s">
        <v>22</v>
      </c>
      <c r="F51" t="s">
        <v>15</v>
      </c>
      <c r="G51" t="s">
        <v>16</v>
      </c>
      <c r="H51" t="s">
        <v>17</v>
      </c>
      <c r="I51" t="s">
        <v>18</v>
      </c>
      <c r="J51" t="s">
        <v>56</v>
      </c>
      <c r="K51" s="1">
        <v>0.5784958564814815</v>
      </c>
      <c r="L51">
        <f>YEAR(Coffe_sales[[#This Row],[Date]])</f>
        <v>2024</v>
      </c>
    </row>
    <row r="52" spans="1:12" x14ac:dyDescent="0.2">
      <c r="A52" t="s">
        <v>36</v>
      </c>
      <c r="B52" t="s">
        <v>12</v>
      </c>
      <c r="C52">
        <v>28.9</v>
      </c>
      <c r="D52" t="s">
        <v>24</v>
      </c>
      <c r="E52" t="s">
        <v>22</v>
      </c>
      <c r="F52" t="s">
        <v>15</v>
      </c>
      <c r="G52" t="s">
        <v>16</v>
      </c>
      <c r="H52" t="s">
        <v>17</v>
      </c>
      <c r="I52" t="s">
        <v>18</v>
      </c>
      <c r="J52" t="s">
        <v>56</v>
      </c>
      <c r="K52" s="1">
        <v>0.61403571759259257</v>
      </c>
      <c r="L52">
        <f>YEAR(Coffe_sales[[#This Row],[Date]])</f>
        <v>2024</v>
      </c>
    </row>
    <row r="53" spans="1:12" x14ac:dyDescent="0.2">
      <c r="A53" t="s">
        <v>36</v>
      </c>
      <c r="B53" t="s">
        <v>12</v>
      </c>
      <c r="C53">
        <v>28.9</v>
      </c>
      <c r="D53" t="s">
        <v>24</v>
      </c>
      <c r="E53" t="s">
        <v>22</v>
      </c>
      <c r="F53" t="s">
        <v>15</v>
      </c>
      <c r="G53" t="s">
        <v>16</v>
      </c>
      <c r="H53" t="s">
        <v>17</v>
      </c>
      <c r="I53" t="s">
        <v>18</v>
      </c>
      <c r="J53" t="s">
        <v>56</v>
      </c>
      <c r="K53" s="1">
        <v>0.61471120370370369</v>
      </c>
      <c r="L53">
        <f>YEAR(Coffe_sales[[#This Row],[Date]])</f>
        <v>2024</v>
      </c>
    </row>
    <row r="54" spans="1:12" x14ac:dyDescent="0.2">
      <c r="A54" t="s">
        <v>36</v>
      </c>
      <c r="B54" t="s">
        <v>12</v>
      </c>
      <c r="C54">
        <v>33.799999999999997</v>
      </c>
      <c r="D54" t="s">
        <v>26</v>
      </c>
      <c r="E54" t="s">
        <v>22</v>
      </c>
      <c r="F54" t="s">
        <v>15</v>
      </c>
      <c r="G54" t="s">
        <v>16</v>
      </c>
      <c r="H54" t="s">
        <v>17</v>
      </c>
      <c r="I54" t="s">
        <v>18</v>
      </c>
      <c r="J54" t="s">
        <v>56</v>
      </c>
      <c r="K54" s="1">
        <v>0.61540688657407405</v>
      </c>
      <c r="L54">
        <f>YEAR(Coffe_sales[[#This Row],[Date]])</f>
        <v>2024</v>
      </c>
    </row>
    <row r="55" spans="1:12" x14ac:dyDescent="0.2">
      <c r="A55" t="s">
        <v>28</v>
      </c>
      <c r="B55" t="s">
        <v>12</v>
      </c>
      <c r="C55">
        <v>38.700000000000003</v>
      </c>
      <c r="D55" t="s">
        <v>13</v>
      </c>
      <c r="E55" t="s">
        <v>29</v>
      </c>
      <c r="F55" t="s">
        <v>15</v>
      </c>
      <c r="G55" t="s">
        <v>16</v>
      </c>
      <c r="H55" t="s">
        <v>17</v>
      </c>
      <c r="I55" t="s">
        <v>18</v>
      </c>
      <c r="J55" t="s">
        <v>56</v>
      </c>
      <c r="K55" s="1">
        <v>0.79017883101851849</v>
      </c>
      <c r="L55">
        <f>YEAR(Coffe_sales[[#This Row],[Date]])</f>
        <v>2024</v>
      </c>
    </row>
    <row r="56" spans="1:12" x14ac:dyDescent="0.2">
      <c r="A56" t="s">
        <v>28</v>
      </c>
      <c r="B56" t="s">
        <v>12</v>
      </c>
      <c r="C56">
        <v>38.700000000000003</v>
      </c>
      <c r="D56" t="s">
        <v>13</v>
      </c>
      <c r="E56" t="s">
        <v>29</v>
      </c>
      <c r="F56" t="s">
        <v>15</v>
      </c>
      <c r="G56" t="s">
        <v>16</v>
      </c>
      <c r="H56" t="s">
        <v>17</v>
      </c>
      <c r="I56" t="s">
        <v>18</v>
      </c>
      <c r="J56" t="s">
        <v>56</v>
      </c>
      <c r="K56" s="1">
        <v>0.79126089120370369</v>
      </c>
      <c r="L56">
        <f>YEAR(Coffe_sales[[#This Row],[Date]])</f>
        <v>2024</v>
      </c>
    </row>
    <row r="57" spans="1:12" x14ac:dyDescent="0.2">
      <c r="A57" t="s">
        <v>20</v>
      </c>
      <c r="B57" t="s">
        <v>12</v>
      </c>
      <c r="C57">
        <v>24</v>
      </c>
      <c r="D57" t="s">
        <v>45</v>
      </c>
      <c r="E57" t="s">
        <v>22</v>
      </c>
      <c r="F57" t="s">
        <v>32</v>
      </c>
      <c r="G57" t="s">
        <v>16</v>
      </c>
      <c r="H57" t="s">
        <v>33</v>
      </c>
      <c r="I57" t="s">
        <v>18</v>
      </c>
      <c r="J57" t="s">
        <v>57</v>
      </c>
      <c r="K57" s="1">
        <v>0.50365230324074073</v>
      </c>
      <c r="L57">
        <f>YEAR(Coffe_sales[[#This Row],[Date]])</f>
        <v>2024</v>
      </c>
    </row>
    <row r="58" spans="1:12" x14ac:dyDescent="0.2">
      <c r="A58" t="s">
        <v>20</v>
      </c>
      <c r="B58" t="s">
        <v>12</v>
      </c>
      <c r="C58">
        <v>28.9</v>
      </c>
      <c r="D58" t="s">
        <v>24</v>
      </c>
      <c r="E58" t="s">
        <v>22</v>
      </c>
      <c r="F58" t="s">
        <v>32</v>
      </c>
      <c r="G58" t="s">
        <v>16</v>
      </c>
      <c r="H58" t="s">
        <v>33</v>
      </c>
      <c r="I58" t="s">
        <v>18</v>
      </c>
      <c r="J58" t="s">
        <v>57</v>
      </c>
      <c r="K58" s="1">
        <v>0.50530410879629628</v>
      </c>
      <c r="L58">
        <f>YEAR(Coffe_sales[[#This Row],[Date]])</f>
        <v>2024</v>
      </c>
    </row>
    <row r="59" spans="1:12" x14ac:dyDescent="0.2">
      <c r="A59" t="s">
        <v>20</v>
      </c>
      <c r="B59" t="s">
        <v>12</v>
      </c>
      <c r="C59">
        <v>38.700000000000003</v>
      </c>
      <c r="D59" t="s">
        <v>52</v>
      </c>
      <c r="E59" t="s">
        <v>22</v>
      </c>
      <c r="F59" t="s">
        <v>32</v>
      </c>
      <c r="G59" t="s">
        <v>16</v>
      </c>
      <c r="H59" t="s">
        <v>33</v>
      </c>
      <c r="I59" t="s">
        <v>18</v>
      </c>
      <c r="J59" t="s">
        <v>57</v>
      </c>
      <c r="K59" s="1">
        <v>0.50680224537037033</v>
      </c>
      <c r="L59">
        <f>YEAR(Coffe_sales[[#This Row],[Date]])</f>
        <v>2024</v>
      </c>
    </row>
    <row r="60" spans="1:12" x14ac:dyDescent="0.2">
      <c r="A60" t="s">
        <v>20</v>
      </c>
      <c r="B60" t="s">
        <v>12</v>
      </c>
      <c r="C60">
        <v>28.9</v>
      </c>
      <c r="D60" t="s">
        <v>24</v>
      </c>
      <c r="E60" t="s">
        <v>22</v>
      </c>
      <c r="F60" t="s">
        <v>32</v>
      </c>
      <c r="G60" t="s">
        <v>16</v>
      </c>
      <c r="H60" t="s">
        <v>33</v>
      </c>
      <c r="I60" t="s">
        <v>18</v>
      </c>
      <c r="J60" t="s">
        <v>57</v>
      </c>
      <c r="K60" s="1">
        <v>0.50906853009259256</v>
      </c>
      <c r="L60">
        <f>YEAR(Coffe_sales[[#This Row],[Date]])</f>
        <v>2024</v>
      </c>
    </row>
    <row r="61" spans="1:12" x14ac:dyDescent="0.2">
      <c r="A61" t="s">
        <v>20</v>
      </c>
      <c r="B61" t="s">
        <v>12</v>
      </c>
      <c r="C61">
        <v>28.9</v>
      </c>
      <c r="D61" t="s">
        <v>24</v>
      </c>
      <c r="E61" t="s">
        <v>22</v>
      </c>
      <c r="F61" t="s">
        <v>32</v>
      </c>
      <c r="G61" t="s">
        <v>16</v>
      </c>
      <c r="H61" t="s">
        <v>33</v>
      </c>
      <c r="I61" t="s">
        <v>18</v>
      </c>
      <c r="J61" t="s">
        <v>57</v>
      </c>
      <c r="K61" s="1">
        <v>0.51002844907407408</v>
      </c>
      <c r="L61">
        <f>YEAR(Coffe_sales[[#This Row],[Date]])</f>
        <v>2024</v>
      </c>
    </row>
    <row r="62" spans="1:12" x14ac:dyDescent="0.2">
      <c r="A62" t="s">
        <v>23</v>
      </c>
      <c r="B62" t="s">
        <v>12</v>
      </c>
      <c r="C62">
        <v>38.700000000000003</v>
      </c>
      <c r="D62" t="s">
        <v>13</v>
      </c>
      <c r="E62" t="s">
        <v>22</v>
      </c>
      <c r="F62" t="s">
        <v>32</v>
      </c>
      <c r="G62" t="s">
        <v>16</v>
      </c>
      <c r="H62" t="s">
        <v>33</v>
      </c>
      <c r="I62" t="s">
        <v>18</v>
      </c>
      <c r="J62" t="s">
        <v>57</v>
      </c>
      <c r="K62" s="1">
        <v>0.54817394675925923</v>
      </c>
      <c r="L62">
        <f>YEAR(Coffe_sales[[#This Row],[Date]])</f>
        <v>2024</v>
      </c>
    </row>
    <row r="63" spans="1:12" x14ac:dyDescent="0.2">
      <c r="A63" t="s">
        <v>23</v>
      </c>
      <c r="B63" t="s">
        <v>12</v>
      </c>
      <c r="C63">
        <v>33.799999999999997</v>
      </c>
      <c r="D63" t="s">
        <v>26</v>
      </c>
      <c r="E63" t="s">
        <v>22</v>
      </c>
      <c r="F63" t="s">
        <v>32</v>
      </c>
      <c r="G63" t="s">
        <v>16</v>
      </c>
      <c r="H63" t="s">
        <v>33</v>
      </c>
      <c r="I63" t="s">
        <v>18</v>
      </c>
      <c r="J63" t="s">
        <v>57</v>
      </c>
      <c r="K63" s="1">
        <v>0.57021026620370374</v>
      </c>
      <c r="L63">
        <f>YEAR(Coffe_sales[[#This Row],[Date]])</f>
        <v>2024</v>
      </c>
    </row>
    <row r="64" spans="1:12" x14ac:dyDescent="0.2">
      <c r="A64" t="s">
        <v>23</v>
      </c>
      <c r="B64" t="s">
        <v>12</v>
      </c>
      <c r="C64">
        <v>28.9</v>
      </c>
      <c r="D64" t="s">
        <v>41</v>
      </c>
      <c r="E64" t="s">
        <v>22</v>
      </c>
      <c r="F64" t="s">
        <v>32</v>
      </c>
      <c r="G64" t="s">
        <v>16</v>
      </c>
      <c r="H64" t="s">
        <v>33</v>
      </c>
      <c r="I64" t="s">
        <v>18</v>
      </c>
      <c r="J64" t="s">
        <v>57</v>
      </c>
      <c r="K64" s="1">
        <v>0.57859268518518514</v>
      </c>
      <c r="L64">
        <f>YEAR(Coffe_sales[[#This Row],[Date]])</f>
        <v>2024</v>
      </c>
    </row>
    <row r="65" spans="1:12" x14ac:dyDescent="0.2">
      <c r="A65" t="s">
        <v>23</v>
      </c>
      <c r="B65" t="s">
        <v>12</v>
      </c>
      <c r="C65">
        <v>38.700000000000003</v>
      </c>
      <c r="D65" t="s">
        <v>52</v>
      </c>
      <c r="E65" t="s">
        <v>22</v>
      </c>
      <c r="F65" t="s">
        <v>32</v>
      </c>
      <c r="G65" t="s">
        <v>16</v>
      </c>
      <c r="H65" t="s">
        <v>33</v>
      </c>
      <c r="I65" t="s">
        <v>18</v>
      </c>
      <c r="J65" t="s">
        <v>57</v>
      </c>
      <c r="K65" s="1">
        <v>0.57959291666666668</v>
      </c>
      <c r="L65">
        <f>YEAR(Coffe_sales[[#This Row],[Date]])</f>
        <v>2024</v>
      </c>
    </row>
    <row r="66" spans="1:12" x14ac:dyDescent="0.2">
      <c r="A66" t="s">
        <v>36</v>
      </c>
      <c r="B66" t="s">
        <v>12</v>
      </c>
      <c r="C66">
        <v>33.799999999999997</v>
      </c>
      <c r="D66" t="s">
        <v>26</v>
      </c>
      <c r="E66" t="s">
        <v>22</v>
      </c>
      <c r="F66" t="s">
        <v>32</v>
      </c>
      <c r="G66" t="s">
        <v>16</v>
      </c>
      <c r="H66" t="s">
        <v>33</v>
      </c>
      <c r="I66" t="s">
        <v>18</v>
      </c>
      <c r="J66" t="s">
        <v>57</v>
      </c>
      <c r="K66" s="1">
        <v>0.58891005787037032</v>
      </c>
      <c r="L66">
        <f>YEAR(Coffe_sales[[#This Row],[Date]])</f>
        <v>2024</v>
      </c>
    </row>
    <row r="67" spans="1:12" x14ac:dyDescent="0.2">
      <c r="A67" t="s">
        <v>36</v>
      </c>
      <c r="B67" t="s">
        <v>12</v>
      </c>
      <c r="C67">
        <v>38.700000000000003</v>
      </c>
      <c r="D67" t="s">
        <v>21</v>
      </c>
      <c r="E67" t="s">
        <v>22</v>
      </c>
      <c r="F67" t="s">
        <v>32</v>
      </c>
      <c r="G67" t="s">
        <v>16</v>
      </c>
      <c r="H67" t="s">
        <v>33</v>
      </c>
      <c r="I67" t="s">
        <v>18</v>
      </c>
      <c r="J67" t="s">
        <v>57</v>
      </c>
      <c r="K67" s="1">
        <v>0.60200084490740746</v>
      </c>
      <c r="L67">
        <f>YEAR(Coffe_sales[[#This Row],[Date]])</f>
        <v>2024</v>
      </c>
    </row>
    <row r="68" spans="1:12" x14ac:dyDescent="0.2">
      <c r="A68" t="s">
        <v>30</v>
      </c>
      <c r="B68" t="s">
        <v>12</v>
      </c>
      <c r="C68">
        <v>38.700000000000003</v>
      </c>
      <c r="D68" t="s">
        <v>52</v>
      </c>
      <c r="E68" t="s">
        <v>29</v>
      </c>
      <c r="F68" t="s">
        <v>32</v>
      </c>
      <c r="G68" t="s">
        <v>16</v>
      </c>
      <c r="H68" t="s">
        <v>33</v>
      </c>
      <c r="I68" t="s">
        <v>18</v>
      </c>
      <c r="J68" t="s">
        <v>57</v>
      </c>
      <c r="K68" s="1">
        <v>0.80413856481481483</v>
      </c>
      <c r="L68">
        <f>YEAR(Coffe_sales[[#This Row],[Date]])</f>
        <v>2024</v>
      </c>
    </row>
    <row r="69" spans="1:12" x14ac:dyDescent="0.2">
      <c r="A69" t="s">
        <v>30</v>
      </c>
      <c r="B69" t="s">
        <v>12</v>
      </c>
      <c r="C69">
        <v>38.700000000000003</v>
      </c>
      <c r="D69" t="s">
        <v>21</v>
      </c>
      <c r="E69" t="s">
        <v>29</v>
      </c>
      <c r="F69" t="s">
        <v>32</v>
      </c>
      <c r="G69" t="s">
        <v>16</v>
      </c>
      <c r="H69" t="s">
        <v>33</v>
      </c>
      <c r="I69" t="s">
        <v>18</v>
      </c>
      <c r="J69" t="s">
        <v>57</v>
      </c>
      <c r="K69" s="1">
        <v>0.80497782407407403</v>
      </c>
      <c r="L69">
        <f>YEAR(Coffe_sales[[#This Row],[Date]])</f>
        <v>2024</v>
      </c>
    </row>
    <row r="70" spans="1:12" x14ac:dyDescent="0.2">
      <c r="A70" t="s">
        <v>35</v>
      </c>
      <c r="B70" t="s">
        <v>12</v>
      </c>
      <c r="C70">
        <v>24</v>
      </c>
      <c r="D70" t="s">
        <v>45</v>
      </c>
      <c r="E70" t="s">
        <v>14</v>
      </c>
      <c r="F70" t="s">
        <v>38</v>
      </c>
      <c r="G70" t="s">
        <v>16</v>
      </c>
      <c r="H70" t="s">
        <v>39</v>
      </c>
      <c r="I70" t="s">
        <v>18</v>
      </c>
      <c r="J70" t="s">
        <v>58</v>
      </c>
      <c r="K70" s="1">
        <v>0.47176810185185186</v>
      </c>
      <c r="L70">
        <f>YEAR(Coffe_sales[[#This Row],[Date]])</f>
        <v>2024</v>
      </c>
    </row>
    <row r="71" spans="1:12" x14ac:dyDescent="0.2">
      <c r="A71" t="s">
        <v>30</v>
      </c>
      <c r="B71" t="s">
        <v>12</v>
      </c>
      <c r="C71">
        <v>38.700000000000003</v>
      </c>
      <c r="D71" t="s">
        <v>13</v>
      </c>
      <c r="E71" t="s">
        <v>29</v>
      </c>
      <c r="F71" t="s">
        <v>38</v>
      </c>
      <c r="G71" t="s">
        <v>16</v>
      </c>
      <c r="H71" t="s">
        <v>39</v>
      </c>
      <c r="I71" t="s">
        <v>18</v>
      </c>
      <c r="J71" t="s">
        <v>58</v>
      </c>
      <c r="K71" s="1">
        <v>0.81528331018518518</v>
      </c>
      <c r="L71">
        <f>YEAR(Coffe_sales[[#This Row],[Date]])</f>
        <v>2024</v>
      </c>
    </row>
    <row r="72" spans="1:12" x14ac:dyDescent="0.2">
      <c r="A72" t="s">
        <v>30</v>
      </c>
      <c r="B72" t="s">
        <v>12</v>
      </c>
      <c r="C72">
        <v>28.9</v>
      </c>
      <c r="D72" t="s">
        <v>41</v>
      </c>
      <c r="E72" t="s">
        <v>29</v>
      </c>
      <c r="F72" t="s">
        <v>38</v>
      </c>
      <c r="G72" t="s">
        <v>16</v>
      </c>
      <c r="H72" t="s">
        <v>39</v>
      </c>
      <c r="I72" t="s">
        <v>18</v>
      </c>
      <c r="J72" t="s">
        <v>58</v>
      </c>
      <c r="K72" s="1">
        <v>0.81660546296296299</v>
      </c>
      <c r="L72">
        <f>YEAR(Coffe_sales[[#This Row],[Date]])</f>
        <v>2024</v>
      </c>
    </row>
    <row r="73" spans="1:12" x14ac:dyDescent="0.2">
      <c r="A73" t="s">
        <v>35</v>
      </c>
      <c r="B73" t="s">
        <v>12</v>
      </c>
      <c r="C73">
        <v>38.700000000000003</v>
      </c>
      <c r="D73" t="s">
        <v>52</v>
      </c>
      <c r="E73" t="s">
        <v>14</v>
      </c>
      <c r="F73" t="s">
        <v>42</v>
      </c>
      <c r="G73" t="s">
        <v>16</v>
      </c>
      <c r="H73" t="s">
        <v>43</v>
      </c>
      <c r="I73" t="s">
        <v>18</v>
      </c>
      <c r="J73" t="s">
        <v>59</v>
      </c>
      <c r="K73" s="1">
        <v>0.48123589120370369</v>
      </c>
      <c r="L73">
        <f>YEAR(Coffe_sales[[#This Row],[Date]])</f>
        <v>2024</v>
      </c>
    </row>
    <row r="74" spans="1:12" x14ac:dyDescent="0.2">
      <c r="A74" t="s">
        <v>27</v>
      </c>
      <c r="B74" t="s">
        <v>12</v>
      </c>
      <c r="C74">
        <v>28.9</v>
      </c>
      <c r="D74" t="s">
        <v>24</v>
      </c>
      <c r="E74" t="s">
        <v>22</v>
      </c>
      <c r="F74" t="s">
        <v>42</v>
      </c>
      <c r="G74" t="s">
        <v>16</v>
      </c>
      <c r="H74" t="s">
        <v>43</v>
      </c>
      <c r="I74" t="s">
        <v>18</v>
      </c>
      <c r="J74" t="s">
        <v>59</v>
      </c>
      <c r="K74" s="1">
        <v>0.68363890046296294</v>
      </c>
      <c r="L74">
        <f>YEAR(Coffe_sales[[#This Row],[Date]])</f>
        <v>2024</v>
      </c>
    </row>
    <row r="75" spans="1:12" x14ac:dyDescent="0.2">
      <c r="A75" t="s">
        <v>27</v>
      </c>
      <c r="B75" t="s">
        <v>12</v>
      </c>
      <c r="C75">
        <v>38.700000000000003</v>
      </c>
      <c r="D75" t="s">
        <v>13</v>
      </c>
      <c r="E75" t="s">
        <v>22</v>
      </c>
      <c r="F75" t="s">
        <v>42</v>
      </c>
      <c r="G75" t="s">
        <v>16</v>
      </c>
      <c r="H75" t="s">
        <v>43</v>
      </c>
      <c r="I75" t="s">
        <v>18</v>
      </c>
      <c r="J75" t="s">
        <v>59</v>
      </c>
      <c r="K75" s="1">
        <v>0.68455629629629633</v>
      </c>
      <c r="L75">
        <f>YEAR(Coffe_sales[[#This Row],[Date]])</f>
        <v>2024</v>
      </c>
    </row>
    <row r="76" spans="1:12" x14ac:dyDescent="0.2">
      <c r="A76" t="s">
        <v>27</v>
      </c>
      <c r="B76" t="s">
        <v>12</v>
      </c>
      <c r="C76">
        <v>28.9</v>
      </c>
      <c r="D76" t="s">
        <v>41</v>
      </c>
      <c r="E76" t="s">
        <v>22</v>
      </c>
      <c r="F76" t="s">
        <v>42</v>
      </c>
      <c r="G76" t="s">
        <v>16</v>
      </c>
      <c r="H76" t="s">
        <v>43</v>
      </c>
      <c r="I76" t="s">
        <v>18</v>
      </c>
      <c r="J76" t="s">
        <v>59</v>
      </c>
      <c r="K76" s="1">
        <v>0.7019630555555556</v>
      </c>
      <c r="L76">
        <f>YEAR(Coffe_sales[[#This Row],[Date]])</f>
        <v>2024</v>
      </c>
    </row>
    <row r="77" spans="1:12" x14ac:dyDescent="0.2">
      <c r="A77" t="s">
        <v>11</v>
      </c>
      <c r="B77" t="s">
        <v>12</v>
      </c>
      <c r="C77">
        <v>28.9</v>
      </c>
      <c r="D77" t="s">
        <v>24</v>
      </c>
      <c r="E77" t="s">
        <v>14</v>
      </c>
      <c r="F77" t="s">
        <v>47</v>
      </c>
      <c r="G77" t="s">
        <v>16</v>
      </c>
      <c r="H77" t="s">
        <v>48</v>
      </c>
      <c r="I77" t="s">
        <v>18</v>
      </c>
      <c r="J77" t="s">
        <v>60</v>
      </c>
      <c r="K77" s="1">
        <v>0.42748313657407405</v>
      </c>
      <c r="L77">
        <f>YEAR(Coffe_sales[[#This Row],[Date]])</f>
        <v>2024</v>
      </c>
    </row>
    <row r="78" spans="1:12" x14ac:dyDescent="0.2">
      <c r="A78" t="s">
        <v>11</v>
      </c>
      <c r="B78" t="s">
        <v>12</v>
      </c>
      <c r="C78">
        <v>28.9</v>
      </c>
      <c r="D78" t="s">
        <v>41</v>
      </c>
      <c r="E78" t="s">
        <v>14</v>
      </c>
      <c r="F78" t="s">
        <v>47</v>
      </c>
      <c r="G78" t="s">
        <v>16</v>
      </c>
      <c r="H78" t="s">
        <v>48</v>
      </c>
      <c r="I78" t="s">
        <v>18</v>
      </c>
      <c r="J78" t="s">
        <v>60</v>
      </c>
      <c r="K78" s="1">
        <v>0.42806581018518519</v>
      </c>
      <c r="L78">
        <f>YEAR(Coffe_sales[[#This Row],[Date]])</f>
        <v>2024</v>
      </c>
    </row>
    <row r="79" spans="1:12" x14ac:dyDescent="0.2">
      <c r="A79" t="s">
        <v>35</v>
      </c>
      <c r="B79" t="s">
        <v>12</v>
      </c>
      <c r="C79">
        <v>38.700000000000003</v>
      </c>
      <c r="D79" t="s">
        <v>21</v>
      </c>
      <c r="E79" t="s">
        <v>14</v>
      </c>
      <c r="F79" t="s">
        <v>47</v>
      </c>
      <c r="G79" t="s">
        <v>16</v>
      </c>
      <c r="H79" t="s">
        <v>48</v>
      </c>
      <c r="I79" t="s">
        <v>18</v>
      </c>
      <c r="J79" t="s">
        <v>60</v>
      </c>
      <c r="K79" s="1">
        <v>0.47275037037037038</v>
      </c>
      <c r="L79">
        <f>YEAR(Coffe_sales[[#This Row],[Date]])</f>
        <v>2024</v>
      </c>
    </row>
    <row r="80" spans="1:12" x14ac:dyDescent="0.2">
      <c r="A80" t="s">
        <v>20</v>
      </c>
      <c r="B80" t="s">
        <v>12</v>
      </c>
      <c r="C80">
        <v>33.799999999999997</v>
      </c>
      <c r="D80" t="s">
        <v>26</v>
      </c>
      <c r="E80" t="s">
        <v>22</v>
      </c>
      <c r="F80" t="s">
        <v>47</v>
      </c>
      <c r="G80" t="s">
        <v>16</v>
      </c>
      <c r="H80" t="s">
        <v>48</v>
      </c>
      <c r="I80" t="s">
        <v>18</v>
      </c>
      <c r="J80" t="s">
        <v>60</v>
      </c>
      <c r="K80" s="1">
        <v>0.53221383101851849</v>
      </c>
      <c r="L80">
        <f>YEAR(Coffe_sales[[#This Row],[Date]])</f>
        <v>2024</v>
      </c>
    </row>
    <row r="81" spans="1:12" x14ac:dyDescent="0.2">
      <c r="A81" t="s">
        <v>20</v>
      </c>
      <c r="B81" t="s">
        <v>12</v>
      </c>
      <c r="C81">
        <v>28.9</v>
      </c>
      <c r="D81" t="s">
        <v>24</v>
      </c>
      <c r="E81" t="s">
        <v>22</v>
      </c>
      <c r="F81" t="s">
        <v>47</v>
      </c>
      <c r="G81" t="s">
        <v>16</v>
      </c>
      <c r="H81" t="s">
        <v>48</v>
      </c>
      <c r="I81" t="s">
        <v>18</v>
      </c>
      <c r="J81" t="s">
        <v>60</v>
      </c>
      <c r="K81" s="1">
        <v>0.53294012731481477</v>
      </c>
      <c r="L81">
        <f>YEAR(Coffe_sales[[#This Row],[Date]])</f>
        <v>2024</v>
      </c>
    </row>
    <row r="82" spans="1:12" x14ac:dyDescent="0.2">
      <c r="A82" t="s">
        <v>27</v>
      </c>
      <c r="B82" t="s">
        <v>12</v>
      </c>
      <c r="C82">
        <v>28.9</v>
      </c>
      <c r="D82" t="s">
        <v>24</v>
      </c>
      <c r="E82" t="s">
        <v>22</v>
      </c>
      <c r="F82" t="s">
        <v>47</v>
      </c>
      <c r="G82" t="s">
        <v>16</v>
      </c>
      <c r="H82" t="s">
        <v>48</v>
      </c>
      <c r="I82" t="s">
        <v>18</v>
      </c>
      <c r="J82" t="s">
        <v>60</v>
      </c>
      <c r="K82" s="1">
        <v>0.6775847800925926</v>
      </c>
      <c r="L82">
        <f>YEAR(Coffe_sales[[#This Row],[Date]])</f>
        <v>2024</v>
      </c>
    </row>
    <row r="83" spans="1:12" x14ac:dyDescent="0.2">
      <c r="A83" t="s">
        <v>35</v>
      </c>
      <c r="B83" t="s">
        <v>12</v>
      </c>
      <c r="C83">
        <v>38.700000000000003</v>
      </c>
      <c r="D83" t="s">
        <v>21</v>
      </c>
      <c r="E83" t="s">
        <v>14</v>
      </c>
      <c r="F83" t="s">
        <v>50</v>
      </c>
      <c r="G83" t="s">
        <v>16</v>
      </c>
      <c r="H83" t="s">
        <v>18</v>
      </c>
      <c r="I83" t="s">
        <v>18</v>
      </c>
      <c r="J83" t="s">
        <v>61</v>
      </c>
      <c r="K83" s="1">
        <v>0.46299812499999998</v>
      </c>
      <c r="L83">
        <f>YEAR(Coffe_sales[[#This Row],[Date]])</f>
        <v>2024</v>
      </c>
    </row>
    <row r="84" spans="1:12" x14ac:dyDescent="0.2">
      <c r="A84" t="s">
        <v>35</v>
      </c>
      <c r="B84" t="s">
        <v>12</v>
      </c>
      <c r="C84">
        <v>28.9</v>
      </c>
      <c r="D84" t="s">
        <v>24</v>
      </c>
      <c r="E84" t="s">
        <v>14</v>
      </c>
      <c r="F84" t="s">
        <v>50</v>
      </c>
      <c r="G84" t="s">
        <v>16</v>
      </c>
      <c r="H84" t="s">
        <v>18</v>
      </c>
      <c r="I84" t="s">
        <v>18</v>
      </c>
      <c r="J84" t="s">
        <v>61</v>
      </c>
      <c r="K84" s="1">
        <v>0.49186056712962961</v>
      </c>
      <c r="L84">
        <f>YEAR(Coffe_sales[[#This Row],[Date]])</f>
        <v>2024</v>
      </c>
    </row>
    <row r="85" spans="1:12" x14ac:dyDescent="0.2">
      <c r="A85" t="s">
        <v>20</v>
      </c>
      <c r="B85" t="s">
        <v>12</v>
      </c>
      <c r="C85">
        <v>28.9</v>
      </c>
      <c r="D85" t="s">
        <v>24</v>
      </c>
      <c r="E85" t="s">
        <v>22</v>
      </c>
      <c r="F85" t="s">
        <v>50</v>
      </c>
      <c r="G85" t="s">
        <v>16</v>
      </c>
      <c r="H85" t="s">
        <v>18</v>
      </c>
      <c r="I85" t="s">
        <v>18</v>
      </c>
      <c r="J85" t="s">
        <v>61</v>
      </c>
      <c r="K85" s="1">
        <v>0.51257333333333333</v>
      </c>
      <c r="L85">
        <f>YEAR(Coffe_sales[[#This Row],[Date]])</f>
        <v>2024</v>
      </c>
    </row>
    <row r="86" spans="1:12" x14ac:dyDescent="0.2">
      <c r="A86" t="s">
        <v>20</v>
      </c>
      <c r="B86" t="s">
        <v>12</v>
      </c>
      <c r="C86">
        <v>28.9</v>
      </c>
      <c r="D86" t="s">
        <v>24</v>
      </c>
      <c r="E86" t="s">
        <v>22</v>
      </c>
      <c r="F86" t="s">
        <v>50</v>
      </c>
      <c r="G86" t="s">
        <v>16</v>
      </c>
      <c r="H86" t="s">
        <v>18</v>
      </c>
      <c r="I86" t="s">
        <v>18</v>
      </c>
      <c r="J86" t="s">
        <v>61</v>
      </c>
      <c r="K86" s="1">
        <v>0.51325379629629631</v>
      </c>
      <c r="L86">
        <f>YEAR(Coffe_sales[[#This Row],[Date]])</f>
        <v>2024</v>
      </c>
    </row>
    <row r="87" spans="1:12" x14ac:dyDescent="0.2">
      <c r="A87" t="s">
        <v>36</v>
      </c>
      <c r="B87" t="s">
        <v>12</v>
      </c>
      <c r="C87">
        <v>33.799999999999997</v>
      </c>
      <c r="D87" t="s">
        <v>26</v>
      </c>
      <c r="E87" t="s">
        <v>22</v>
      </c>
      <c r="F87" t="s">
        <v>50</v>
      </c>
      <c r="G87" t="s">
        <v>16</v>
      </c>
      <c r="H87" t="s">
        <v>18</v>
      </c>
      <c r="I87" t="s">
        <v>18</v>
      </c>
      <c r="J87" t="s">
        <v>61</v>
      </c>
      <c r="K87" s="1">
        <v>0.60186197916666662</v>
      </c>
      <c r="L87">
        <f>YEAR(Coffe_sales[[#This Row],[Date]])</f>
        <v>2024</v>
      </c>
    </row>
    <row r="88" spans="1:12" x14ac:dyDescent="0.2">
      <c r="A88" t="s">
        <v>25</v>
      </c>
      <c r="B88" t="s">
        <v>12</v>
      </c>
      <c r="C88">
        <v>24</v>
      </c>
      <c r="D88" t="s">
        <v>45</v>
      </c>
      <c r="E88" t="s">
        <v>22</v>
      </c>
      <c r="F88" t="s">
        <v>50</v>
      </c>
      <c r="G88" t="s">
        <v>16</v>
      </c>
      <c r="H88" t="s">
        <v>18</v>
      </c>
      <c r="I88" t="s">
        <v>18</v>
      </c>
      <c r="J88" t="s">
        <v>61</v>
      </c>
      <c r="K88" s="1">
        <v>0.65303542824074079</v>
      </c>
      <c r="L88">
        <f>YEAR(Coffe_sales[[#This Row],[Date]])</f>
        <v>2024</v>
      </c>
    </row>
    <row r="89" spans="1:12" x14ac:dyDescent="0.2">
      <c r="A89" t="s">
        <v>25</v>
      </c>
      <c r="B89" t="s">
        <v>12</v>
      </c>
      <c r="C89">
        <v>24</v>
      </c>
      <c r="D89" t="s">
        <v>45</v>
      </c>
      <c r="E89" t="s">
        <v>22</v>
      </c>
      <c r="F89" t="s">
        <v>50</v>
      </c>
      <c r="G89" t="s">
        <v>16</v>
      </c>
      <c r="H89" t="s">
        <v>18</v>
      </c>
      <c r="I89" t="s">
        <v>18</v>
      </c>
      <c r="J89" t="s">
        <v>61</v>
      </c>
      <c r="K89" s="1">
        <v>0.65370861111111112</v>
      </c>
      <c r="L89">
        <f>YEAR(Coffe_sales[[#This Row],[Date]])</f>
        <v>2024</v>
      </c>
    </row>
    <row r="90" spans="1:12" x14ac:dyDescent="0.2">
      <c r="A90" t="s">
        <v>27</v>
      </c>
      <c r="B90" t="s">
        <v>12</v>
      </c>
      <c r="C90">
        <v>24</v>
      </c>
      <c r="D90" t="s">
        <v>45</v>
      </c>
      <c r="E90" t="s">
        <v>22</v>
      </c>
      <c r="F90" t="s">
        <v>50</v>
      </c>
      <c r="G90" t="s">
        <v>16</v>
      </c>
      <c r="H90" t="s">
        <v>18</v>
      </c>
      <c r="I90" t="s">
        <v>18</v>
      </c>
      <c r="J90" t="s">
        <v>61</v>
      </c>
      <c r="K90" s="1">
        <v>0.69941403935185187</v>
      </c>
      <c r="L90">
        <f>YEAR(Coffe_sales[[#This Row],[Date]])</f>
        <v>2024</v>
      </c>
    </row>
    <row r="91" spans="1:12" x14ac:dyDescent="0.2">
      <c r="A91" t="s">
        <v>11</v>
      </c>
      <c r="B91" t="s">
        <v>12</v>
      </c>
      <c r="C91">
        <v>38.700000000000003</v>
      </c>
      <c r="D91" t="s">
        <v>13</v>
      </c>
      <c r="E91" t="s">
        <v>14</v>
      </c>
      <c r="F91" t="s">
        <v>53</v>
      </c>
      <c r="G91" t="s">
        <v>16</v>
      </c>
      <c r="H91" t="s">
        <v>54</v>
      </c>
      <c r="I91" t="s">
        <v>18</v>
      </c>
      <c r="J91" t="s">
        <v>62</v>
      </c>
      <c r="K91" s="1">
        <v>0.43649325231481484</v>
      </c>
      <c r="L91">
        <f>YEAR(Coffe_sales[[#This Row],[Date]])</f>
        <v>2024</v>
      </c>
    </row>
    <row r="92" spans="1:12" x14ac:dyDescent="0.2">
      <c r="A92" t="s">
        <v>11</v>
      </c>
      <c r="B92" t="s">
        <v>12</v>
      </c>
      <c r="C92">
        <v>38.700000000000003</v>
      </c>
      <c r="D92" t="s">
        <v>21</v>
      </c>
      <c r="E92" t="s">
        <v>14</v>
      </c>
      <c r="F92" t="s">
        <v>53</v>
      </c>
      <c r="G92" t="s">
        <v>16</v>
      </c>
      <c r="H92" t="s">
        <v>54</v>
      </c>
      <c r="I92" t="s">
        <v>18</v>
      </c>
      <c r="J92" t="s">
        <v>62</v>
      </c>
      <c r="K92" s="1">
        <v>0.43720234953703702</v>
      </c>
      <c r="L92">
        <f>YEAR(Coffe_sales[[#This Row],[Date]])</f>
        <v>2024</v>
      </c>
    </row>
    <row r="93" spans="1:12" x14ac:dyDescent="0.2">
      <c r="A93" t="s">
        <v>23</v>
      </c>
      <c r="B93" t="s">
        <v>12</v>
      </c>
      <c r="C93">
        <v>28.9</v>
      </c>
      <c r="D93" t="s">
        <v>41</v>
      </c>
      <c r="E93" t="s">
        <v>22</v>
      </c>
      <c r="F93" t="s">
        <v>53</v>
      </c>
      <c r="G93" t="s">
        <v>16</v>
      </c>
      <c r="H93" t="s">
        <v>54</v>
      </c>
      <c r="I93" t="s">
        <v>18</v>
      </c>
      <c r="J93" t="s">
        <v>62</v>
      </c>
      <c r="K93" s="1">
        <v>0.56075851851851855</v>
      </c>
      <c r="L93">
        <f>YEAR(Coffe_sales[[#This Row],[Date]])</f>
        <v>2024</v>
      </c>
    </row>
    <row r="94" spans="1:12" x14ac:dyDescent="0.2">
      <c r="A94" t="s">
        <v>23</v>
      </c>
      <c r="B94" t="s">
        <v>12</v>
      </c>
      <c r="C94">
        <v>28.9</v>
      </c>
      <c r="D94" t="s">
        <v>24</v>
      </c>
      <c r="E94" t="s">
        <v>22</v>
      </c>
      <c r="F94" t="s">
        <v>53</v>
      </c>
      <c r="G94" t="s">
        <v>16</v>
      </c>
      <c r="H94" t="s">
        <v>54</v>
      </c>
      <c r="I94" t="s">
        <v>18</v>
      </c>
      <c r="J94" t="s">
        <v>62</v>
      </c>
      <c r="K94" s="1">
        <v>0.56139498842592594</v>
      </c>
      <c r="L94">
        <f>YEAR(Coffe_sales[[#This Row],[Date]])</f>
        <v>2024</v>
      </c>
    </row>
    <row r="95" spans="1:12" x14ac:dyDescent="0.2">
      <c r="A95" t="s">
        <v>23</v>
      </c>
      <c r="B95" t="s">
        <v>12</v>
      </c>
      <c r="C95">
        <v>33.799999999999997</v>
      </c>
      <c r="D95" t="s">
        <v>26</v>
      </c>
      <c r="E95" t="s">
        <v>22</v>
      </c>
      <c r="F95" t="s">
        <v>53</v>
      </c>
      <c r="G95" t="s">
        <v>16</v>
      </c>
      <c r="H95" t="s">
        <v>54</v>
      </c>
      <c r="I95" t="s">
        <v>18</v>
      </c>
      <c r="J95" t="s">
        <v>62</v>
      </c>
      <c r="K95" s="1">
        <v>0.57777667824074075</v>
      </c>
      <c r="L95">
        <f>YEAR(Coffe_sales[[#This Row],[Date]])</f>
        <v>2024</v>
      </c>
    </row>
    <row r="96" spans="1:12" x14ac:dyDescent="0.2">
      <c r="A96" t="s">
        <v>23</v>
      </c>
      <c r="B96" t="s">
        <v>12</v>
      </c>
      <c r="C96">
        <v>24</v>
      </c>
      <c r="D96" t="s">
        <v>45</v>
      </c>
      <c r="E96" t="s">
        <v>22</v>
      </c>
      <c r="F96" t="s">
        <v>53</v>
      </c>
      <c r="G96" t="s">
        <v>16</v>
      </c>
      <c r="H96" t="s">
        <v>54</v>
      </c>
      <c r="I96" t="s">
        <v>18</v>
      </c>
      <c r="J96" t="s">
        <v>62</v>
      </c>
      <c r="K96" s="1">
        <v>0.57842879629629629</v>
      </c>
      <c r="L96">
        <f>YEAR(Coffe_sales[[#This Row],[Date]])</f>
        <v>2024</v>
      </c>
    </row>
    <row r="97" spans="1:12" x14ac:dyDescent="0.2">
      <c r="A97" t="s">
        <v>25</v>
      </c>
      <c r="B97" t="s">
        <v>12</v>
      </c>
      <c r="C97">
        <v>38.700000000000003</v>
      </c>
      <c r="D97" t="s">
        <v>13</v>
      </c>
      <c r="E97" t="s">
        <v>22</v>
      </c>
      <c r="F97" t="s">
        <v>53</v>
      </c>
      <c r="G97" t="s">
        <v>16</v>
      </c>
      <c r="H97" t="s">
        <v>54</v>
      </c>
      <c r="I97" t="s">
        <v>18</v>
      </c>
      <c r="J97" t="s">
        <v>62</v>
      </c>
      <c r="K97" s="1">
        <v>0.6393329513888889</v>
      </c>
      <c r="L97">
        <f>YEAR(Coffe_sales[[#This Row],[Date]])</f>
        <v>2024</v>
      </c>
    </row>
    <row r="98" spans="1:12" x14ac:dyDescent="0.2">
      <c r="A98" t="s">
        <v>27</v>
      </c>
      <c r="B98" t="s">
        <v>12</v>
      </c>
      <c r="C98">
        <v>33.799999999999997</v>
      </c>
      <c r="D98" t="s">
        <v>26</v>
      </c>
      <c r="E98" t="s">
        <v>22</v>
      </c>
      <c r="F98" t="s">
        <v>53</v>
      </c>
      <c r="G98" t="s">
        <v>16</v>
      </c>
      <c r="H98" t="s">
        <v>54</v>
      </c>
      <c r="I98" t="s">
        <v>18</v>
      </c>
      <c r="J98" t="s">
        <v>62</v>
      </c>
      <c r="K98" s="1">
        <v>0.66955446759259263</v>
      </c>
      <c r="L98">
        <f>YEAR(Coffe_sales[[#This Row],[Date]])</f>
        <v>2024</v>
      </c>
    </row>
    <row r="99" spans="1:12" x14ac:dyDescent="0.2">
      <c r="A99" t="s">
        <v>27</v>
      </c>
      <c r="B99" t="s">
        <v>12</v>
      </c>
      <c r="C99">
        <v>24</v>
      </c>
      <c r="D99" t="s">
        <v>45</v>
      </c>
      <c r="E99" t="s">
        <v>22</v>
      </c>
      <c r="F99" t="s">
        <v>53</v>
      </c>
      <c r="G99" t="s">
        <v>16</v>
      </c>
      <c r="H99" t="s">
        <v>54</v>
      </c>
      <c r="I99" t="s">
        <v>18</v>
      </c>
      <c r="J99" t="s">
        <v>62</v>
      </c>
      <c r="K99" s="1">
        <v>0.70460881944444442</v>
      </c>
      <c r="L99">
        <f>YEAR(Coffe_sales[[#This Row],[Date]])</f>
        <v>2024</v>
      </c>
    </row>
    <row r="100" spans="1:12" x14ac:dyDescent="0.2">
      <c r="A100" t="s">
        <v>28</v>
      </c>
      <c r="B100" t="s">
        <v>12</v>
      </c>
      <c r="C100">
        <v>38.700000000000003</v>
      </c>
      <c r="D100" t="s">
        <v>21</v>
      </c>
      <c r="E100" t="s">
        <v>29</v>
      </c>
      <c r="F100" t="s">
        <v>53</v>
      </c>
      <c r="G100" t="s">
        <v>16</v>
      </c>
      <c r="H100" t="s">
        <v>54</v>
      </c>
      <c r="I100" t="s">
        <v>18</v>
      </c>
      <c r="J100" t="s">
        <v>62</v>
      </c>
      <c r="K100" s="1">
        <v>0.79092423611111107</v>
      </c>
      <c r="L100">
        <f>YEAR(Coffe_sales[[#This Row],[Date]])</f>
        <v>2024</v>
      </c>
    </row>
    <row r="101" spans="1:12" x14ac:dyDescent="0.2">
      <c r="A101" t="s">
        <v>30</v>
      </c>
      <c r="B101" t="s">
        <v>12</v>
      </c>
      <c r="C101">
        <v>28.9</v>
      </c>
      <c r="D101" t="s">
        <v>41</v>
      </c>
      <c r="E101" t="s">
        <v>29</v>
      </c>
      <c r="F101" t="s">
        <v>53</v>
      </c>
      <c r="G101" t="s">
        <v>16</v>
      </c>
      <c r="H101" t="s">
        <v>54</v>
      </c>
      <c r="I101" t="s">
        <v>18</v>
      </c>
      <c r="J101" t="s">
        <v>62</v>
      </c>
      <c r="K101" s="1">
        <v>0.79176693287037037</v>
      </c>
      <c r="L101">
        <f>YEAR(Coffe_sales[[#This Row],[Date]])</f>
        <v>2024</v>
      </c>
    </row>
    <row r="102" spans="1:12" x14ac:dyDescent="0.2">
      <c r="A102" t="s">
        <v>11</v>
      </c>
      <c r="B102" t="s">
        <v>12</v>
      </c>
      <c r="C102">
        <v>38.700000000000003</v>
      </c>
      <c r="D102" t="s">
        <v>21</v>
      </c>
      <c r="E102" t="s">
        <v>14</v>
      </c>
      <c r="F102" t="s">
        <v>15</v>
      </c>
      <c r="G102" t="s">
        <v>16</v>
      </c>
      <c r="H102" t="s">
        <v>17</v>
      </c>
      <c r="I102" t="s">
        <v>18</v>
      </c>
      <c r="J102" t="s">
        <v>63</v>
      </c>
      <c r="K102" s="1">
        <v>0.4534974537037037</v>
      </c>
      <c r="L102">
        <f>YEAR(Coffe_sales[[#This Row],[Date]])</f>
        <v>2024</v>
      </c>
    </row>
    <row r="103" spans="1:12" x14ac:dyDescent="0.2">
      <c r="A103" t="s">
        <v>28</v>
      </c>
      <c r="B103" t="s">
        <v>12</v>
      </c>
      <c r="C103">
        <v>28.9</v>
      </c>
      <c r="D103" t="s">
        <v>24</v>
      </c>
      <c r="E103" t="s">
        <v>29</v>
      </c>
      <c r="F103" t="s">
        <v>15</v>
      </c>
      <c r="G103" t="s">
        <v>16</v>
      </c>
      <c r="H103" t="s">
        <v>17</v>
      </c>
      <c r="I103" t="s">
        <v>18</v>
      </c>
      <c r="J103" t="s">
        <v>63</v>
      </c>
      <c r="K103" s="1">
        <v>0.76351761574074073</v>
      </c>
      <c r="L103">
        <f>YEAR(Coffe_sales[[#This Row],[Date]])</f>
        <v>2024</v>
      </c>
    </row>
    <row r="104" spans="1:12" x14ac:dyDescent="0.2">
      <c r="A104" t="s">
        <v>20</v>
      </c>
      <c r="B104" t="s">
        <v>12</v>
      </c>
      <c r="C104">
        <v>33.799999999999997</v>
      </c>
      <c r="D104" t="s">
        <v>26</v>
      </c>
      <c r="E104" t="s">
        <v>22</v>
      </c>
      <c r="F104" t="s">
        <v>32</v>
      </c>
      <c r="G104" t="s">
        <v>16</v>
      </c>
      <c r="H104" t="s">
        <v>33</v>
      </c>
      <c r="I104" t="s">
        <v>18</v>
      </c>
      <c r="J104" t="s">
        <v>64</v>
      </c>
      <c r="K104" s="1">
        <v>0.50480565972222224</v>
      </c>
      <c r="L104">
        <f>YEAR(Coffe_sales[[#This Row],[Date]])</f>
        <v>2024</v>
      </c>
    </row>
    <row r="105" spans="1:12" x14ac:dyDescent="0.2">
      <c r="A105" t="s">
        <v>20</v>
      </c>
      <c r="B105" t="s">
        <v>12</v>
      </c>
      <c r="C105">
        <v>28.9</v>
      </c>
      <c r="D105" t="s">
        <v>24</v>
      </c>
      <c r="E105" t="s">
        <v>22</v>
      </c>
      <c r="F105" t="s">
        <v>32</v>
      </c>
      <c r="G105" t="s">
        <v>16</v>
      </c>
      <c r="H105" t="s">
        <v>33</v>
      </c>
      <c r="I105" t="s">
        <v>18</v>
      </c>
      <c r="J105" t="s">
        <v>64</v>
      </c>
      <c r="K105" s="1">
        <v>0.50548512731481476</v>
      </c>
      <c r="L105">
        <f>YEAR(Coffe_sales[[#This Row],[Date]])</f>
        <v>2024</v>
      </c>
    </row>
    <row r="106" spans="1:12" x14ac:dyDescent="0.2">
      <c r="A106" t="s">
        <v>25</v>
      </c>
      <c r="B106" t="s">
        <v>12</v>
      </c>
      <c r="C106">
        <v>28.9</v>
      </c>
      <c r="D106" t="s">
        <v>41</v>
      </c>
      <c r="E106" t="s">
        <v>22</v>
      </c>
      <c r="F106" t="s">
        <v>32</v>
      </c>
      <c r="G106" t="s">
        <v>16</v>
      </c>
      <c r="H106" t="s">
        <v>33</v>
      </c>
      <c r="I106" t="s">
        <v>18</v>
      </c>
      <c r="J106" t="s">
        <v>64</v>
      </c>
      <c r="K106" s="1">
        <v>0.66549141203703699</v>
      </c>
      <c r="L106">
        <f>YEAR(Coffe_sales[[#This Row],[Date]])</f>
        <v>2024</v>
      </c>
    </row>
    <row r="107" spans="1:12" x14ac:dyDescent="0.2">
      <c r="A107" t="s">
        <v>27</v>
      </c>
      <c r="B107" t="s">
        <v>12</v>
      </c>
      <c r="C107">
        <v>28.9</v>
      </c>
      <c r="D107" t="s">
        <v>41</v>
      </c>
      <c r="E107" t="s">
        <v>22</v>
      </c>
      <c r="F107" t="s">
        <v>32</v>
      </c>
      <c r="G107" t="s">
        <v>16</v>
      </c>
      <c r="H107" t="s">
        <v>33</v>
      </c>
      <c r="I107" t="s">
        <v>18</v>
      </c>
      <c r="J107" t="s">
        <v>64</v>
      </c>
      <c r="K107" s="1">
        <v>0.66900159722222219</v>
      </c>
      <c r="L107">
        <f>YEAR(Coffe_sales[[#This Row],[Date]])</f>
        <v>2024</v>
      </c>
    </row>
    <row r="108" spans="1:12" x14ac:dyDescent="0.2">
      <c r="A108" t="s">
        <v>27</v>
      </c>
      <c r="B108" t="s">
        <v>12</v>
      </c>
      <c r="C108">
        <v>28.9</v>
      </c>
      <c r="D108" t="s">
        <v>41</v>
      </c>
      <c r="E108" t="s">
        <v>22</v>
      </c>
      <c r="F108" t="s">
        <v>32</v>
      </c>
      <c r="G108" t="s">
        <v>16</v>
      </c>
      <c r="H108" t="s">
        <v>33</v>
      </c>
      <c r="I108" t="s">
        <v>18</v>
      </c>
      <c r="J108" t="s">
        <v>64</v>
      </c>
      <c r="K108" s="1">
        <v>0.66957689814814814</v>
      </c>
      <c r="L108">
        <f>YEAR(Coffe_sales[[#This Row],[Date]])</f>
        <v>2024</v>
      </c>
    </row>
    <row r="109" spans="1:12" x14ac:dyDescent="0.2">
      <c r="A109" t="s">
        <v>37</v>
      </c>
      <c r="B109" t="s">
        <v>12</v>
      </c>
      <c r="C109">
        <v>33.799999999999997</v>
      </c>
      <c r="D109" t="s">
        <v>26</v>
      </c>
      <c r="E109" t="s">
        <v>29</v>
      </c>
      <c r="F109" t="s">
        <v>32</v>
      </c>
      <c r="G109" t="s">
        <v>16</v>
      </c>
      <c r="H109" t="s">
        <v>33</v>
      </c>
      <c r="I109" t="s">
        <v>18</v>
      </c>
      <c r="J109" t="s">
        <v>64</v>
      </c>
      <c r="K109" s="1">
        <v>0.74869491898148144</v>
      </c>
      <c r="L109">
        <f>YEAR(Coffe_sales[[#This Row],[Date]])</f>
        <v>2024</v>
      </c>
    </row>
    <row r="110" spans="1:12" x14ac:dyDescent="0.2">
      <c r="A110" t="s">
        <v>20</v>
      </c>
      <c r="B110" t="s">
        <v>12</v>
      </c>
      <c r="C110">
        <v>28.9</v>
      </c>
      <c r="D110" t="s">
        <v>41</v>
      </c>
      <c r="E110" t="s">
        <v>22</v>
      </c>
      <c r="F110" t="s">
        <v>38</v>
      </c>
      <c r="G110" t="s">
        <v>16</v>
      </c>
      <c r="H110" t="s">
        <v>39</v>
      </c>
      <c r="I110" t="s">
        <v>18</v>
      </c>
      <c r="J110" t="s">
        <v>65</v>
      </c>
      <c r="K110" s="1">
        <v>0.53849612268518521</v>
      </c>
      <c r="L110">
        <f>YEAR(Coffe_sales[[#This Row],[Date]])</f>
        <v>2024</v>
      </c>
    </row>
    <row r="111" spans="1:12" x14ac:dyDescent="0.2">
      <c r="A111" t="s">
        <v>35</v>
      </c>
      <c r="B111" t="s">
        <v>12</v>
      </c>
      <c r="C111">
        <v>28.9</v>
      </c>
      <c r="D111" t="s">
        <v>41</v>
      </c>
      <c r="E111" t="s">
        <v>14</v>
      </c>
      <c r="F111" t="s">
        <v>42</v>
      </c>
      <c r="G111" t="s">
        <v>16</v>
      </c>
      <c r="H111" t="s">
        <v>43</v>
      </c>
      <c r="I111" t="s">
        <v>18</v>
      </c>
      <c r="J111" t="s">
        <v>66</v>
      </c>
      <c r="K111" s="1">
        <v>0.47082952546296297</v>
      </c>
      <c r="L111">
        <f>YEAR(Coffe_sales[[#This Row],[Date]])</f>
        <v>2024</v>
      </c>
    </row>
    <row r="112" spans="1:12" x14ac:dyDescent="0.2">
      <c r="A112" t="s">
        <v>25</v>
      </c>
      <c r="B112" t="s">
        <v>12</v>
      </c>
      <c r="C112">
        <v>28.9</v>
      </c>
      <c r="D112" t="s">
        <v>24</v>
      </c>
      <c r="E112" t="s">
        <v>22</v>
      </c>
      <c r="F112" t="s">
        <v>42</v>
      </c>
      <c r="G112" t="s">
        <v>16</v>
      </c>
      <c r="H112" t="s">
        <v>43</v>
      </c>
      <c r="I112" t="s">
        <v>18</v>
      </c>
      <c r="J112" t="s">
        <v>66</v>
      </c>
      <c r="K112" s="1">
        <v>0.64698755787037032</v>
      </c>
      <c r="L112">
        <f>YEAR(Coffe_sales[[#This Row],[Date]])</f>
        <v>2024</v>
      </c>
    </row>
    <row r="113" spans="1:12" x14ac:dyDescent="0.2">
      <c r="A113" t="s">
        <v>25</v>
      </c>
      <c r="B113" t="s">
        <v>12</v>
      </c>
      <c r="C113">
        <v>28.9</v>
      </c>
      <c r="D113" t="s">
        <v>24</v>
      </c>
      <c r="E113" t="s">
        <v>22</v>
      </c>
      <c r="F113" t="s">
        <v>42</v>
      </c>
      <c r="G113" t="s">
        <v>16</v>
      </c>
      <c r="H113" t="s">
        <v>43</v>
      </c>
      <c r="I113" t="s">
        <v>18</v>
      </c>
      <c r="J113" t="s">
        <v>66</v>
      </c>
      <c r="K113" s="1">
        <v>0.64766480324074072</v>
      </c>
      <c r="L113">
        <f>YEAR(Coffe_sales[[#This Row],[Date]])</f>
        <v>2024</v>
      </c>
    </row>
    <row r="114" spans="1:12" x14ac:dyDescent="0.2">
      <c r="A114" t="s">
        <v>25</v>
      </c>
      <c r="B114" t="s">
        <v>12</v>
      </c>
      <c r="C114">
        <v>28.9</v>
      </c>
      <c r="D114" t="s">
        <v>24</v>
      </c>
      <c r="E114" t="s">
        <v>22</v>
      </c>
      <c r="F114" t="s">
        <v>42</v>
      </c>
      <c r="G114" t="s">
        <v>16</v>
      </c>
      <c r="H114" t="s">
        <v>43</v>
      </c>
      <c r="I114" t="s">
        <v>18</v>
      </c>
      <c r="J114" t="s">
        <v>66</v>
      </c>
      <c r="K114" s="1">
        <v>0.64834152777777776</v>
      </c>
      <c r="L114">
        <f>YEAR(Coffe_sales[[#This Row],[Date]])</f>
        <v>2024</v>
      </c>
    </row>
    <row r="115" spans="1:12" x14ac:dyDescent="0.2">
      <c r="A115" t="s">
        <v>36</v>
      </c>
      <c r="B115" t="s">
        <v>12</v>
      </c>
      <c r="C115">
        <v>38.700000000000003</v>
      </c>
      <c r="D115" t="s">
        <v>13</v>
      </c>
      <c r="E115" t="s">
        <v>22</v>
      </c>
      <c r="F115" t="s">
        <v>47</v>
      </c>
      <c r="G115" t="s">
        <v>16</v>
      </c>
      <c r="H115" t="s">
        <v>48</v>
      </c>
      <c r="I115" t="s">
        <v>18</v>
      </c>
      <c r="J115" t="s">
        <v>67</v>
      </c>
      <c r="K115" s="1">
        <v>0.58497148148148148</v>
      </c>
      <c r="L115">
        <f>YEAR(Coffe_sales[[#This Row],[Date]])</f>
        <v>2024</v>
      </c>
    </row>
    <row r="116" spans="1:12" x14ac:dyDescent="0.2">
      <c r="A116" t="s">
        <v>36</v>
      </c>
      <c r="B116" t="s">
        <v>12</v>
      </c>
      <c r="C116">
        <v>38.700000000000003</v>
      </c>
      <c r="D116" t="s">
        <v>13</v>
      </c>
      <c r="E116" t="s">
        <v>22</v>
      </c>
      <c r="F116" t="s">
        <v>47</v>
      </c>
      <c r="G116" t="s">
        <v>16</v>
      </c>
      <c r="H116" t="s">
        <v>48</v>
      </c>
      <c r="I116" t="s">
        <v>18</v>
      </c>
      <c r="J116" t="s">
        <v>67</v>
      </c>
      <c r="K116" s="1">
        <v>0.58564542824074073</v>
      </c>
      <c r="L116">
        <f>YEAR(Coffe_sales[[#This Row],[Date]])</f>
        <v>2024</v>
      </c>
    </row>
    <row r="117" spans="1:12" x14ac:dyDescent="0.2">
      <c r="A117" t="s">
        <v>25</v>
      </c>
      <c r="B117" t="s">
        <v>12</v>
      </c>
      <c r="C117">
        <v>38.700000000000003</v>
      </c>
      <c r="D117" t="s">
        <v>21</v>
      </c>
      <c r="E117" t="s">
        <v>22</v>
      </c>
      <c r="F117" t="s">
        <v>47</v>
      </c>
      <c r="G117" t="s">
        <v>16</v>
      </c>
      <c r="H117" t="s">
        <v>48</v>
      </c>
      <c r="I117" t="s">
        <v>18</v>
      </c>
      <c r="J117" t="s">
        <v>67</v>
      </c>
      <c r="K117" s="1">
        <v>0.62819802083333331</v>
      </c>
      <c r="L117">
        <f>YEAR(Coffe_sales[[#This Row],[Date]])</f>
        <v>2024</v>
      </c>
    </row>
    <row r="118" spans="1:12" x14ac:dyDescent="0.2">
      <c r="A118" t="s">
        <v>27</v>
      </c>
      <c r="B118" t="s">
        <v>12</v>
      </c>
      <c r="C118">
        <v>33.799999999999997</v>
      </c>
      <c r="D118" t="s">
        <v>26</v>
      </c>
      <c r="E118" t="s">
        <v>22</v>
      </c>
      <c r="F118" t="s">
        <v>47</v>
      </c>
      <c r="G118" t="s">
        <v>16</v>
      </c>
      <c r="H118" t="s">
        <v>48</v>
      </c>
      <c r="I118" t="s">
        <v>18</v>
      </c>
      <c r="J118" t="s">
        <v>67</v>
      </c>
      <c r="K118" s="1">
        <v>0.70403594907407407</v>
      </c>
      <c r="L118">
        <f>YEAR(Coffe_sales[[#This Row],[Date]])</f>
        <v>2024</v>
      </c>
    </row>
    <row r="119" spans="1:12" x14ac:dyDescent="0.2">
      <c r="A119" t="s">
        <v>35</v>
      </c>
      <c r="B119" t="s">
        <v>12</v>
      </c>
      <c r="C119">
        <v>28.9</v>
      </c>
      <c r="D119" t="s">
        <v>41</v>
      </c>
      <c r="E119" t="s">
        <v>14</v>
      </c>
      <c r="F119" t="s">
        <v>50</v>
      </c>
      <c r="G119" t="s">
        <v>16</v>
      </c>
      <c r="H119" t="s">
        <v>18</v>
      </c>
      <c r="I119" t="s">
        <v>18</v>
      </c>
      <c r="J119" t="s">
        <v>68</v>
      </c>
      <c r="K119" s="1">
        <v>0.48699540509259259</v>
      </c>
      <c r="L119">
        <f>YEAR(Coffe_sales[[#This Row],[Date]])</f>
        <v>2024</v>
      </c>
    </row>
    <row r="120" spans="1:12" x14ac:dyDescent="0.2">
      <c r="A120" t="s">
        <v>20</v>
      </c>
      <c r="B120" t="s">
        <v>12</v>
      </c>
      <c r="C120">
        <v>28.9</v>
      </c>
      <c r="D120" t="s">
        <v>41</v>
      </c>
      <c r="E120" t="s">
        <v>22</v>
      </c>
      <c r="F120" t="s">
        <v>50</v>
      </c>
      <c r="G120" t="s">
        <v>16</v>
      </c>
      <c r="H120" t="s">
        <v>18</v>
      </c>
      <c r="I120" t="s">
        <v>18</v>
      </c>
      <c r="J120" t="s">
        <v>68</v>
      </c>
      <c r="K120" s="1">
        <v>0.52140009259259257</v>
      </c>
      <c r="L120">
        <f>YEAR(Coffe_sales[[#This Row],[Date]])</f>
        <v>2024</v>
      </c>
    </row>
    <row r="121" spans="1:12" x14ac:dyDescent="0.2">
      <c r="A121" t="s">
        <v>23</v>
      </c>
      <c r="B121" t="s">
        <v>12</v>
      </c>
      <c r="C121">
        <v>38.700000000000003</v>
      </c>
      <c r="D121" t="s">
        <v>52</v>
      </c>
      <c r="E121" t="s">
        <v>22</v>
      </c>
      <c r="F121" t="s">
        <v>50</v>
      </c>
      <c r="G121" t="s">
        <v>16</v>
      </c>
      <c r="H121" t="s">
        <v>18</v>
      </c>
      <c r="I121" t="s">
        <v>18</v>
      </c>
      <c r="J121" t="s">
        <v>68</v>
      </c>
      <c r="K121" s="1">
        <v>0.55332631944444444</v>
      </c>
      <c r="L121">
        <f>YEAR(Coffe_sales[[#This Row],[Date]])</f>
        <v>2024</v>
      </c>
    </row>
    <row r="122" spans="1:12" x14ac:dyDescent="0.2">
      <c r="A122" t="s">
        <v>27</v>
      </c>
      <c r="B122" t="s">
        <v>12</v>
      </c>
      <c r="C122">
        <v>38.700000000000003</v>
      </c>
      <c r="D122" t="s">
        <v>31</v>
      </c>
      <c r="E122" t="s">
        <v>22</v>
      </c>
      <c r="F122" t="s">
        <v>50</v>
      </c>
      <c r="G122" t="s">
        <v>16</v>
      </c>
      <c r="H122" t="s">
        <v>18</v>
      </c>
      <c r="I122" t="s">
        <v>18</v>
      </c>
      <c r="J122" t="s">
        <v>68</v>
      </c>
      <c r="K122" s="1">
        <v>0.6962745023148148</v>
      </c>
      <c r="L122">
        <f>YEAR(Coffe_sales[[#This Row],[Date]])</f>
        <v>2024</v>
      </c>
    </row>
    <row r="123" spans="1:12" x14ac:dyDescent="0.2">
      <c r="A123" t="s">
        <v>37</v>
      </c>
      <c r="B123" t="s">
        <v>12</v>
      </c>
      <c r="C123">
        <v>38.700000000000003</v>
      </c>
      <c r="D123" t="s">
        <v>13</v>
      </c>
      <c r="E123" t="s">
        <v>29</v>
      </c>
      <c r="F123" t="s">
        <v>50</v>
      </c>
      <c r="G123" t="s">
        <v>16</v>
      </c>
      <c r="H123" t="s">
        <v>18</v>
      </c>
      <c r="I123" t="s">
        <v>18</v>
      </c>
      <c r="J123" t="s">
        <v>68</v>
      </c>
      <c r="K123" s="1">
        <v>0.74338866898148148</v>
      </c>
      <c r="L123">
        <f>YEAR(Coffe_sales[[#This Row],[Date]])</f>
        <v>2024</v>
      </c>
    </row>
    <row r="124" spans="1:12" x14ac:dyDescent="0.2">
      <c r="A124" t="s">
        <v>20</v>
      </c>
      <c r="B124" t="s">
        <v>12</v>
      </c>
      <c r="C124">
        <v>28.9</v>
      </c>
      <c r="D124" t="s">
        <v>41</v>
      </c>
      <c r="E124" t="s">
        <v>22</v>
      </c>
      <c r="F124" t="s">
        <v>53</v>
      </c>
      <c r="G124" t="s">
        <v>16</v>
      </c>
      <c r="H124" t="s">
        <v>54</v>
      </c>
      <c r="I124" t="s">
        <v>18</v>
      </c>
      <c r="J124" t="s">
        <v>69</v>
      </c>
      <c r="K124" s="1">
        <v>0.51746752314814815</v>
      </c>
      <c r="L124">
        <f>YEAR(Coffe_sales[[#This Row],[Date]])</f>
        <v>2024</v>
      </c>
    </row>
    <row r="125" spans="1:12" x14ac:dyDescent="0.2">
      <c r="A125" t="s">
        <v>20</v>
      </c>
      <c r="B125" t="s">
        <v>12</v>
      </c>
      <c r="C125">
        <v>38.700000000000003</v>
      </c>
      <c r="D125" t="s">
        <v>52</v>
      </c>
      <c r="E125" t="s">
        <v>22</v>
      </c>
      <c r="F125" t="s">
        <v>53</v>
      </c>
      <c r="G125" t="s">
        <v>16</v>
      </c>
      <c r="H125" t="s">
        <v>54</v>
      </c>
      <c r="I125" t="s">
        <v>18</v>
      </c>
      <c r="J125" t="s">
        <v>69</v>
      </c>
      <c r="K125" s="1">
        <v>0.5182572685185185</v>
      </c>
      <c r="L125">
        <f>YEAR(Coffe_sales[[#This Row],[Date]])</f>
        <v>2024</v>
      </c>
    </row>
    <row r="126" spans="1:12" x14ac:dyDescent="0.2">
      <c r="A126" t="s">
        <v>37</v>
      </c>
      <c r="B126" t="s">
        <v>12</v>
      </c>
      <c r="C126">
        <v>28.9</v>
      </c>
      <c r="D126" t="s">
        <v>41</v>
      </c>
      <c r="E126" t="s">
        <v>29</v>
      </c>
      <c r="F126" t="s">
        <v>53</v>
      </c>
      <c r="G126" t="s">
        <v>16</v>
      </c>
      <c r="H126" t="s">
        <v>54</v>
      </c>
      <c r="I126" t="s">
        <v>18</v>
      </c>
      <c r="J126" t="s">
        <v>69</v>
      </c>
      <c r="K126" s="1">
        <v>0.72362677083333338</v>
      </c>
      <c r="L126">
        <f>YEAR(Coffe_sales[[#This Row],[Date]])</f>
        <v>2024</v>
      </c>
    </row>
    <row r="127" spans="1:12" x14ac:dyDescent="0.2">
      <c r="A127" t="s">
        <v>30</v>
      </c>
      <c r="B127" t="s">
        <v>12</v>
      </c>
      <c r="C127">
        <v>38.700000000000003</v>
      </c>
      <c r="D127" t="s">
        <v>13</v>
      </c>
      <c r="E127" t="s">
        <v>29</v>
      </c>
      <c r="F127" t="s">
        <v>53</v>
      </c>
      <c r="G127" t="s">
        <v>16</v>
      </c>
      <c r="H127" t="s">
        <v>54</v>
      </c>
      <c r="I127" t="s">
        <v>18</v>
      </c>
      <c r="J127" t="s">
        <v>69</v>
      </c>
      <c r="K127" s="1">
        <v>0.80597810185185181</v>
      </c>
      <c r="L127">
        <f>YEAR(Coffe_sales[[#This Row],[Date]])</f>
        <v>2024</v>
      </c>
    </row>
    <row r="128" spans="1:12" x14ac:dyDescent="0.2">
      <c r="A128" t="s">
        <v>11</v>
      </c>
      <c r="B128" t="s">
        <v>12</v>
      </c>
      <c r="C128">
        <v>33.799999999999997</v>
      </c>
      <c r="D128" t="s">
        <v>26</v>
      </c>
      <c r="E128" t="s">
        <v>14</v>
      </c>
      <c r="F128" t="s">
        <v>15</v>
      </c>
      <c r="G128" t="s">
        <v>16</v>
      </c>
      <c r="H128" t="s">
        <v>17</v>
      </c>
      <c r="I128" t="s">
        <v>18</v>
      </c>
      <c r="J128" t="s">
        <v>70</v>
      </c>
      <c r="K128" s="1">
        <v>0.44159281249999999</v>
      </c>
      <c r="L128">
        <f>YEAR(Coffe_sales[[#This Row],[Date]])</f>
        <v>2024</v>
      </c>
    </row>
    <row r="129" spans="1:12" x14ac:dyDescent="0.2">
      <c r="A129" t="s">
        <v>23</v>
      </c>
      <c r="B129" t="s">
        <v>12</v>
      </c>
      <c r="C129">
        <v>33.799999999999997</v>
      </c>
      <c r="D129" t="s">
        <v>26</v>
      </c>
      <c r="E129" t="s">
        <v>22</v>
      </c>
      <c r="F129" t="s">
        <v>15</v>
      </c>
      <c r="G129" t="s">
        <v>16</v>
      </c>
      <c r="H129" t="s">
        <v>17</v>
      </c>
      <c r="I129" t="s">
        <v>18</v>
      </c>
      <c r="J129" t="s">
        <v>70</v>
      </c>
      <c r="K129" s="1">
        <v>0.56204100694444448</v>
      </c>
      <c r="L129">
        <f>YEAR(Coffe_sales[[#This Row],[Date]])</f>
        <v>2024</v>
      </c>
    </row>
    <row r="130" spans="1:12" x14ac:dyDescent="0.2">
      <c r="A130" t="s">
        <v>37</v>
      </c>
      <c r="B130" t="s">
        <v>12</v>
      </c>
      <c r="C130">
        <v>28.9</v>
      </c>
      <c r="D130" t="s">
        <v>24</v>
      </c>
      <c r="E130" t="s">
        <v>29</v>
      </c>
      <c r="F130" t="s">
        <v>15</v>
      </c>
      <c r="G130" t="s">
        <v>16</v>
      </c>
      <c r="H130" t="s">
        <v>17</v>
      </c>
      <c r="I130" t="s">
        <v>18</v>
      </c>
      <c r="J130" t="s">
        <v>70</v>
      </c>
      <c r="K130" s="1">
        <v>0.72018199074074074</v>
      </c>
      <c r="L130">
        <f>YEAR(Coffe_sales[[#This Row],[Date]])</f>
        <v>2024</v>
      </c>
    </row>
    <row r="131" spans="1:12" x14ac:dyDescent="0.2">
      <c r="A131" t="s">
        <v>37</v>
      </c>
      <c r="B131" t="s">
        <v>12</v>
      </c>
      <c r="C131">
        <v>24</v>
      </c>
      <c r="D131" t="s">
        <v>45</v>
      </c>
      <c r="E131" t="s">
        <v>29</v>
      </c>
      <c r="F131" t="s">
        <v>15</v>
      </c>
      <c r="G131" t="s">
        <v>16</v>
      </c>
      <c r="H131" t="s">
        <v>17</v>
      </c>
      <c r="I131" t="s">
        <v>18</v>
      </c>
      <c r="J131" t="s">
        <v>70</v>
      </c>
      <c r="K131" s="1">
        <v>0.72082165509259255</v>
      </c>
      <c r="L131">
        <f>YEAR(Coffe_sales[[#This Row],[Date]])</f>
        <v>2024</v>
      </c>
    </row>
    <row r="132" spans="1:12" x14ac:dyDescent="0.2">
      <c r="A132" t="s">
        <v>37</v>
      </c>
      <c r="B132" t="s">
        <v>12</v>
      </c>
      <c r="C132">
        <v>28.9</v>
      </c>
      <c r="D132" t="s">
        <v>24</v>
      </c>
      <c r="E132" t="s">
        <v>29</v>
      </c>
      <c r="F132" t="s">
        <v>15</v>
      </c>
      <c r="G132" t="s">
        <v>16</v>
      </c>
      <c r="H132" t="s">
        <v>17</v>
      </c>
      <c r="I132" t="s">
        <v>18</v>
      </c>
      <c r="J132" t="s">
        <v>70</v>
      </c>
      <c r="K132" s="1">
        <v>0.72279502314814814</v>
      </c>
      <c r="L132">
        <f>YEAR(Coffe_sales[[#This Row],[Date]])</f>
        <v>2024</v>
      </c>
    </row>
    <row r="133" spans="1:12" x14ac:dyDescent="0.2">
      <c r="A133" t="s">
        <v>11</v>
      </c>
      <c r="B133" t="s">
        <v>12</v>
      </c>
      <c r="C133">
        <v>38.700000000000003</v>
      </c>
      <c r="D133" t="s">
        <v>13</v>
      </c>
      <c r="E133" t="s">
        <v>14</v>
      </c>
      <c r="F133" t="s">
        <v>32</v>
      </c>
      <c r="G133" t="s">
        <v>16</v>
      </c>
      <c r="H133" t="s">
        <v>33</v>
      </c>
      <c r="I133" t="s">
        <v>18</v>
      </c>
      <c r="J133" t="s">
        <v>71</v>
      </c>
      <c r="K133" s="1">
        <v>0.44721711805555553</v>
      </c>
      <c r="L133">
        <f>YEAR(Coffe_sales[[#This Row],[Date]])</f>
        <v>2024</v>
      </c>
    </row>
    <row r="134" spans="1:12" x14ac:dyDescent="0.2">
      <c r="A134" t="s">
        <v>11</v>
      </c>
      <c r="B134" t="s">
        <v>12</v>
      </c>
      <c r="C134">
        <v>33.799999999999997</v>
      </c>
      <c r="D134" t="s">
        <v>26</v>
      </c>
      <c r="E134" t="s">
        <v>14</v>
      </c>
      <c r="F134" t="s">
        <v>32</v>
      </c>
      <c r="G134" t="s">
        <v>16</v>
      </c>
      <c r="H134" t="s">
        <v>33</v>
      </c>
      <c r="I134" t="s">
        <v>18</v>
      </c>
      <c r="J134" t="s">
        <v>71</v>
      </c>
      <c r="K134" s="1">
        <v>0.44799950231481483</v>
      </c>
      <c r="L134">
        <f>YEAR(Coffe_sales[[#This Row],[Date]])</f>
        <v>2024</v>
      </c>
    </row>
    <row r="135" spans="1:12" x14ac:dyDescent="0.2">
      <c r="A135" t="s">
        <v>23</v>
      </c>
      <c r="B135" t="s">
        <v>12</v>
      </c>
      <c r="C135">
        <v>38.700000000000003</v>
      </c>
      <c r="D135" t="s">
        <v>52</v>
      </c>
      <c r="E135" t="s">
        <v>22</v>
      </c>
      <c r="F135" t="s">
        <v>32</v>
      </c>
      <c r="G135" t="s">
        <v>16</v>
      </c>
      <c r="H135" t="s">
        <v>33</v>
      </c>
      <c r="I135" t="s">
        <v>18</v>
      </c>
      <c r="J135" t="s">
        <v>71</v>
      </c>
      <c r="K135" s="1">
        <v>0.54869978009259257</v>
      </c>
      <c r="L135">
        <f>YEAR(Coffe_sales[[#This Row],[Date]])</f>
        <v>2024</v>
      </c>
    </row>
    <row r="136" spans="1:12" x14ac:dyDescent="0.2">
      <c r="A136" t="s">
        <v>23</v>
      </c>
      <c r="B136" t="s">
        <v>12</v>
      </c>
      <c r="C136">
        <v>38.700000000000003</v>
      </c>
      <c r="D136" t="s">
        <v>31</v>
      </c>
      <c r="E136" t="s">
        <v>22</v>
      </c>
      <c r="F136" t="s">
        <v>32</v>
      </c>
      <c r="G136" t="s">
        <v>16</v>
      </c>
      <c r="H136" t="s">
        <v>33</v>
      </c>
      <c r="I136" t="s">
        <v>18</v>
      </c>
      <c r="J136" t="s">
        <v>71</v>
      </c>
      <c r="K136" s="1">
        <v>0.54944710648148143</v>
      </c>
      <c r="L136">
        <f>YEAR(Coffe_sales[[#This Row],[Date]])</f>
        <v>2024</v>
      </c>
    </row>
    <row r="137" spans="1:12" x14ac:dyDescent="0.2">
      <c r="A137" t="s">
        <v>36</v>
      </c>
      <c r="B137" t="s">
        <v>12</v>
      </c>
      <c r="C137">
        <v>33.799999999999997</v>
      </c>
      <c r="D137" t="s">
        <v>26</v>
      </c>
      <c r="E137" t="s">
        <v>22</v>
      </c>
      <c r="F137" t="s">
        <v>32</v>
      </c>
      <c r="G137" t="s">
        <v>16</v>
      </c>
      <c r="H137" t="s">
        <v>33</v>
      </c>
      <c r="I137" t="s">
        <v>18</v>
      </c>
      <c r="J137" t="s">
        <v>71</v>
      </c>
      <c r="K137" s="1">
        <v>0.61436662037037038</v>
      </c>
      <c r="L137">
        <f>YEAR(Coffe_sales[[#This Row],[Date]])</f>
        <v>2024</v>
      </c>
    </row>
    <row r="138" spans="1:12" x14ac:dyDescent="0.2">
      <c r="A138" t="s">
        <v>25</v>
      </c>
      <c r="B138" t="s">
        <v>12</v>
      </c>
      <c r="C138">
        <v>38.700000000000003</v>
      </c>
      <c r="D138" t="s">
        <v>13</v>
      </c>
      <c r="E138" t="s">
        <v>22</v>
      </c>
      <c r="F138" t="s">
        <v>32</v>
      </c>
      <c r="G138" t="s">
        <v>16</v>
      </c>
      <c r="H138" t="s">
        <v>33</v>
      </c>
      <c r="I138" t="s">
        <v>18</v>
      </c>
      <c r="J138" t="s">
        <v>71</v>
      </c>
      <c r="K138" s="1">
        <v>0.65785951388888886</v>
      </c>
      <c r="L138">
        <f>YEAR(Coffe_sales[[#This Row],[Date]])</f>
        <v>2024</v>
      </c>
    </row>
    <row r="139" spans="1:12" x14ac:dyDescent="0.2">
      <c r="A139" t="s">
        <v>25</v>
      </c>
      <c r="B139" t="s">
        <v>12</v>
      </c>
      <c r="C139">
        <v>33.799999999999997</v>
      </c>
      <c r="D139" t="s">
        <v>26</v>
      </c>
      <c r="E139" t="s">
        <v>22</v>
      </c>
      <c r="F139" t="s">
        <v>32</v>
      </c>
      <c r="G139" t="s">
        <v>16</v>
      </c>
      <c r="H139" t="s">
        <v>33</v>
      </c>
      <c r="I139" t="s">
        <v>18</v>
      </c>
      <c r="J139" t="s">
        <v>71</v>
      </c>
      <c r="K139" s="1">
        <v>0.65941913194444446</v>
      </c>
      <c r="L139">
        <f>YEAR(Coffe_sales[[#This Row],[Date]])</f>
        <v>2024</v>
      </c>
    </row>
    <row r="140" spans="1:12" x14ac:dyDescent="0.2">
      <c r="A140" t="s">
        <v>27</v>
      </c>
      <c r="B140" t="s">
        <v>12</v>
      </c>
      <c r="C140">
        <v>28.9</v>
      </c>
      <c r="D140" t="s">
        <v>41</v>
      </c>
      <c r="E140" t="s">
        <v>22</v>
      </c>
      <c r="F140" t="s">
        <v>32</v>
      </c>
      <c r="G140" t="s">
        <v>16</v>
      </c>
      <c r="H140" t="s">
        <v>33</v>
      </c>
      <c r="I140" t="s">
        <v>18</v>
      </c>
      <c r="J140" t="s">
        <v>71</v>
      </c>
      <c r="K140" s="1">
        <v>0.66734243055555553</v>
      </c>
      <c r="L140">
        <f>YEAR(Coffe_sales[[#This Row],[Date]])</f>
        <v>2024</v>
      </c>
    </row>
    <row r="141" spans="1:12" x14ac:dyDescent="0.2">
      <c r="A141" t="s">
        <v>28</v>
      </c>
      <c r="B141" t="s">
        <v>12</v>
      </c>
      <c r="C141">
        <v>38.700000000000003</v>
      </c>
      <c r="D141" t="s">
        <v>13</v>
      </c>
      <c r="E141" t="s">
        <v>29</v>
      </c>
      <c r="F141" t="s">
        <v>38</v>
      </c>
      <c r="G141" t="s">
        <v>16</v>
      </c>
      <c r="H141" t="s">
        <v>39</v>
      </c>
      <c r="I141" t="s">
        <v>18</v>
      </c>
      <c r="J141" t="s">
        <v>72</v>
      </c>
      <c r="K141" s="1">
        <v>0.78134718749999998</v>
      </c>
      <c r="L141">
        <f>YEAR(Coffe_sales[[#This Row],[Date]])</f>
        <v>2024</v>
      </c>
    </row>
    <row r="142" spans="1:12" x14ac:dyDescent="0.2">
      <c r="A142" t="s">
        <v>11</v>
      </c>
      <c r="B142" t="s">
        <v>12</v>
      </c>
      <c r="C142">
        <v>38.700000000000003</v>
      </c>
      <c r="D142" t="s">
        <v>13</v>
      </c>
      <c r="E142" t="s">
        <v>14</v>
      </c>
      <c r="F142" t="s">
        <v>42</v>
      </c>
      <c r="G142" t="s">
        <v>16</v>
      </c>
      <c r="H142" t="s">
        <v>43</v>
      </c>
      <c r="I142" t="s">
        <v>18</v>
      </c>
      <c r="J142" t="s">
        <v>73</v>
      </c>
      <c r="K142" s="1">
        <v>0.43874131944444444</v>
      </c>
      <c r="L142">
        <f>YEAR(Coffe_sales[[#This Row],[Date]])</f>
        <v>2024</v>
      </c>
    </row>
    <row r="143" spans="1:12" x14ac:dyDescent="0.2">
      <c r="A143" t="s">
        <v>36</v>
      </c>
      <c r="B143" t="s">
        <v>12</v>
      </c>
      <c r="C143">
        <v>38.700000000000003</v>
      </c>
      <c r="D143" t="s">
        <v>13</v>
      </c>
      <c r="E143" t="s">
        <v>22</v>
      </c>
      <c r="F143" t="s">
        <v>42</v>
      </c>
      <c r="G143" t="s">
        <v>16</v>
      </c>
      <c r="H143" t="s">
        <v>43</v>
      </c>
      <c r="I143" t="s">
        <v>18</v>
      </c>
      <c r="J143" t="s">
        <v>73</v>
      </c>
      <c r="K143" s="1">
        <v>0.60218938657407406</v>
      </c>
      <c r="L143">
        <f>YEAR(Coffe_sales[[#This Row],[Date]])</f>
        <v>2024</v>
      </c>
    </row>
    <row r="144" spans="1:12" x14ac:dyDescent="0.2">
      <c r="A144" t="s">
        <v>36</v>
      </c>
      <c r="B144" t="s">
        <v>12</v>
      </c>
      <c r="C144">
        <v>38.700000000000003</v>
      </c>
      <c r="D144" t="s">
        <v>13</v>
      </c>
      <c r="E144" t="s">
        <v>22</v>
      </c>
      <c r="F144" t="s">
        <v>42</v>
      </c>
      <c r="G144" t="s">
        <v>16</v>
      </c>
      <c r="H144" t="s">
        <v>43</v>
      </c>
      <c r="I144" t="s">
        <v>18</v>
      </c>
      <c r="J144" t="s">
        <v>73</v>
      </c>
      <c r="K144" s="1">
        <v>0.60376554398148152</v>
      </c>
      <c r="L144">
        <f>YEAR(Coffe_sales[[#This Row],[Date]])</f>
        <v>2024</v>
      </c>
    </row>
    <row r="145" spans="1:12" x14ac:dyDescent="0.2">
      <c r="A145" t="s">
        <v>28</v>
      </c>
      <c r="B145" t="s">
        <v>12</v>
      </c>
      <c r="C145">
        <v>33.799999999999997</v>
      </c>
      <c r="D145" t="s">
        <v>26</v>
      </c>
      <c r="E145" t="s">
        <v>29</v>
      </c>
      <c r="F145" t="s">
        <v>42</v>
      </c>
      <c r="G145" t="s">
        <v>16</v>
      </c>
      <c r="H145" t="s">
        <v>43</v>
      </c>
      <c r="I145" t="s">
        <v>18</v>
      </c>
      <c r="J145" t="s">
        <v>73</v>
      </c>
      <c r="K145" s="1">
        <v>0.77604918981481485</v>
      </c>
      <c r="L145">
        <f>YEAR(Coffe_sales[[#This Row],[Date]])</f>
        <v>2024</v>
      </c>
    </row>
    <row r="146" spans="1:12" x14ac:dyDescent="0.2">
      <c r="A146" t="s">
        <v>30</v>
      </c>
      <c r="B146" t="s">
        <v>12</v>
      </c>
      <c r="C146">
        <v>38.700000000000003</v>
      </c>
      <c r="D146" t="s">
        <v>52</v>
      </c>
      <c r="E146" t="s">
        <v>29</v>
      </c>
      <c r="F146" t="s">
        <v>42</v>
      </c>
      <c r="G146" t="s">
        <v>16</v>
      </c>
      <c r="H146" t="s">
        <v>43</v>
      </c>
      <c r="I146" t="s">
        <v>18</v>
      </c>
      <c r="J146" t="s">
        <v>73</v>
      </c>
      <c r="K146" s="1">
        <v>0.81556182870370375</v>
      </c>
      <c r="L146">
        <f>YEAR(Coffe_sales[[#This Row],[Date]])</f>
        <v>2024</v>
      </c>
    </row>
    <row r="147" spans="1:12" x14ac:dyDescent="0.2">
      <c r="A147" t="s">
        <v>11</v>
      </c>
      <c r="B147" t="s">
        <v>12</v>
      </c>
      <c r="C147">
        <v>38.700000000000003</v>
      </c>
      <c r="D147" t="s">
        <v>31</v>
      </c>
      <c r="E147" t="s">
        <v>14</v>
      </c>
      <c r="F147" t="s">
        <v>47</v>
      </c>
      <c r="G147" t="s">
        <v>16</v>
      </c>
      <c r="H147" t="s">
        <v>48</v>
      </c>
      <c r="I147" t="s">
        <v>18</v>
      </c>
      <c r="J147" t="s">
        <v>74</v>
      </c>
      <c r="K147" s="1">
        <v>0.44154721064814817</v>
      </c>
      <c r="L147">
        <f>YEAR(Coffe_sales[[#This Row],[Date]])</f>
        <v>2024</v>
      </c>
    </row>
    <row r="148" spans="1:12" x14ac:dyDescent="0.2">
      <c r="A148" t="s">
        <v>11</v>
      </c>
      <c r="B148" t="s">
        <v>12</v>
      </c>
      <c r="C148">
        <v>38.700000000000003</v>
      </c>
      <c r="D148" t="s">
        <v>13</v>
      </c>
      <c r="E148" t="s">
        <v>14</v>
      </c>
      <c r="F148" t="s">
        <v>47</v>
      </c>
      <c r="G148" t="s">
        <v>16</v>
      </c>
      <c r="H148" t="s">
        <v>48</v>
      </c>
      <c r="I148" t="s">
        <v>18</v>
      </c>
      <c r="J148" t="s">
        <v>74</v>
      </c>
      <c r="K148" s="1">
        <v>0.44208508101851851</v>
      </c>
      <c r="L148">
        <f>YEAR(Coffe_sales[[#This Row],[Date]])</f>
        <v>2024</v>
      </c>
    </row>
    <row r="149" spans="1:12" x14ac:dyDescent="0.2">
      <c r="A149" t="s">
        <v>11</v>
      </c>
      <c r="B149" t="s">
        <v>12</v>
      </c>
      <c r="C149">
        <v>38.700000000000003</v>
      </c>
      <c r="D149" t="s">
        <v>13</v>
      </c>
      <c r="E149" t="s">
        <v>14</v>
      </c>
      <c r="F149" t="s">
        <v>47</v>
      </c>
      <c r="G149" t="s">
        <v>16</v>
      </c>
      <c r="H149" t="s">
        <v>48</v>
      </c>
      <c r="I149" t="s">
        <v>18</v>
      </c>
      <c r="J149" t="s">
        <v>74</v>
      </c>
      <c r="K149" s="1">
        <v>0.44618252314814816</v>
      </c>
      <c r="L149">
        <f>YEAR(Coffe_sales[[#This Row],[Date]])</f>
        <v>2024</v>
      </c>
    </row>
    <row r="150" spans="1:12" x14ac:dyDescent="0.2">
      <c r="A150" t="s">
        <v>35</v>
      </c>
      <c r="B150" t="s">
        <v>12</v>
      </c>
      <c r="C150">
        <v>28.9</v>
      </c>
      <c r="D150" t="s">
        <v>41</v>
      </c>
      <c r="E150" t="s">
        <v>14</v>
      </c>
      <c r="F150" t="s">
        <v>47</v>
      </c>
      <c r="G150" t="s">
        <v>16</v>
      </c>
      <c r="H150" t="s">
        <v>48</v>
      </c>
      <c r="I150" t="s">
        <v>18</v>
      </c>
      <c r="J150" t="s">
        <v>74</v>
      </c>
      <c r="K150" s="1">
        <v>0.4665200810185185</v>
      </c>
      <c r="L150">
        <f>YEAR(Coffe_sales[[#This Row],[Date]])</f>
        <v>2024</v>
      </c>
    </row>
    <row r="151" spans="1:12" x14ac:dyDescent="0.2">
      <c r="A151" t="s">
        <v>23</v>
      </c>
      <c r="B151" t="s">
        <v>12</v>
      </c>
      <c r="C151">
        <v>28.9</v>
      </c>
      <c r="D151" t="s">
        <v>24</v>
      </c>
      <c r="E151" t="s">
        <v>22</v>
      </c>
      <c r="F151" t="s">
        <v>47</v>
      </c>
      <c r="G151" t="s">
        <v>16</v>
      </c>
      <c r="H151" t="s">
        <v>48</v>
      </c>
      <c r="I151" t="s">
        <v>18</v>
      </c>
      <c r="J151" t="s">
        <v>74</v>
      </c>
      <c r="K151" s="1">
        <v>0.56658302083333334</v>
      </c>
      <c r="L151">
        <f>YEAR(Coffe_sales[[#This Row],[Date]])</f>
        <v>2024</v>
      </c>
    </row>
    <row r="152" spans="1:12" x14ac:dyDescent="0.2">
      <c r="A152" t="s">
        <v>23</v>
      </c>
      <c r="B152" t="s">
        <v>12</v>
      </c>
      <c r="C152">
        <v>28.9</v>
      </c>
      <c r="D152" t="s">
        <v>41</v>
      </c>
      <c r="E152" t="s">
        <v>22</v>
      </c>
      <c r="F152" t="s">
        <v>47</v>
      </c>
      <c r="G152" t="s">
        <v>16</v>
      </c>
      <c r="H152" t="s">
        <v>48</v>
      </c>
      <c r="I152" t="s">
        <v>18</v>
      </c>
      <c r="J152" t="s">
        <v>74</v>
      </c>
      <c r="K152" s="1">
        <v>0.56724125000000003</v>
      </c>
      <c r="L152">
        <f>YEAR(Coffe_sales[[#This Row],[Date]])</f>
        <v>2024</v>
      </c>
    </row>
    <row r="153" spans="1:12" x14ac:dyDescent="0.2">
      <c r="A153" t="s">
        <v>23</v>
      </c>
      <c r="B153" t="s">
        <v>12</v>
      </c>
      <c r="C153">
        <v>28.9</v>
      </c>
      <c r="D153" t="s">
        <v>41</v>
      </c>
      <c r="E153" t="s">
        <v>22</v>
      </c>
      <c r="F153" t="s">
        <v>47</v>
      </c>
      <c r="G153" t="s">
        <v>16</v>
      </c>
      <c r="H153" t="s">
        <v>48</v>
      </c>
      <c r="I153" t="s">
        <v>18</v>
      </c>
      <c r="J153" t="s">
        <v>74</v>
      </c>
      <c r="K153" s="1">
        <v>0.56805234953703698</v>
      </c>
      <c r="L153">
        <f>YEAR(Coffe_sales[[#This Row],[Date]])</f>
        <v>2024</v>
      </c>
    </row>
    <row r="154" spans="1:12" x14ac:dyDescent="0.2">
      <c r="A154" t="s">
        <v>23</v>
      </c>
      <c r="B154" t="s">
        <v>12</v>
      </c>
      <c r="C154">
        <v>28.9</v>
      </c>
      <c r="D154" t="s">
        <v>24</v>
      </c>
      <c r="E154" t="s">
        <v>22</v>
      </c>
      <c r="F154" t="s">
        <v>47</v>
      </c>
      <c r="G154" t="s">
        <v>16</v>
      </c>
      <c r="H154" t="s">
        <v>48</v>
      </c>
      <c r="I154" t="s">
        <v>18</v>
      </c>
      <c r="J154" t="s">
        <v>74</v>
      </c>
      <c r="K154" s="1">
        <v>0.58187126157407409</v>
      </c>
      <c r="L154">
        <f>YEAR(Coffe_sales[[#This Row],[Date]])</f>
        <v>2024</v>
      </c>
    </row>
    <row r="155" spans="1:12" x14ac:dyDescent="0.2">
      <c r="A155" t="s">
        <v>25</v>
      </c>
      <c r="B155" t="s">
        <v>12</v>
      </c>
      <c r="C155">
        <v>38.700000000000003</v>
      </c>
      <c r="D155" t="s">
        <v>13</v>
      </c>
      <c r="E155" t="s">
        <v>22</v>
      </c>
      <c r="F155" t="s">
        <v>47</v>
      </c>
      <c r="G155" t="s">
        <v>16</v>
      </c>
      <c r="H155" t="s">
        <v>48</v>
      </c>
      <c r="I155" t="s">
        <v>18</v>
      </c>
      <c r="J155" t="s">
        <v>74</v>
      </c>
      <c r="K155" s="1">
        <v>0.65835960648148151</v>
      </c>
      <c r="L155">
        <f>YEAR(Coffe_sales[[#This Row],[Date]])</f>
        <v>2024</v>
      </c>
    </row>
    <row r="156" spans="1:12" x14ac:dyDescent="0.2">
      <c r="A156" t="s">
        <v>28</v>
      </c>
      <c r="B156" t="s">
        <v>12</v>
      </c>
      <c r="C156">
        <v>38.700000000000003</v>
      </c>
      <c r="D156" t="s">
        <v>13</v>
      </c>
      <c r="E156" t="s">
        <v>29</v>
      </c>
      <c r="F156" t="s">
        <v>47</v>
      </c>
      <c r="G156" t="s">
        <v>16</v>
      </c>
      <c r="H156" t="s">
        <v>48</v>
      </c>
      <c r="I156" t="s">
        <v>18</v>
      </c>
      <c r="J156" t="s">
        <v>74</v>
      </c>
      <c r="K156" s="1">
        <v>0.77336305555555551</v>
      </c>
      <c r="L156">
        <f>YEAR(Coffe_sales[[#This Row],[Date]])</f>
        <v>2024</v>
      </c>
    </row>
    <row r="157" spans="1:12" x14ac:dyDescent="0.2">
      <c r="A157" t="s">
        <v>28</v>
      </c>
      <c r="B157" t="s">
        <v>12</v>
      </c>
      <c r="C157">
        <v>38.700000000000003</v>
      </c>
      <c r="D157" t="s">
        <v>21</v>
      </c>
      <c r="E157" t="s">
        <v>29</v>
      </c>
      <c r="F157" t="s">
        <v>47</v>
      </c>
      <c r="G157" t="s">
        <v>16</v>
      </c>
      <c r="H157" t="s">
        <v>48</v>
      </c>
      <c r="I157" t="s">
        <v>18</v>
      </c>
      <c r="J157" t="s">
        <v>74</v>
      </c>
      <c r="K157" s="1">
        <v>0.77424361111111106</v>
      </c>
      <c r="L157">
        <f>YEAR(Coffe_sales[[#This Row],[Date]])</f>
        <v>2024</v>
      </c>
    </row>
    <row r="158" spans="1:12" x14ac:dyDescent="0.2">
      <c r="A158" t="s">
        <v>35</v>
      </c>
      <c r="B158" t="s">
        <v>12</v>
      </c>
      <c r="C158">
        <v>28.9</v>
      </c>
      <c r="D158" t="s">
        <v>41</v>
      </c>
      <c r="E158" t="s">
        <v>14</v>
      </c>
      <c r="F158" t="s">
        <v>50</v>
      </c>
      <c r="G158" t="s">
        <v>16</v>
      </c>
      <c r="H158" t="s">
        <v>18</v>
      </c>
      <c r="I158" t="s">
        <v>18</v>
      </c>
      <c r="J158" t="s">
        <v>75</v>
      </c>
      <c r="K158" s="1">
        <v>0.46170340277777777</v>
      </c>
      <c r="L158">
        <f>YEAR(Coffe_sales[[#This Row],[Date]])</f>
        <v>2024</v>
      </c>
    </row>
    <row r="159" spans="1:12" x14ac:dyDescent="0.2">
      <c r="A159" t="s">
        <v>35</v>
      </c>
      <c r="B159" t="s">
        <v>12</v>
      </c>
      <c r="C159">
        <v>33.799999999999997</v>
      </c>
      <c r="D159" t="s">
        <v>26</v>
      </c>
      <c r="E159" t="s">
        <v>14</v>
      </c>
      <c r="F159" t="s">
        <v>50</v>
      </c>
      <c r="G159" t="s">
        <v>16</v>
      </c>
      <c r="H159" t="s">
        <v>18</v>
      </c>
      <c r="I159" t="s">
        <v>18</v>
      </c>
      <c r="J159" t="s">
        <v>75</v>
      </c>
      <c r="K159" s="1">
        <v>0.46247958333333333</v>
      </c>
      <c r="L159">
        <f>YEAR(Coffe_sales[[#This Row],[Date]])</f>
        <v>2024</v>
      </c>
    </row>
    <row r="160" spans="1:12" x14ac:dyDescent="0.2">
      <c r="A160" t="s">
        <v>20</v>
      </c>
      <c r="B160" t="s">
        <v>12</v>
      </c>
      <c r="C160">
        <v>33.799999999999997</v>
      </c>
      <c r="D160" t="s">
        <v>26</v>
      </c>
      <c r="E160" t="s">
        <v>22</v>
      </c>
      <c r="F160" t="s">
        <v>50</v>
      </c>
      <c r="G160" t="s">
        <v>16</v>
      </c>
      <c r="H160" t="s">
        <v>18</v>
      </c>
      <c r="I160" t="s">
        <v>18</v>
      </c>
      <c r="J160" t="s">
        <v>75</v>
      </c>
      <c r="K160" s="1">
        <v>0.53958868055555553</v>
      </c>
      <c r="L160">
        <f>YEAR(Coffe_sales[[#This Row],[Date]])</f>
        <v>2024</v>
      </c>
    </row>
    <row r="161" spans="1:12" x14ac:dyDescent="0.2">
      <c r="A161" t="s">
        <v>23</v>
      </c>
      <c r="B161" t="s">
        <v>12</v>
      </c>
      <c r="C161">
        <v>38.700000000000003</v>
      </c>
      <c r="D161" t="s">
        <v>21</v>
      </c>
      <c r="E161" t="s">
        <v>22</v>
      </c>
      <c r="F161" t="s">
        <v>50</v>
      </c>
      <c r="G161" t="s">
        <v>16</v>
      </c>
      <c r="H161" t="s">
        <v>18</v>
      </c>
      <c r="I161" t="s">
        <v>18</v>
      </c>
      <c r="J161" t="s">
        <v>75</v>
      </c>
      <c r="K161" s="1">
        <v>0.56620415509259259</v>
      </c>
      <c r="L161">
        <f>YEAR(Coffe_sales[[#This Row],[Date]])</f>
        <v>2024</v>
      </c>
    </row>
    <row r="162" spans="1:12" x14ac:dyDescent="0.2">
      <c r="A162" t="s">
        <v>36</v>
      </c>
      <c r="B162" t="s">
        <v>12</v>
      </c>
      <c r="C162">
        <v>38.700000000000003</v>
      </c>
      <c r="D162" t="s">
        <v>52</v>
      </c>
      <c r="E162" t="s">
        <v>22</v>
      </c>
      <c r="F162" t="s">
        <v>50</v>
      </c>
      <c r="G162" t="s">
        <v>16</v>
      </c>
      <c r="H162" t="s">
        <v>18</v>
      </c>
      <c r="I162" t="s">
        <v>18</v>
      </c>
      <c r="J162" t="s">
        <v>75</v>
      </c>
      <c r="K162" s="1">
        <v>0.59897756944444447</v>
      </c>
      <c r="L162">
        <f>YEAR(Coffe_sales[[#This Row],[Date]])</f>
        <v>2024</v>
      </c>
    </row>
    <row r="163" spans="1:12" x14ac:dyDescent="0.2">
      <c r="A163" t="s">
        <v>36</v>
      </c>
      <c r="B163" t="s">
        <v>12</v>
      </c>
      <c r="C163">
        <v>28.9</v>
      </c>
      <c r="D163" t="s">
        <v>24</v>
      </c>
      <c r="E163" t="s">
        <v>22</v>
      </c>
      <c r="F163" t="s">
        <v>50</v>
      </c>
      <c r="G163" t="s">
        <v>16</v>
      </c>
      <c r="H163" t="s">
        <v>18</v>
      </c>
      <c r="I163" t="s">
        <v>18</v>
      </c>
      <c r="J163" t="s">
        <v>75</v>
      </c>
      <c r="K163" s="1">
        <v>0.59971504629629635</v>
      </c>
      <c r="L163">
        <f>YEAR(Coffe_sales[[#This Row],[Date]])</f>
        <v>2024</v>
      </c>
    </row>
    <row r="164" spans="1:12" x14ac:dyDescent="0.2">
      <c r="A164" t="s">
        <v>28</v>
      </c>
      <c r="B164" t="s">
        <v>12</v>
      </c>
      <c r="C164">
        <v>28.9</v>
      </c>
      <c r="D164" t="s">
        <v>41</v>
      </c>
      <c r="E164" t="s">
        <v>29</v>
      </c>
      <c r="F164" t="s">
        <v>50</v>
      </c>
      <c r="G164" t="s">
        <v>16</v>
      </c>
      <c r="H164" t="s">
        <v>18</v>
      </c>
      <c r="I164" t="s">
        <v>18</v>
      </c>
      <c r="J164" t="s">
        <v>75</v>
      </c>
      <c r="K164" s="1">
        <v>0.77097028935185186</v>
      </c>
      <c r="L164">
        <f>YEAR(Coffe_sales[[#This Row],[Date]])</f>
        <v>2024</v>
      </c>
    </row>
    <row r="165" spans="1:12" x14ac:dyDescent="0.2">
      <c r="A165" t="s">
        <v>36</v>
      </c>
      <c r="B165" t="s">
        <v>12</v>
      </c>
      <c r="C165">
        <v>28.9</v>
      </c>
      <c r="D165" t="s">
        <v>41</v>
      </c>
      <c r="E165" t="s">
        <v>22</v>
      </c>
      <c r="F165" t="s">
        <v>53</v>
      </c>
      <c r="G165" t="s">
        <v>16</v>
      </c>
      <c r="H165" t="s">
        <v>54</v>
      </c>
      <c r="I165" t="s">
        <v>18</v>
      </c>
      <c r="J165" t="s">
        <v>76</v>
      </c>
      <c r="K165" s="1">
        <v>0.60054504629629635</v>
      </c>
      <c r="L165">
        <f>YEAR(Coffe_sales[[#This Row],[Date]])</f>
        <v>2024</v>
      </c>
    </row>
    <row r="166" spans="1:12" x14ac:dyDescent="0.2">
      <c r="A166" t="s">
        <v>37</v>
      </c>
      <c r="B166" t="s">
        <v>12</v>
      </c>
      <c r="C166">
        <v>28.9</v>
      </c>
      <c r="D166" t="s">
        <v>41</v>
      </c>
      <c r="E166" t="s">
        <v>29</v>
      </c>
      <c r="F166" t="s">
        <v>53</v>
      </c>
      <c r="G166" t="s">
        <v>16</v>
      </c>
      <c r="H166" t="s">
        <v>54</v>
      </c>
      <c r="I166" t="s">
        <v>18</v>
      </c>
      <c r="J166" t="s">
        <v>76</v>
      </c>
      <c r="K166" s="1">
        <v>0.72553523148148147</v>
      </c>
      <c r="L166">
        <f>YEAR(Coffe_sales[[#This Row],[Date]])</f>
        <v>2024</v>
      </c>
    </row>
    <row r="167" spans="1:12" x14ac:dyDescent="0.2">
      <c r="A167" t="s">
        <v>37</v>
      </c>
      <c r="B167" t="s">
        <v>12</v>
      </c>
      <c r="C167">
        <v>28.9</v>
      </c>
      <c r="D167" t="s">
        <v>24</v>
      </c>
      <c r="E167" t="s">
        <v>29</v>
      </c>
      <c r="F167" t="s">
        <v>53</v>
      </c>
      <c r="G167" t="s">
        <v>16</v>
      </c>
      <c r="H167" t="s">
        <v>54</v>
      </c>
      <c r="I167" t="s">
        <v>18</v>
      </c>
      <c r="J167" t="s">
        <v>76</v>
      </c>
      <c r="K167" s="1">
        <v>0.72714472222222226</v>
      </c>
      <c r="L167">
        <f>YEAR(Coffe_sales[[#This Row],[Date]])</f>
        <v>2024</v>
      </c>
    </row>
    <row r="168" spans="1:12" x14ac:dyDescent="0.2">
      <c r="A168" t="s">
        <v>37</v>
      </c>
      <c r="B168" t="s">
        <v>12</v>
      </c>
      <c r="C168">
        <v>38.700000000000003</v>
      </c>
      <c r="D168" t="s">
        <v>13</v>
      </c>
      <c r="E168" t="s">
        <v>29</v>
      </c>
      <c r="F168" t="s">
        <v>53</v>
      </c>
      <c r="G168" t="s">
        <v>16</v>
      </c>
      <c r="H168" t="s">
        <v>54</v>
      </c>
      <c r="I168" t="s">
        <v>18</v>
      </c>
      <c r="J168" t="s">
        <v>76</v>
      </c>
      <c r="K168" s="1">
        <v>0.73107236111111107</v>
      </c>
      <c r="L168">
        <f>YEAR(Coffe_sales[[#This Row],[Date]])</f>
        <v>2024</v>
      </c>
    </row>
    <row r="169" spans="1:12" x14ac:dyDescent="0.2">
      <c r="A169" t="s">
        <v>11</v>
      </c>
      <c r="B169" t="s">
        <v>12</v>
      </c>
      <c r="C169">
        <v>38.700000000000003</v>
      </c>
      <c r="D169" t="s">
        <v>13</v>
      </c>
      <c r="E169" t="s">
        <v>14</v>
      </c>
      <c r="F169" t="s">
        <v>15</v>
      </c>
      <c r="G169" t="s">
        <v>16</v>
      </c>
      <c r="H169" t="s">
        <v>17</v>
      </c>
      <c r="I169" t="s">
        <v>18</v>
      </c>
      <c r="J169" t="s">
        <v>77</v>
      </c>
      <c r="K169" s="1">
        <v>0.45578119212962964</v>
      </c>
      <c r="L169">
        <f>YEAR(Coffe_sales[[#This Row],[Date]])</f>
        <v>2024</v>
      </c>
    </row>
    <row r="170" spans="1:12" x14ac:dyDescent="0.2">
      <c r="A170" t="s">
        <v>20</v>
      </c>
      <c r="B170" t="s">
        <v>12</v>
      </c>
      <c r="C170">
        <v>38.700000000000003</v>
      </c>
      <c r="D170" t="s">
        <v>52</v>
      </c>
      <c r="E170" t="s">
        <v>22</v>
      </c>
      <c r="F170" t="s">
        <v>15</v>
      </c>
      <c r="G170" t="s">
        <v>16</v>
      </c>
      <c r="H170" t="s">
        <v>17</v>
      </c>
      <c r="I170" t="s">
        <v>18</v>
      </c>
      <c r="J170" t="s">
        <v>77</v>
      </c>
      <c r="K170" s="1">
        <v>0.5238123032407408</v>
      </c>
      <c r="L170">
        <f>YEAR(Coffe_sales[[#This Row],[Date]])</f>
        <v>2024</v>
      </c>
    </row>
    <row r="171" spans="1:12" x14ac:dyDescent="0.2">
      <c r="A171" t="s">
        <v>20</v>
      </c>
      <c r="B171" t="s">
        <v>12</v>
      </c>
      <c r="C171">
        <v>38.700000000000003</v>
      </c>
      <c r="D171" t="s">
        <v>52</v>
      </c>
      <c r="E171" t="s">
        <v>22</v>
      </c>
      <c r="F171" t="s">
        <v>15</v>
      </c>
      <c r="G171" t="s">
        <v>16</v>
      </c>
      <c r="H171" t="s">
        <v>17</v>
      </c>
      <c r="I171" t="s">
        <v>18</v>
      </c>
      <c r="J171" t="s">
        <v>77</v>
      </c>
      <c r="K171" s="1">
        <v>0.52884403935185187</v>
      </c>
      <c r="L171">
        <f>YEAR(Coffe_sales[[#This Row],[Date]])</f>
        <v>2024</v>
      </c>
    </row>
    <row r="172" spans="1:12" x14ac:dyDescent="0.2">
      <c r="A172" t="s">
        <v>35</v>
      </c>
      <c r="B172" t="s">
        <v>12</v>
      </c>
      <c r="C172">
        <v>38.700000000000003</v>
      </c>
      <c r="D172" t="s">
        <v>13</v>
      </c>
      <c r="E172" t="s">
        <v>14</v>
      </c>
      <c r="F172" t="s">
        <v>32</v>
      </c>
      <c r="G172" t="s">
        <v>16</v>
      </c>
      <c r="H172" t="s">
        <v>33</v>
      </c>
      <c r="I172" t="s">
        <v>18</v>
      </c>
      <c r="J172" t="s">
        <v>78</v>
      </c>
      <c r="K172" s="1">
        <v>0.4995353472222222</v>
      </c>
      <c r="L172">
        <f>YEAR(Coffe_sales[[#This Row],[Date]])</f>
        <v>2024</v>
      </c>
    </row>
    <row r="173" spans="1:12" x14ac:dyDescent="0.2">
      <c r="A173" t="s">
        <v>27</v>
      </c>
      <c r="B173" t="s">
        <v>12</v>
      </c>
      <c r="C173">
        <v>38.700000000000003</v>
      </c>
      <c r="D173" t="s">
        <v>13</v>
      </c>
      <c r="E173" t="s">
        <v>22</v>
      </c>
      <c r="F173" t="s">
        <v>32</v>
      </c>
      <c r="G173" t="s">
        <v>16</v>
      </c>
      <c r="H173" t="s">
        <v>33</v>
      </c>
      <c r="I173" t="s">
        <v>18</v>
      </c>
      <c r="J173" t="s">
        <v>78</v>
      </c>
      <c r="K173" s="1">
        <v>0.67536789351851856</v>
      </c>
      <c r="L173">
        <f>YEAR(Coffe_sales[[#This Row],[Date]])</f>
        <v>2024</v>
      </c>
    </row>
    <row r="174" spans="1:12" x14ac:dyDescent="0.2">
      <c r="A174" t="s">
        <v>27</v>
      </c>
      <c r="B174" t="s">
        <v>12</v>
      </c>
      <c r="C174">
        <v>38.700000000000003</v>
      </c>
      <c r="D174" t="s">
        <v>13</v>
      </c>
      <c r="E174" t="s">
        <v>22</v>
      </c>
      <c r="F174" t="s">
        <v>32</v>
      </c>
      <c r="G174" t="s">
        <v>16</v>
      </c>
      <c r="H174" t="s">
        <v>33</v>
      </c>
      <c r="I174" t="s">
        <v>18</v>
      </c>
      <c r="J174" t="s">
        <v>78</v>
      </c>
      <c r="K174" s="1">
        <v>0.69213556712962965</v>
      </c>
      <c r="L174">
        <f>YEAR(Coffe_sales[[#This Row],[Date]])</f>
        <v>2024</v>
      </c>
    </row>
    <row r="175" spans="1:12" x14ac:dyDescent="0.2">
      <c r="A175" t="s">
        <v>27</v>
      </c>
      <c r="B175" t="s">
        <v>12</v>
      </c>
      <c r="C175">
        <v>33.799999999999997</v>
      </c>
      <c r="D175" t="s">
        <v>26</v>
      </c>
      <c r="E175" t="s">
        <v>22</v>
      </c>
      <c r="F175" t="s">
        <v>32</v>
      </c>
      <c r="G175" t="s">
        <v>16</v>
      </c>
      <c r="H175" t="s">
        <v>33</v>
      </c>
      <c r="I175" t="s">
        <v>18</v>
      </c>
      <c r="J175" t="s">
        <v>78</v>
      </c>
      <c r="K175" s="1">
        <v>0.69302723379629627</v>
      </c>
      <c r="L175">
        <f>YEAR(Coffe_sales[[#This Row],[Date]])</f>
        <v>2024</v>
      </c>
    </row>
    <row r="176" spans="1:12" x14ac:dyDescent="0.2">
      <c r="A176" t="s">
        <v>11</v>
      </c>
      <c r="B176" t="s">
        <v>12</v>
      </c>
      <c r="C176">
        <v>38.700000000000003</v>
      </c>
      <c r="D176" t="s">
        <v>52</v>
      </c>
      <c r="E176" t="s">
        <v>14</v>
      </c>
      <c r="F176" t="s">
        <v>38</v>
      </c>
      <c r="G176" t="s">
        <v>16</v>
      </c>
      <c r="H176" t="s">
        <v>39</v>
      </c>
      <c r="I176" t="s">
        <v>18</v>
      </c>
      <c r="J176" t="s">
        <v>79</v>
      </c>
      <c r="K176" s="1">
        <v>0.44449679398148151</v>
      </c>
      <c r="L176">
        <f>YEAR(Coffe_sales[[#This Row],[Date]])</f>
        <v>2024</v>
      </c>
    </row>
    <row r="177" spans="1:12" x14ac:dyDescent="0.2">
      <c r="A177" t="s">
        <v>11</v>
      </c>
      <c r="B177" t="s">
        <v>12</v>
      </c>
      <c r="C177">
        <v>28.9</v>
      </c>
      <c r="D177" t="s">
        <v>24</v>
      </c>
      <c r="E177" t="s">
        <v>14</v>
      </c>
      <c r="F177" t="s">
        <v>42</v>
      </c>
      <c r="G177" t="s">
        <v>80</v>
      </c>
      <c r="H177" t="s">
        <v>43</v>
      </c>
      <c r="I177" t="s">
        <v>54</v>
      </c>
      <c r="J177" t="s">
        <v>81</v>
      </c>
      <c r="K177" s="1">
        <v>0.43666204861111113</v>
      </c>
      <c r="L177">
        <f>YEAR(Coffe_sales[[#This Row],[Date]])</f>
        <v>2024</v>
      </c>
    </row>
    <row r="178" spans="1:12" x14ac:dyDescent="0.2">
      <c r="A178" t="s">
        <v>11</v>
      </c>
      <c r="B178" t="s">
        <v>12</v>
      </c>
      <c r="C178">
        <v>33.799999999999997</v>
      </c>
      <c r="D178" t="s">
        <v>26</v>
      </c>
      <c r="E178" t="s">
        <v>14</v>
      </c>
      <c r="F178" t="s">
        <v>42</v>
      </c>
      <c r="G178" t="s">
        <v>80</v>
      </c>
      <c r="H178" t="s">
        <v>43</v>
      </c>
      <c r="I178" t="s">
        <v>54</v>
      </c>
      <c r="J178" t="s">
        <v>81</v>
      </c>
      <c r="K178" s="1">
        <v>0.43729534722222224</v>
      </c>
      <c r="L178">
        <f>YEAR(Coffe_sales[[#This Row],[Date]])</f>
        <v>2024</v>
      </c>
    </row>
    <row r="179" spans="1:12" x14ac:dyDescent="0.2">
      <c r="A179" t="s">
        <v>11</v>
      </c>
      <c r="B179" t="s">
        <v>12</v>
      </c>
      <c r="C179">
        <v>33.799999999999997</v>
      </c>
      <c r="D179" t="s">
        <v>26</v>
      </c>
      <c r="E179" t="s">
        <v>14</v>
      </c>
      <c r="F179" t="s">
        <v>42</v>
      </c>
      <c r="G179" t="s">
        <v>80</v>
      </c>
      <c r="H179" t="s">
        <v>43</v>
      </c>
      <c r="I179" t="s">
        <v>54</v>
      </c>
      <c r="J179" t="s">
        <v>81</v>
      </c>
      <c r="K179" s="1">
        <v>0.43800619212962966</v>
      </c>
      <c r="L179">
        <f>YEAR(Coffe_sales[[#This Row],[Date]])</f>
        <v>2024</v>
      </c>
    </row>
    <row r="180" spans="1:12" x14ac:dyDescent="0.2">
      <c r="A180" t="s">
        <v>35</v>
      </c>
      <c r="B180" t="s">
        <v>12</v>
      </c>
      <c r="C180">
        <v>33.799999999999997</v>
      </c>
      <c r="D180" t="s">
        <v>26</v>
      </c>
      <c r="E180" t="s">
        <v>14</v>
      </c>
      <c r="F180" t="s">
        <v>42</v>
      </c>
      <c r="G180" t="s">
        <v>80</v>
      </c>
      <c r="H180" t="s">
        <v>43</v>
      </c>
      <c r="I180" t="s">
        <v>54</v>
      </c>
      <c r="J180" t="s">
        <v>81</v>
      </c>
      <c r="K180" s="1">
        <v>0.4692573611111111</v>
      </c>
      <c r="L180">
        <f>YEAR(Coffe_sales[[#This Row],[Date]])</f>
        <v>2024</v>
      </c>
    </row>
    <row r="181" spans="1:12" x14ac:dyDescent="0.2">
      <c r="A181" t="s">
        <v>28</v>
      </c>
      <c r="B181" t="s">
        <v>12</v>
      </c>
      <c r="C181">
        <v>33.799999999999997</v>
      </c>
      <c r="D181" t="s">
        <v>26</v>
      </c>
      <c r="E181" t="s">
        <v>29</v>
      </c>
      <c r="F181" t="s">
        <v>42</v>
      </c>
      <c r="G181" t="s">
        <v>80</v>
      </c>
      <c r="H181" t="s">
        <v>43</v>
      </c>
      <c r="I181" t="s">
        <v>54</v>
      </c>
      <c r="J181" t="s">
        <v>81</v>
      </c>
      <c r="K181" s="1">
        <v>0.76299041666666667</v>
      </c>
      <c r="L181">
        <f>YEAR(Coffe_sales[[#This Row],[Date]])</f>
        <v>2024</v>
      </c>
    </row>
    <row r="182" spans="1:12" x14ac:dyDescent="0.2">
      <c r="A182" t="s">
        <v>28</v>
      </c>
      <c r="B182" t="s">
        <v>12</v>
      </c>
      <c r="C182">
        <v>38.700000000000003</v>
      </c>
      <c r="D182" t="s">
        <v>21</v>
      </c>
      <c r="E182" t="s">
        <v>29</v>
      </c>
      <c r="F182" t="s">
        <v>42</v>
      </c>
      <c r="G182" t="s">
        <v>80</v>
      </c>
      <c r="H182" t="s">
        <v>43</v>
      </c>
      <c r="I182" t="s">
        <v>54</v>
      </c>
      <c r="J182" t="s">
        <v>81</v>
      </c>
      <c r="K182" s="1">
        <v>0.78156754629629632</v>
      </c>
      <c r="L182">
        <f>YEAR(Coffe_sales[[#This Row],[Date]])</f>
        <v>2024</v>
      </c>
    </row>
    <row r="183" spans="1:12" x14ac:dyDescent="0.2">
      <c r="A183" t="s">
        <v>11</v>
      </c>
      <c r="B183" t="s">
        <v>12</v>
      </c>
      <c r="C183">
        <v>38.700000000000003</v>
      </c>
      <c r="D183" t="s">
        <v>13</v>
      </c>
      <c r="E183" t="s">
        <v>14</v>
      </c>
      <c r="F183" t="s">
        <v>47</v>
      </c>
      <c r="G183" t="s">
        <v>80</v>
      </c>
      <c r="H183" t="s">
        <v>48</v>
      </c>
      <c r="I183" t="s">
        <v>54</v>
      </c>
      <c r="J183" t="s">
        <v>82</v>
      </c>
      <c r="K183" s="1">
        <v>0.41752340277777777</v>
      </c>
      <c r="L183">
        <f>YEAR(Coffe_sales[[#This Row],[Date]])</f>
        <v>2024</v>
      </c>
    </row>
    <row r="184" spans="1:12" x14ac:dyDescent="0.2">
      <c r="A184" t="s">
        <v>27</v>
      </c>
      <c r="B184" t="s">
        <v>12</v>
      </c>
      <c r="C184">
        <v>28.9</v>
      </c>
      <c r="D184" t="s">
        <v>24</v>
      </c>
      <c r="E184" t="s">
        <v>22</v>
      </c>
      <c r="F184" t="s">
        <v>47</v>
      </c>
      <c r="G184" t="s">
        <v>80</v>
      </c>
      <c r="H184" t="s">
        <v>48</v>
      </c>
      <c r="I184" t="s">
        <v>54</v>
      </c>
      <c r="J184" t="s">
        <v>82</v>
      </c>
      <c r="K184" s="1">
        <v>0.67956214120370373</v>
      </c>
      <c r="L184">
        <f>YEAR(Coffe_sales[[#This Row],[Date]])</f>
        <v>2024</v>
      </c>
    </row>
    <row r="185" spans="1:12" x14ac:dyDescent="0.2">
      <c r="A185" t="s">
        <v>27</v>
      </c>
      <c r="B185" t="s">
        <v>12</v>
      </c>
      <c r="C185">
        <v>28.9</v>
      </c>
      <c r="D185" t="s">
        <v>41</v>
      </c>
      <c r="E185" t="s">
        <v>22</v>
      </c>
      <c r="F185" t="s">
        <v>47</v>
      </c>
      <c r="G185" t="s">
        <v>80</v>
      </c>
      <c r="H185" t="s">
        <v>48</v>
      </c>
      <c r="I185" t="s">
        <v>54</v>
      </c>
      <c r="J185" t="s">
        <v>82</v>
      </c>
      <c r="K185" s="1">
        <v>0.68019050925925928</v>
      </c>
      <c r="L185">
        <f>YEAR(Coffe_sales[[#This Row],[Date]])</f>
        <v>2024</v>
      </c>
    </row>
    <row r="186" spans="1:12" x14ac:dyDescent="0.2">
      <c r="A186" t="s">
        <v>11</v>
      </c>
      <c r="B186" t="s">
        <v>12</v>
      </c>
      <c r="C186">
        <v>28.9</v>
      </c>
      <c r="D186" t="s">
        <v>41</v>
      </c>
      <c r="E186" t="s">
        <v>14</v>
      </c>
      <c r="F186" t="s">
        <v>50</v>
      </c>
      <c r="G186" t="s">
        <v>80</v>
      </c>
      <c r="H186" t="s">
        <v>18</v>
      </c>
      <c r="I186" t="s">
        <v>54</v>
      </c>
      <c r="J186" t="s">
        <v>83</v>
      </c>
      <c r="K186" s="1">
        <v>0.43001902777777778</v>
      </c>
      <c r="L186">
        <f>YEAR(Coffe_sales[[#This Row],[Date]])</f>
        <v>2024</v>
      </c>
    </row>
    <row r="187" spans="1:12" x14ac:dyDescent="0.2">
      <c r="A187" t="s">
        <v>11</v>
      </c>
      <c r="B187" t="s">
        <v>12</v>
      </c>
      <c r="C187">
        <v>28.9</v>
      </c>
      <c r="D187" t="s">
        <v>24</v>
      </c>
      <c r="E187" t="s">
        <v>14</v>
      </c>
      <c r="F187" t="s">
        <v>50</v>
      </c>
      <c r="G187" t="s">
        <v>80</v>
      </c>
      <c r="H187" t="s">
        <v>18</v>
      </c>
      <c r="I187" t="s">
        <v>54</v>
      </c>
      <c r="J187" t="s">
        <v>83</v>
      </c>
      <c r="K187" s="1">
        <v>0.43064415509259257</v>
      </c>
      <c r="L187">
        <f>YEAR(Coffe_sales[[#This Row],[Date]])</f>
        <v>2024</v>
      </c>
    </row>
    <row r="188" spans="1:12" x14ac:dyDescent="0.2">
      <c r="A188" t="s">
        <v>23</v>
      </c>
      <c r="B188" t="s">
        <v>12</v>
      </c>
      <c r="C188">
        <v>38.700000000000003</v>
      </c>
      <c r="D188" t="s">
        <v>52</v>
      </c>
      <c r="E188" t="s">
        <v>22</v>
      </c>
      <c r="F188" t="s">
        <v>50</v>
      </c>
      <c r="G188" t="s">
        <v>80</v>
      </c>
      <c r="H188" t="s">
        <v>18</v>
      </c>
      <c r="I188" t="s">
        <v>54</v>
      </c>
      <c r="J188" t="s">
        <v>83</v>
      </c>
      <c r="K188" s="1">
        <v>0.5500621180555556</v>
      </c>
      <c r="L188">
        <f>YEAR(Coffe_sales[[#This Row],[Date]])</f>
        <v>2024</v>
      </c>
    </row>
    <row r="189" spans="1:12" x14ac:dyDescent="0.2">
      <c r="A189" t="s">
        <v>11</v>
      </c>
      <c r="B189" t="s">
        <v>12</v>
      </c>
      <c r="C189">
        <v>38.700000000000003</v>
      </c>
      <c r="D189" t="s">
        <v>13</v>
      </c>
      <c r="E189" t="s">
        <v>14</v>
      </c>
      <c r="F189" t="s">
        <v>53</v>
      </c>
      <c r="G189" t="s">
        <v>80</v>
      </c>
      <c r="H189" t="s">
        <v>54</v>
      </c>
      <c r="I189" t="s">
        <v>54</v>
      </c>
      <c r="J189" t="s">
        <v>84</v>
      </c>
      <c r="K189" s="1">
        <v>0.44787023148148147</v>
      </c>
      <c r="L189">
        <f>YEAR(Coffe_sales[[#This Row],[Date]])</f>
        <v>2024</v>
      </c>
    </row>
    <row r="190" spans="1:12" x14ac:dyDescent="0.2">
      <c r="A190" t="s">
        <v>35</v>
      </c>
      <c r="B190" t="s">
        <v>12</v>
      </c>
      <c r="C190">
        <v>38.700000000000003</v>
      </c>
      <c r="D190" t="s">
        <v>13</v>
      </c>
      <c r="E190" t="s">
        <v>14</v>
      </c>
      <c r="F190" t="s">
        <v>53</v>
      </c>
      <c r="G190" t="s">
        <v>80</v>
      </c>
      <c r="H190" t="s">
        <v>54</v>
      </c>
      <c r="I190" t="s">
        <v>54</v>
      </c>
      <c r="J190" t="s">
        <v>84</v>
      </c>
      <c r="K190" s="1">
        <v>0.47682968749999999</v>
      </c>
      <c r="L190">
        <f>YEAR(Coffe_sales[[#This Row],[Date]])</f>
        <v>2024</v>
      </c>
    </row>
    <row r="191" spans="1:12" x14ac:dyDescent="0.2">
      <c r="A191" t="s">
        <v>35</v>
      </c>
      <c r="B191" t="s">
        <v>12</v>
      </c>
      <c r="C191">
        <v>38.700000000000003</v>
      </c>
      <c r="D191" t="s">
        <v>52</v>
      </c>
      <c r="E191" t="s">
        <v>14</v>
      </c>
      <c r="F191" t="s">
        <v>53</v>
      </c>
      <c r="G191" t="s">
        <v>80</v>
      </c>
      <c r="H191" t="s">
        <v>54</v>
      </c>
      <c r="I191" t="s">
        <v>54</v>
      </c>
      <c r="J191" t="s">
        <v>84</v>
      </c>
      <c r="K191" s="1">
        <v>0.47764364583333335</v>
      </c>
      <c r="L191">
        <f>YEAR(Coffe_sales[[#This Row],[Date]])</f>
        <v>2024</v>
      </c>
    </row>
    <row r="192" spans="1:12" x14ac:dyDescent="0.2">
      <c r="A192" t="s">
        <v>20</v>
      </c>
      <c r="B192" t="s">
        <v>12</v>
      </c>
      <c r="C192">
        <v>28.9</v>
      </c>
      <c r="D192" t="s">
        <v>41</v>
      </c>
      <c r="E192" t="s">
        <v>22</v>
      </c>
      <c r="F192" t="s">
        <v>53</v>
      </c>
      <c r="G192" t="s">
        <v>80</v>
      </c>
      <c r="H192" t="s">
        <v>54</v>
      </c>
      <c r="I192" t="s">
        <v>54</v>
      </c>
      <c r="J192" t="s">
        <v>84</v>
      </c>
      <c r="K192" s="1">
        <v>0.51599787037037037</v>
      </c>
      <c r="L192">
        <f>YEAR(Coffe_sales[[#This Row],[Date]])</f>
        <v>2024</v>
      </c>
    </row>
    <row r="193" spans="1:12" x14ac:dyDescent="0.2">
      <c r="A193" t="s">
        <v>11</v>
      </c>
      <c r="B193" t="s">
        <v>12</v>
      </c>
      <c r="C193">
        <v>28.9</v>
      </c>
      <c r="D193" t="s">
        <v>24</v>
      </c>
      <c r="E193" t="s">
        <v>14</v>
      </c>
      <c r="F193" t="s">
        <v>15</v>
      </c>
      <c r="G193" t="s">
        <v>80</v>
      </c>
      <c r="H193" t="s">
        <v>17</v>
      </c>
      <c r="I193" t="s">
        <v>54</v>
      </c>
      <c r="J193" t="s">
        <v>85</v>
      </c>
      <c r="K193" s="1">
        <v>0.44493898148148148</v>
      </c>
      <c r="L193">
        <f>YEAR(Coffe_sales[[#This Row],[Date]])</f>
        <v>2024</v>
      </c>
    </row>
    <row r="194" spans="1:12" x14ac:dyDescent="0.2">
      <c r="A194" t="s">
        <v>11</v>
      </c>
      <c r="B194" t="s">
        <v>12</v>
      </c>
      <c r="C194">
        <v>28.9</v>
      </c>
      <c r="D194" t="s">
        <v>24</v>
      </c>
      <c r="E194" t="s">
        <v>14</v>
      </c>
      <c r="F194" t="s">
        <v>15</v>
      </c>
      <c r="G194" t="s">
        <v>80</v>
      </c>
      <c r="H194" t="s">
        <v>17</v>
      </c>
      <c r="I194" t="s">
        <v>54</v>
      </c>
      <c r="J194" t="s">
        <v>85</v>
      </c>
      <c r="K194" s="1">
        <v>0.44590513888888889</v>
      </c>
      <c r="L194">
        <f>YEAR(Coffe_sales[[#This Row],[Date]])</f>
        <v>2024</v>
      </c>
    </row>
    <row r="195" spans="1:12" x14ac:dyDescent="0.2">
      <c r="A195" t="s">
        <v>35</v>
      </c>
      <c r="B195" t="s">
        <v>12</v>
      </c>
      <c r="C195">
        <v>28.9</v>
      </c>
      <c r="D195" t="s">
        <v>41</v>
      </c>
      <c r="E195" t="s">
        <v>14</v>
      </c>
      <c r="F195" t="s">
        <v>15</v>
      </c>
      <c r="G195" t="s">
        <v>80</v>
      </c>
      <c r="H195" t="s">
        <v>17</v>
      </c>
      <c r="I195" t="s">
        <v>54</v>
      </c>
      <c r="J195" t="s">
        <v>85</v>
      </c>
      <c r="K195" s="1">
        <v>0.46266947916666668</v>
      </c>
      <c r="L195">
        <f>YEAR(Coffe_sales[[#This Row],[Date]])</f>
        <v>2024</v>
      </c>
    </row>
    <row r="196" spans="1:12" x14ac:dyDescent="0.2">
      <c r="A196" t="s">
        <v>20</v>
      </c>
      <c r="B196" t="s">
        <v>12</v>
      </c>
      <c r="C196">
        <v>33.799999999999997</v>
      </c>
      <c r="D196" t="s">
        <v>26</v>
      </c>
      <c r="E196" t="s">
        <v>22</v>
      </c>
      <c r="F196" t="s">
        <v>15</v>
      </c>
      <c r="G196" t="s">
        <v>80</v>
      </c>
      <c r="H196" t="s">
        <v>17</v>
      </c>
      <c r="I196" t="s">
        <v>54</v>
      </c>
      <c r="J196" t="s">
        <v>85</v>
      </c>
      <c r="K196" s="1">
        <v>0.51004600694444446</v>
      </c>
      <c r="L196">
        <f>YEAR(Coffe_sales[[#This Row],[Date]])</f>
        <v>2024</v>
      </c>
    </row>
    <row r="197" spans="1:12" x14ac:dyDescent="0.2">
      <c r="A197" t="s">
        <v>36</v>
      </c>
      <c r="B197" t="s">
        <v>12</v>
      </c>
      <c r="C197">
        <v>38.700000000000003</v>
      </c>
      <c r="D197" t="s">
        <v>13</v>
      </c>
      <c r="E197" t="s">
        <v>22</v>
      </c>
      <c r="F197" t="s">
        <v>15</v>
      </c>
      <c r="G197" t="s">
        <v>80</v>
      </c>
      <c r="H197" t="s">
        <v>17</v>
      </c>
      <c r="I197" t="s">
        <v>54</v>
      </c>
      <c r="J197" t="s">
        <v>85</v>
      </c>
      <c r="K197" s="1">
        <v>0.59977299768518522</v>
      </c>
      <c r="L197">
        <f>YEAR(Coffe_sales[[#This Row],[Date]])</f>
        <v>2024</v>
      </c>
    </row>
    <row r="198" spans="1:12" x14ac:dyDescent="0.2">
      <c r="A198" t="s">
        <v>36</v>
      </c>
      <c r="B198" t="s">
        <v>12</v>
      </c>
      <c r="C198">
        <v>28.9</v>
      </c>
      <c r="D198" t="s">
        <v>41</v>
      </c>
      <c r="E198" t="s">
        <v>22</v>
      </c>
      <c r="F198" t="s">
        <v>15</v>
      </c>
      <c r="G198" t="s">
        <v>80</v>
      </c>
      <c r="H198" t="s">
        <v>17</v>
      </c>
      <c r="I198" t="s">
        <v>54</v>
      </c>
      <c r="J198" t="s">
        <v>85</v>
      </c>
      <c r="K198" s="1">
        <v>0.60058353009259258</v>
      </c>
      <c r="L198">
        <f>YEAR(Coffe_sales[[#This Row],[Date]])</f>
        <v>2024</v>
      </c>
    </row>
    <row r="199" spans="1:12" x14ac:dyDescent="0.2">
      <c r="A199" t="s">
        <v>27</v>
      </c>
      <c r="B199" t="s">
        <v>12</v>
      </c>
      <c r="C199">
        <v>24</v>
      </c>
      <c r="D199" t="s">
        <v>45</v>
      </c>
      <c r="E199" t="s">
        <v>22</v>
      </c>
      <c r="F199" t="s">
        <v>15</v>
      </c>
      <c r="G199" t="s">
        <v>80</v>
      </c>
      <c r="H199" t="s">
        <v>17</v>
      </c>
      <c r="I199" t="s">
        <v>54</v>
      </c>
      <c r="J199" t="s">
        <v>85</v>
      </c>
      <c r="K199" s="1">
        <v>0.67943932870370372</v>
      </c>
      <c r="L199">
        <f>YEAR(Coffe_sales[[#This Row],[Date]])</f>
        <v>2024</v>
      </c>
    </row>
    <row r="200" spans="1:12" x14ac:dyDescent="0.2">
      <c r="A200" t="s">
        <v>20</v>
      </c>
      <c r="B200" t="s">
        <v>12</v>
      </c>
      <c r="C200">
        <v>33.799999999999997</v>
      </c>
      <c r="D200" t="s">
        <v>26</v>
      </c>
      <c r="E200" t="s">
        <v>22</v>
      </c>
      <c r="F200" t="s">
        <v>32</v>
      </c>
      <c r="G200" t="s">
        <v>80</v>
      </c>
      <c r="H200" t="s">
        <v>33</v>
      </c>
      <c r="I200" t="s">
        <v>54</v>
      </c>
      <c r="J200" t="s">
        <v>86</v>
      </c>
      <c r="K200" s="1">
        <v>0.52258562500000005</v>
      </c>
      <c r="L200">
        <f>YEAR(Coffe_sales[[#This Row],[Date]])</f>
        <v>2024</v>
      </c>
    </row>
    <row r="201" spans="1:12" x14ac:dyDescent="0.2">
      <c r="A201" t="s">
        <v>36</v>
      </c>
      <c r="B201" t="s">
        <v>12</v>
      </c>
      <c r="C201">
        <v>38.700000000000003</v>
      </c>
      <c r="D201" t="s">
        <v>52</v>
      </c>
      <c r="E201" t="s">
        <v>22</v>
      </c>
      <c r="F201" t="s">
        <v>32</v>
      </c>
      <c r="G201" t="s">
        <v>80</v>
      </c>
      <c r="H201" t="s">
        <v>33</v>
      </c>
      <c r="I201" t="s">
        <v>54</v>
      </c>
      <c r="J201" t="s">
        <v>86</v>
      </c>
      <c r="K201" s="1">
        <v>0.59257792824074074</v>
      </c>
      <c r="L201">
        <f>YEAR(Coffe_sales[[#This Row],[Date]])</f>
        <v>2024</v>
      </c>
    </row>
    <row r="202" spans="1:12" x14ac:dyDescent="0.2">
      <c r="A202" t="s">
        <v>36</v>
      </c>
      <c r="B202" t="s">
        <v>12</v>
      </c>
      <c r="C202">
        <v>28.9</v>
      </c>
      <c r="D202" t="s">
        <v>24</v>
      </c>
      <c r="E202" t="s">
        <v>22</v>
      </c>
      <c r="F202" t="s">
        <v>32</v>
      </c>
      <c r="G202" t="s">
        <v>80</v>
      </c>
      <c r="H202" t="s">
        <v>33</v>
      </c>
      <c r="I202" t="s">
        <v>54</v>
      </c>
      <c r="J202" t="s">
        <v>86</v>
      </c>
      <c r="K202" s="1">
        <v>0.59336839120370366</v>
      </c>
      <c r="L202">
        <f>YEAR(Coffe_sales[[#This Row],[Date]])</f>
        <v>2024</v>
      </c>
    </row>
    <row r="203" spans="1:12" x14ac:dyDescent="0.2">
      <c r="A203" t="s">
        <v>36</v>
      </c>
      <c r="B203" t="s">
        <v>12</v>
      </c>
      <c r="C203">
        <v>38.700000000000003</v>
      </c>
      <c r="D203" t="s">
        <v>13</v>
      </c>
      <c r="E203" t="s">
        <v>22</v>
      </c>
      <c r="F203" t="s">
        <v>32</v>
      </c>
      <c r="G203" t="s">
        <v>80</v>
      </c>
      <c r="H203" t="s">
        <v>33</v>
      </c>
      <c r="I203" t="s">
        <v>54</v>
      </c>
      <c r="J203" t="s">
        <v>86</v>
      </c>
      <c r="K203" s="1">
        <v>0.61794193287037036</v>
      </c>
      <c r="L203">
        <f>YEAR(Coffe_sales[[#This Row],[Date]])</f>
        <v>2024</v>
      </c>
    </row>
    <row r="204" spans="1:12" x14ac:dyDescent="0.2">
      <c r="A204" t="s">
        <v>11</v>
      </c>
      <c r="B204" t="s">
        <v>12</v>
      </c>
      <c r="C204">
        <v>38.700000000000003</v>
      </c>
      <c r="D204" t="s">
        <v>13</v>
      </c>
      <c r="E204" t="s">
        <v>14</v>
      </c>
      <c r="F204" t="s">
        <v>38</v>
      </c>
      <c r="G204" t="s">
        <v>80</v>
      </c>
      <c r="H204" t="s">
        <v>39</v>
      </c>
      <c r="I204" t="s">
        <v>54</v>
      </c>
      <c r="J204" t="s">
        <v>87</v>
      </c>
      <c r="K204" s="1">
        <v>0.42561578703703706</v>
      </c>
      <c r="L204">
        <f>YEAR(Coffe_sales[[#This Row],[Date]])</f>
        <v>2024</v>
      </c>
    </row>
    <row r="205" spans="1:12" x14ac:dyDescent="0.2">
      <c r="A205" t="s">
        <v>20</v>
      </c>
      <c r="B205" t="s">
        <v>12</v>
      </c>
      <c r="C205">
        <v>38.700000000000003</v>
      </c>
      <c r="D205" t="s">
        <v>52</v>
      </c>
      <c r="E205" t="s">
        <v>22</v>
      </c>
      <c r="F205" t="s">
        <v>38</v>
      </c>
      <c r="G205" t="s">
        <v>80</v>
      </c>
      <c r="H205" t="s">
        <v>39</v>
      </c>
      <c r="I205" t="s">
        <v>54</v>
      </c>
      <c r="J205" t="s">
        <v>87</v>
      </c>
      <c r="K205" s="1">
        <v>0.53092518518518517</v>
      </c>
      <c r="L205">
        <f>YEAR(Coffe_sales[[#This Row],[Date]])</f>
        <v>2024</v>
      </c>
    </row>
    <row r="206" spans="1:12" x14ac:dyDescent="0.2">
      <c r="A206" t="s">
        <v>20</v>
      </c>
      <c r="B206" t="s">
        <v>12</v>
      </c>
      <c r="C206">
        <v>38.700000000000003</v>
      </c>
      <c r="D206" t="s">
        <v>52</v>
      </c>
      <c r="E206" t="s">
        <v>22</v>
      </c>
      <c r="F206" t="s">
        <v>38</v>
      </c>
      <c r="G206" t="s">
        <v>80</v>
      </c>
      <c r="H206" t="s">
        <v>39</v>
      </c>
      <c r="I206" t="s">
        <v>54</v>
      </c>
      <c r="J206" t="s">
        <v>87</v>
      </c>
      <c r="K206" s="1">
        <v>0.53200368055555558</v>
      </c>
      <c r="L206">
        <f>YEAR(Coffe_sales[[#This Row],[Date]])</f>
        <v>2024</v>
      </c>
    </row>
    <row r="207" spans="1:12" x14ac:dyDescent="0.2">
      <c r="A207" t="s">
        <v>36</v>
      </c>
      <c r="B207" t="s">
        <v>12</v>
      </c>
      <c r="C207">
        <v>28.9</v>
      </c>
      <c r="D207" t="s">
        <v>41</v>
      </c>
      <c r="E207" t="s">
        <v>22</v>
      </c>
      <c r="F207" t="s">
        <v>38</v>
      </c>
      <c r="G207" t="s">
        <v>80</v>
      </c>
      <c r="H207" t="s">
        <v>39</v>
      </c>
      <c r="I207" t="s">
        <v>54</v>
      </c>
      <c r="J207" t="s">
        <v>87</v>
      </c>
      <c r="K207" s="1">
        <v>0.59473320601851853</v>
      </c>
      <c r="L207">
        <f>YEAR(Coffe_sales[[#This Row],[Date]])</f>
        <v>2024</v>
      </c>
    </row>
    <row r="208" spans="1:12" x14ac:dyDescent="0.2">
      <c r="A208" t="s">
        <v>36</v>
      </c>
      <c r="B208" t="s">
        <v>12</v>
      </c>
      <c r="C208">
        <v>24</v>
      </c>
      <c r="D208" t="s">
        <v>45</v>
      </c>
      <c r="E208" t="s">
        <v>22</v>
      </c>
      <c r="F208" t="s">
        <v>38</v>
      </c>
      <c r="G208" t="s">
        <v>80</v>
      </c>
      <c r="H208" t="s">
        <v>39</v>
      </c>
      <c r="I208" t="s">
        <v>54</v>
      </c>
      <c r="J208" t="s">
        <v>87</v>
      </c>
      <c r="K208" s="1">
        <v>0.59549337962962967</v>
      </c>
      <c r="L208">
        <f>YEAR(Coffe_sales[[#This Row],[Date]])</f>
        <v>2024</v>
      </c>
    </row>
    <row r="209" spans="1:12" x14ac:dyDescent="0.2">
      <c r="A209" t="s">
        <v>28</v>
      </c>
      <c r="B209" t="s">
        <v>12</v>
      </c>
      <c r="C209">
        <v>38.700000000000003</v>
      </c>
      <c r="D209" t="s">
        <v>21</v>
      </c>
      <c r="E209" t="s">
        <v>29</v>
      </c>
      <c r="F209" t="s">
        <v>38</v>
      </c>
      <c r="G209" t="s">
        <v>80</v>
      </c>
      <c r="H209" t="s">
        <v>39</v>
      </c>
      <c r="I209" t="s">
        <v>54</v>
      </c>
      <c r="J209" t="s">
        <v>87</v>
      </c>
      <c r="K209" s="1">
        <v>0.7508866666666667</v>
      </c>
      <c r="L209">
        <f>YEAR(Coffe_sales[[#This Row],[Date]])</f>
        <v>2024</v>
      </c>
    </row>
    <row r="210" spans="1:12" x14ac:dyDescent="0.2">
      <c r="A210" t="s">
        <v>28</v>
      </c>
      <c r="B210" t="s">
        <v>12</v>
      </c>
      <c r="C210">
        <v>33.799999999999997</v>
      </c>
      <c r="D210" t="s">
        <v>26</v>
      </c>
      <c r="E210" t="s">
        <v>29</v>
      </c>
      <c r="F210" t="s">
        <v>38</v>
      </c>
      <c r="G210" t="s">
        <v>80</v>
      </c>
      <c r="H210" t="s">
        <v>39</v>
      </c>
      <c r="I210" t="s">
        <v>54</v>
      </c>
      <c r="J210" t="s">
        <v>87</v>
      </c>
      <c r="K210" s="1">
        <v>0.75143377314814819</v>
      </c>
      <c r="L210">
        <f>YEAR(Coffe_sales[[#This Row],[Date]])</f>
        <v>2024</v>
      </c>
    </row>
    <row r="211" spans="1:12" x14ac:dyDescent="0.2">
      <c r="A211" t="s">
        <v>11</v>
      </c>
      <c r="B211" t="s">
        <v>12</v>
      </c>
      <c r="C211">
        <v>33.799999999999997</v>
      </c>
      <c r="D211" t="s">
        <v>26</v>
      </c>
      <c r="E211" t="s">
        <v>14</v>
      </c>
      <c r="F211" t="s">
        <v>42</v>
      </c>
      <c r="G211" t="s">
        <v>80</v>
      </c>
      <c r="H211" t="s">
        <v>43</v>
      </c>
      <c r="I211" t="s">
        <v>54</v>
      </c>
      <c r="J211" t="s">
        <v>88</v>
      </c>
      <c r="K211" s="1">
        <v>0.45718872685185186</v>
      </c>
      <c r="L211">
        <f>YEAR(Coffe_sales[[#This Row],[Date]])</f>
        <v>2024</v>
      </c>
    </row>
    <row r="212" spans="1:12" x14ac:dyDescent="0.2">
      <c r="A212" t="s">
        <v>11</v>
      </c>
      <c r="B212" t="s">
        <v>12</v>
      </c>
      <c r="C212">
        <v>38.700000000000003</v>
      </c>
      <c r="D212" t="s">
        <v>52</v>
      </c>
      <c r="E212" t="s">
        <v>14</v>
      </c>
      <c r="F212" t="s">
        <v>42</v>
      </c>
      <c r="G212" t="s">
        <v>80</v>
      </c>
      <c r="H212" t="s">
        <v>43</v>
      </c>
      <c r="I212" t="s">
        <v>54</v>
      </c>
      <c r="J212" t="s">
        <v>88</v>
      </c>
      <c r="K212" s="1">
        <v>0.45795784722222221</v>
      </c>
      <c r="L212">
        <f>YEAR(Coffe_sales[[#This Row],[Date]])</f>
        <v>2024</v>
      </c>
    </row>
    <row r="213" spans="1:12" x14ac:dyDescent="0.2">
      <c r="A213" t="s">
        <v>35</v>
      </c>
      <c r="B213" t="s">
        <v>12</v>
      </c>
      <c r="C213">
        <v>28.9</v>
      </c>
      <c r="D213" t="s">
        <v>24</v>
      </c>
      <c r="E213" t="s">
        <v>14</v>
      </c>
      <c r="F213" t="s">
        <v>42</v>
      </c>
      <c r="G213" t="s">
        <v>80</v>
      </c>
      <c r="H213" t="s">
        <v>43</v>
      </c>
      <c r="I213" t="s">
        <v>54</v>
      </c>
      <c r="J213" t="s">
        <v>88</v>
      </c>
      <c r="K213" s="1">
        <v>0.45926462962962961</v>
      </c>
      <c r="L213">
        <f>YEAR(Coffe_sales[[#This Row],[Date]])</f>
        <v>2024</v>
      </c>
    </row>
    <row r="214" spans="1:12" x14ac:dyDescent="0.2">
      <c r="A214" t="s">
        <v>35</v>
      </c>
      <c r="B214" t="s">
        <v>12</v>
      </c>
      <c r="C214">
        <v>38.700000000000003</v>
      </c>
      <c r="D214" t="s">
        <v>52</v>
      </c>
      <c r="E214" t="s">
        <v>14</v>
      </c>
      <c r="F214" t="s">
        <v>42</v>
      </c>
      <c r="G214" t="s">
        <v>80</v>
      </c>
      <c r="H214" t="s">
        <v>43</v>
      </c>
      <c r="I214" t="s">
        <v>54</v>
      </c>
      <c r="J214" t="s">
        <v>88</v>
      </c>
      <c r="K214" s="1">
        <v>0.46165543981481483</v>
      </c>
      <c r="L214">
        <f>YEAR(Coffe_sales[[#This Row],[Date]])</f>
        <v>2024</v>
      </c>
    </row>
    <row r="215" spans="1:12" x14ac:dyDescent="0.2">
      <c r="A215" t="s">
        <v>27</v>
      </c>
      <c r="B215" t="s">
        <v>12</v>
      </c>
      <c r="C215">
        <v>38.700000000000003</v>
      </c>
      <c r="D215" t="s">
        <v>13</v>
      </c>
      <c r="E215" t="s">
        <v>22</v>
      </c>
      <c r="F215" t="s">
        <v>42</v>
      </c>
      <c r="G215" t="s">
        <v>80</v>
      </c>
      <c r="H215" t="s">
        <v>43</v>
      </c>
      <c r="I215" t="s">
        <v>54</v>
      </c>
      <c r="J215" t="s">
        <v>88</v>
      </c>
      <c r="K215" s="1">
        <v>0.69557645833333337</v>
      </c>
      <c r="L215">
        <f>YEAR(Coffe_sales[[#This Row],[Date]])</f>
        <v>2024</v>
      </c>
    </row>
    <row r="216" spans="1:12" x14ac:dyDescent="0.2">
      <c r="A216" t="s">
        <v>28</v>
      </c>
      <c r="B216" t="s">
        <v>12</v>
      </c>
      <c r="C216">
        <v>28.9</v>
      </c>
      <c r="D216" t="s">
        <v>24</v>
      </c>
      <c r="E216" t="s">
        <v>29</v>
      </c>
      <c r="F216" t="s">
        <v>42</v>
      </c>
      <c r="G216" t="s">
        <v>80</v>
      </c>
      <c r="H216" t="s">
        <v>43</v>
      </c>
      <c r="I216" t="s">
        <v>54</v>
      </c>
      <c r="J216" t="s">
        <v>88</v>
      </c>
      <c r="K216" s="1">
        <v>0.76261241898148147</v>
      </c>
      <c r="L216">
        <f>YEAR(Coffe_sales[[#This Row],[Date]])</f>
        <v>2024</v>
      </c>
    </row>
    <row r="217" spans="1:12" x14ac:dyDescent="0.2">
      <c r="A217" t="s">
        <v>30</v>
      </c>
      <c r="B217" t="s">
        <v>12</v>
      </c>
      <c r="C217">
        <v>33.799999999999997</v>
      </c>
      <c r="D217" t="s">
        <v>26</v>
      </c>
      <c r="E217" t="s">
        <v>29</v>
      </c>
      <c r="F217" t="s">
        <v>42</v>
      </c>
      <c r="G217" t="s">
        <v>80</v>
      </c>
      <c r="H217" t="s">
        <v>43</v>
      </c>
      <c r="I217" t="s">
        <v>54</v>
      </c>
      <c r="J217" t="s">
        <v>88</v>
      </c>
      <c r="K217" s="1">
        <v>0.80726246527777779</v>
      </c>
      <c r="L217">
        <f>YEAR(Coffe_sales[[#This Row],[Date]])</f>
        <v>2024</v>
      </c>
    </row>
    <row r="218" spans="1:12" x14ac:dyDescent="0.2">
      <c r="A218" t="s">
        <v>30</v>
      </c>
      <c r="B218" t="s">
        <v>12</v>
      </c>
      <c r="C218">
        <v>38.700000000000003</v>
      </c>
      <c r="D218" t="s">
        <v>52</v>
      </c>
      <c r="E218" t="s">
        <v>29</v>
      </c>
      <c r="F218" t="s">
        <v>42</v>
      </c>
      <c r="G218" t="s">
        <v>80</v>
      </c>
      <c r="H218" t="s">
        <v>43</v>
      </c>
      <c r="I218" t="s">
        <v>54</v>
      </c>
      <c r="J218" t="s">
        <v>88</v>
      </c>
      <c r="K218" s="1">
        <v>0.80832486111111113</v>
      </c>
      <c r="L218">
        <f>YEAR(Coffe_sales[[#This Row],[Date]])</f>
        <v>2024</v>
      </c>
    </row>
    <row r="219" spans="1:12" x14ac:dyDescent="0.2">
      <c r="A219" t="s">
        <v>35</v>
      </c>
      <c r="B219" t="s">
        <v>12</v>
      </c>
      <c r="C219">
        <v>38.700000000000003</v>
      </c>
      <c r="D219" t="s">
        <v>13</v>
      </c>
      <c r="E219" t="s">
        <v>14</v>
      </c>
      <c r="F219" t="s">
        <v>47</v>
      </c>
      <c r="G219" t="s">
        <v>80</v>
      </c>
      <c r="H219" t="s">
        <v>48</v>
      </c>
      <c r="I219" t="s">
        <v>54</v>
      </c>
      <c r="J219" t="s">
        <v>89</v>
      </c>
      <c r="K219" s="1">
        <v>0.48782949074074072</v>
      </c>
      <c r="L219">
        <f>YEAR(Coffe_sales[[#This Row],[Date]])</f>
        <v>2024</v>
      </c>
    </row>
    <row r="220" spans="1:12" x14ac:dyDescent="0.2">
      <c r="A220" t="s">
        <v>25</v>
      </c>
      <c r="B220" t="s">
        <v>12</v>
      </c>
      <c r="C220">
        <v>38.700000000000003</v>
      </c>
      <c r="D220" t="s">
        <v>21</v>
      </c>
      <c r="E220" t="s">
        <v>22</v>
      </c>
      <c r="F220" t="s">
        <v>47</v>
      </c>
      <c r="G220" t="s">
        <v>80</v>
      </c>
      <c r="H220" t="s">
        <v>48</v>
      </c>
      <c r="I220" t="s">
        <v>54</v>
      </c>
      <c r="J220" t="s">
        <v>89</v>
      </c>
      <c r="K220" s="1">
        <v>0.63320277777777778</v>
      </c>
      <c r="L220">
        <f>YEAR(Coffe_sales[[#This Row],[Date]])</f>
        <v>2024</v>
      </c>
    </row>
    <row r="221" spans="1:12" x14ac:dyDescent="0.2">
      <c r="A221" t="s">
        <v>37</v>
      </c>
      <c r="B221" t="s">
        <v>12</v>
      </c>
      <c r="C221">
        <v>38.700000000000003</v>
      </c>
      <c r="D221" t="s">
        <v>21</v>
      </c>
      <c r="E221" t="s">
        <v>29</v>
      </c>
      <c r="F221" t="s">
        <v>47</v>
      </c>
      <c r="G221" t="s">
        <v>80</v>
      </c>
      <c r="H221" t="s">
        <v>48</v>
      </c>
      <c r="I221" t="s">
        <v>54</v>
      </c>
      <c r="J221" t="s">
        <v>89</v>
      </c>
      <c r="K221" s="1">
        <v>0.7259714814814815</v>
      </c>
      <c r="L221">
        <f>YEAR(Coffe_sales[[#This Row],[Date]])</f>
        <v>2024</v>
      </c>
    </row>
    <row r="222" spans="1:12" x14ac:dyDescent="0.2">
      <c r="A222" t="s">
        <v>37</v>
      </c>
      <c r="B222" t="s">
        <v>12</v>
      </c>
      <c r="C222">
        <v>24</v>
      </c>
      <c r="D222" t="s">
        <v>45</v>
      </c>
      <c r="E222" t="s">
        <v>29</v>
      </c>
      <c r="F222" t="s">
        <v>50</v>
      </c>
      <c r="G222" t="s">
        <v>80</v>
      </c>
      <c r="H222" t="s">
        <v>18</v>
      </c>
      <c r="I222" t="s">
        <v>54</v>
      </c>
      <c r="J222" t="s">
        <v>90</v>
      </c>
      <c r="K222" s="1">
        <v>0.74688939814814814</v>
      </c>
      <c r="L222">
        <f>YEAR(Coffe_sales[[#This Row],[Date]])</f>
        <v>2024</v>
      </c>
    </row>
    <row r="223" spans="1:12" x14ac:dyDescent="0.2">
      <c r="A223" t="s">
        <v>28</v>
      </c>
      <c r="B223" t="s">
        <v>12</v>
      </c>
      <c r="C223">
        <v>38.700000000000003</v>
      </c>
      <c r="D223" t="s">
        <v>52</v>
      </c>
      <c r="E223" t="s">
        <v>29</v>
      </c>
      <c r="F223" t="s">
        <v>50</v>
      </c>
      <c r="G223" t="s">
        <v>80</v>
      </c>
      <c r="H223" t="s">
        <v>18</v>
      </c>
      <c r="I223" t="s">
        <v>54</v>
      </c>
      <c r="J223" t="s">
        <v>90</v>
      </c>
      <c r="K223" s="1">
        <v>0.76735289351851854</v>
      </c>
      <c r="L223">
        <f>YEAR(Coffe_sales[[#This Row],[Date]])</f>
        <v>2024</v>
      </c>
    </row>
    <row r="224" spans="1:12" x14ac:dyDescent="0.2">
      <c r="A224" t="s">
        <v>91</v>
      </c>
      <c r="B224" t="s">
        <v>12</v>
      </c>
      <c r="C224">
        <v>38.700000000000003</v>
      </c>
      <c r="D224" t="s">
        <v>13</v>
      </c>
      <c r="E224" t="s">
        <v>29</v>
      </c>
      <c r="F224" t="s">
        <v>50</v>
      </c>
      <c r="G224" t="s">
        <v>80</v>
      </c>
      <c r="H224" t="s">
        <v>18</v>
      </c>
      <c r="I224" t="s">
        <v>54</v>
      </c>
      <c r="J224" t="s">
        <v>90</v>
      </c>
      <c r="K224" s="1">
        <v>0.83617344907407409</v>
      </c>
      <c r="L224">
        <f>YEAR(Coffe_sales[[#This Row],[Date]])</f>
        <v>2024</v>
      </c>
    </row>
    <row r="225" spans="1:12" x14ac:dyDescent="0.2">
      <c r="A225" t="s">
        <v>11</v>
      </c>
      <c r="B225" t="s">
        <v>12</v>
      </c>
      <c r="C225">
        <v>28.9</v>
      </c>
      <c r="D225" t="s">
        <v>24</v>
      </c>
      <c r="E225" t="s">
        <v>14</v>
      </c>
      <c r="F225" t="s">
        <v>53</v>
      </c>
      <c r="G225" t="s">
        <v>80</v>
      </c>
      <c r="H225" t="s">
        <v>54</v>
      </c>
      <c r="I225" t="s">
        <v>54</v>
      </c>
      <c r="J225" t="s">
        <v>92</v>
      </c>
      <c r="K225" s="1">
        <v>0.44540688657407407</v>
      </c>
      <c r="L225">
        <f>YEAR(Coffe_sales[[#This Row],[Date]])</f>
        <v>2024</v>
      </c>
    </row>
    <row r="226" spans="1:12" x14ac:dyDescent="0.2">
      <c r="A226" t="s">
        <v>11</v>
      </c>
      <c r="B226" t="s">
        <v>12</v>
      </c>
      <c r="C226">
        <v>28.9</v>
      </c>
      <c r="D226" t="s">
        <v>24</v>
      </c>
      <c r="E226" t="s">
        <v>14</v>
      </c>
      <c r="F226" t="s">
        <v>53</v>
      </c>
      <c r="G226" t="s">
        <v>80</v>
      </c>
      <c r="H226" t="s">
        <v>54</v>
      </c>
      <c r="I226" t="s">
        <v>54</v>
      </c>
      <c r="J226" t="s">
        <v>92</v>
      </c>
      <c r="K226" s="1">
        <v>0.44652042824074073</v>
      </c>
      <c r="L226">
        <f>YEAR(Coffe_sales[[#This Row],[Date]])</f>
        <v>2024</v>
      </c>
    </row>
    <row r="227" spans="1:12" x14ac:dyDescent="0.2">
      <c r="A227" t="s">
        <v>27</v>
      </c>
      <c r="B227" t="s">
        <v>12</v>
      </c>
      <c r="C227">
        <v>38.700000000000003</v>
      </c>
      <c r="D227" t="s">
        <v>13</v>
      </c>
      <c r="E227" t="s">
        <v>22</v>
      </c>
      <c r="F227" t="s">
        <v>53</v>
      </c>
      <c r="G227" t="s">
        <v>80</v>
      </c>
      <c r="H227" t="s">
        <v>54</v>
      </c>
      <c r="I227" t="s">
        <v>54</v>
      </c>
      <c r="J227" t="s">
        <v>92</v>
      </c>
      <c r="K227" s="1">
        <v>0.69123922453703701</v>
      </c>
      <c r="L227">
        <f>YEAR(Coffe_sales[[#This Row],[Date]])</f>
        <v>2024</v>
      </c>
    </row>
    <row r="228" spans="1:12" x14ac:dyDescent="0.2">
      <c r="A228" t="s">
        <v>30</v>
      </c>
      <c r="B228" t="s">
        <v>12</v>
      </c>
      <c r="C228">
        <v>38.700000000000003</v>
      </c>
      <c r="D228" t="s">
        <v>52</v>
      </c>
      <c r="E228" t="s">
        <v>29</v>
      </c>
      <c r="F228" t="s">
        <v>53</v>
      </c>
      <c r="G228" t="s">
        <v>80</v>
      </c>
      <c r="H228" t="s">
        <v>54</v>
      </c>
      <c r="I228" t="s">
        <v>54</v>
      </c>
      <c r="J228" t="s">
        <v>92</v>
      </c>
      <c r="K228" s="1">
        <v>0.80343273148148153</v>
      </c>
      <c r="L228">
        <f>YEAR(Coffe_sales[[#This Row],[Date]])</f>
        <v>2024</v>
      </c>
    </row>
    <row r="229" spans="1:12" x14ac:dyDescent="0.2">
      <c r="A229" t="s">
        <v>30</v>
      </c>
      <c r="B229" t="s">
        <v>12</v>
      </c>
      <c r="C229">
        <v>33.799999999999997</v>
      </c>
      <c r="D229" t="s">
        <v>26</v>
      </c>
      <c r="E229" t="s">
        <v>29</v>
      </c>
      <c r="F229" t="s">
        <v>53</v>
      </c>
      <c r="G229" t="s">
        <v>80</v>
      </c>
      <c r="H229" t="s">
        <v>54</v>
      </c>
      <c r="I229" t="s">
        <v>54</v>
      </c>
      <c r="J229" t="s">
        <v>92</v>
      </c>
      <c r="K229" s="1">
        <v>0.8045904976851852</v>
      </c>
      <c r="L229">
        <f>YEAR(Coffe_sales[[#This Row],[Date]])</f>
        <v>2024</v>
      </c>
    </row>
    <row r="230" spans="1:12" x14ac:dyDescent="0.2">
      <c r="A230" t="s">
        <v>30</v>
      </c>
      <c r="B230" t="s">
        <v>12</v>
      </c>
      <c r="C230">
        <v>38.700000000000003</v>
      </c>
      <c r="D230" t="s">
        <v>21</v>
      </c>
      <c r="E230" t="s">
        <v>29</v>
      </c>
      <c r="F230" t="s">
        <v>15</v>
      </c>
      <c r="G230" t="s">
        <v>80</v>
      </c>
      <c r="H230" t="s">
        <v>17</v>
      </c>
      <c r="I230" t="s">
        <v>54</v>
      </c>
      <c r="J230" t="s">
        <v>93</v>
      </c>
      <c r="K230" s="1">
        <v>0.79425234953703705</v>
      </c>
      <c r="L230">
        <f>YEAR(Coffe_sales[[#This Row],[Date]])</f>
        <v>2024</v>
      </c>
    </row>
    <row r="231" spans="1:12" x14ac:dyDescent="0.2">
      <c r="A231" t="s">
        <v>30</v>
      </c>
      <c r="B231" t="s">
        <v>12</v>
      </c>
      <c r="C231">
        <v>28.9</v>
      </c>
      <c r="D231" t="s">
        <v>41</v>
      </c>
      <c r="E231" t="s">
        <v>29</v>
      </c>
      <c r="F231" t="s">
        <v>15</v>
      </c>
      <c r="G231" t="s">
        <v>80</v>
      </c>
      <c r="H231" t="s">
        <v>17</v>
      </c>
      <c r="I231" t="s">
        <v>54</v>
      </c>
      <c r="J231" t="s">
        <v>93</v>
      </c>
      <c r="K231" s="1">
        <v>0.81832394675925924</v>
      </c>
      <c r="L231">
        <f>YEAR(Coffe_sales[[#This Row],[Date]])</f>
        <v>2024</v>
      </c>
    </row>
    <row r="232" spans="1:12" x14ac:dyDescent="0.2">
      <c r="A232" t="s">
        <v>20</v>
      </c>
      <c r="B232" t="s">
        <v>12</v>
      </c>
      <c r="C232">
        <v>38.700000000000003</v>
      </c>
      <c r="D232" t="s">
        <v>13</v>
      </c>
      <c r="E232" t="s">
        <v>22</v>
      </c>
      <c r="F232" t="s">
        <v>32</v>
      </c>
      <c r="G232" t="s">
        <v>80</v>
      </c>
      <c r="H232" t="s">
        <v>33</v>
      </c>
      <c r="I232" t="s">
        <v>54</v>
      </c>
      <c r="J232" t="s">
        <v>94</v>
      </c>
      <c r="K232" s="1">
        <v>0.52036832175925929</v>
      </c>
      <c r="L232">
        <f>YEAR(Coffe_sales[[#This Row],[Date]])</f>
        <v>2024</v>
      </c>
    </row>
    <row r="233" spans="1:12" x14ac:dyDescent="0.2">
      <c r="A233" t="s">
        <v>20</v>
      </c>
      <c r="B233" t="s">
        <v>12</v>
      </c>
      <c r="C233">
        <v>28.9</v>
      </c>
      <c r="D233" t="s">
        <v>24</v>
      </c>
      <c r="E233" t="s">
        <v>22</v>
      </c>
      <c r="F233" t="s">
        <v>32</v>
      </c>
      <c r="G233" t="s">
        <v>80</v>
      </c>
      <c r="H233" t="s">
        <v>33</v>
      </c>
      <c r="I233" t="s">
        <v>54</v>
      </c>
      <c r="J233" t="s">
        <v>94</v>
      </c>
      <c r="K233" s="1">
        <v>0.52988876157407405</v>
      </c>
      <c r="L233">
        <f>YEAR(Coffe_sales[[#This Row],[Date]])</f>
        <v>2024</v>
      </c>
    </row>
    <row r="234" spans="1:12" x14ac:dyDescent="0.2">
      <c r="A234" t="s">
        <v>27</v>
      </c>
      <c r="B234" t="s">
        <v>12</v>
      </c>
      <c r="C234">
        <v>38.700000000000003</v>
      </c>
      <c r="D234" t="s">
        <v>52</v>
      </c>
      <c r="E234" t="s">
        <v>22</v>
      </c>
      <c r="F234" t="s">
        <v>32</v>
      </c>
      <c r="G234" t="s">
        <v>80</v>
      </c>
      <c r="H234" t="s">
        <v>33</v>
      </c>
      <c r="I234" t="s">
        <v>54</v>
      </c>
      <c r="J234" t="s">
        <v>94</v>
      </c>
      <c r="K234" s="1">
        <v>0.67921224537037039</v>
      </c>
      <c r="L234">
        <f>YEAR(Coffe_sales[[#This Row],[Date]])</f>
        <v>2024</v>
      </c>
    </row>
    <row r="235" spans="1:12" x14ac:dyDescent="0.2">
      <c r="A235" t="s">
        <v>27</v>
      </c>
      <c r="B235" t="s">
        <v>12</v>
      </c>
      <c r="C235">
        <v>38.700000000000003</v>
      </c>
      <c r="D235" t="s">
        <v>13</v>
      </c>
      <c r="E235" t="s">
        <v>22</v>
      </c>
      <c r="F235" t="s">
        <v>32</v>
      </c>
      <c r="G235" t="s">
        <v>80</v>
      </c>
      <c r="H235" t="s">
        <v>33</v>
      </c>
      <c r="I235" t="s">
        <v>54</v>
      </c>
      <c r="J235" t="s">
        <v>94</v>
      </c>
      <c r="K235" s="1">
        <v>0.68032174768518516</v>
      </c>
      <c r="L235">
        <f>YEAR(Coffe_sales[[#This Row],[Date]])</f>
        <v>2024</v>
      </c>
    </row>
    <row r="236" spans="1:12" x14ac:dyDescent="0.2">
      <c r="A236" t="s">
        <v>37</v>
      </c>
      <c r="B236" t="s">
        <v>12</v>
      </c>
      <c r="C236">
        <v>38.700000000000003</v>
      </c>
      <c r="D236" t="s">
        <v>52</v>
      </c>
      <c r="E236" t="s">
        <v>29</v>
      </c>
      <c r="F236" t="s">
        <v>32</v>
      </c>
      <c r="G236" t="s">
        <v>80</v>
      </c>
      <c r="H236" t="s">
        <v>33</v>
      </c>
      <c r="I236" t="s">
        <v>54</v>
      </c>
      <c r="J236" t="s">
        <v>94</v>
      </c>
      <c r="K236" s="1">
        <v>0.74405122685185188</v>
      </c>
      <c r="L236">
        <f>YEAR(Coffe_sales[[#This Row],[Date]])</f>
        <v>2024</v>
      </c>
    </row>
    <row r="237" spans="1:12" x14ac:dyDescent="0.2">
      <c r="A237" t="s">
        <v>37</v>
      </c>
      <c r="B237" t="s">
        <v>12</v>
      </c>
      <c r="C237">
        <v>38.700000000000003</v>
      </c>
      <c r="D237" t="s">
        <v>52</v>
      </c>
      <c r="E237" t="s">
        <v>29</v>
      </c>
      <c r="F237" t="s">
        <v>32</v>
      </c>
      <c r="G237" t="s">
        <v>80</v>
      </c>
      <c r="H237" t="s">
        <v>33</v>
      </c>
      <c r="I237" t="s">
        <v>54</v>
      </c>
      <c r="J237" t="s">
        <v>94</v>
      </c>
      <c r="K237" s="1">
        <v>0.7453615393518519</v>
      </c>
      <c r="L237">
        <f>YEAR(Coffe_sales[[#This Row],[Date]])</f>
        <v>2024</v>
      </c>
    </row>
    <row r="238" spans="1:12" x14ac:dyDescent="0.2">
      <c r="A238" t="s">
        <v>20</v>
      </c>
      <c r="B238" t="s">
        <v>12</v>
      </c>
      <c r="C238">
        <v>38.700000000000003</v>
      </c>
      <c r="D238" t="s">
        <v>52</v>
      </c>
      <c r="E238" t="s">
        <v>22</v>
      </c>
      <c r="F238" t="s">
        <v>38</v>
      </c>
      <c r="G238" t="s">
        <v>80</v>
      </c>
      <c r="H238" t="s">
        <v>39</v>
      </c>
      <c r="I238" t="s">
        <v>54</v>
      </c>
      <c r="J238" t="s">
        <v>95</v>
      </c>
      <c r="K238" s="1">
        <v>0.51711837962962959</v>
      </c>
      <c r="L238">
        <f>YEAR(Coffe_sales[[#This Row],[Date]])</f>
        <v>2024</v>
      </c>
    </row>
    <row r="239" spans="1:12" x14ac:dyDescent="0.2">
      <c r="A239" t="s">
        <v>23</v>
      </c>
      <c r="B239" t="s">
        <v>12</v>
      </c>
      <c r="C239">
        <v>28.9</v>
      </c>
      <c r="D239" t="s">
        <v>41</v>
      </c>
      <c r="E239" t="s">
        <v>22</v>
      </c>
      <c r="F239" t="s">
        <v>38</v>
      </c>
      <c r="G239" t="s">
        <v>80</v>
      </c>
      <c r="H239" t="s">
        <v>39</v>
      </c>
      <c r="I239" t="s">
        <v>54</v>
      </c>
      <c r="J239" t="s">
        <v>95</v>
      </c>
      <c r="K239" s="1">
        <v>0.55682648148148151</v>
      </c>
      <c r="L239">
        <f>YEAR(Coffe_sales[[#This Row],[Date]])</f>
        <v>2024</v>
      </c>
    </row>
    <row r="240" spans="1:12" x14ac:dyDescent="0.2">
      <c r="A240" t="s">
        <v>36</v>
      </c>
      <c r="B240" t="s">
        <v>12</v>
      </c>
      <c r="C240">
        <v>28.9</v>
      </c>
      <c r="D240" t="s">
        <v>24</v>
      </c>
      <c r="E240" t="s">
        <v>22</v>
      </c>
      <c r="F240" t="s">
        <v>38</v>
      </c>
      <c r="G240" t="s">
        <v>80</v>
      </c>
      <c r="H240" t="s">
        <v>39</v>
      </c>
      <c r="I240" t="s">
        <v>54</v>
      </c>
      <c r="J240" t="s">
        <v>95</v>
      </c>
      <c r="K240" s="1">
        <v>0.59967165509259257</v>
      </c>
      <c r="L240">
        <f>YEAR(Coffe_sales[[#This Row],[Date]])</f>
        <v>2024</v>
      </c>
    </row>
    <row r="241" spans="1:12" x14ac:dyDescent="0.2">
      <c r="A241" t="s">
        <v>36</v>
      </c>
      <c r="B241" t="s">
        <v>12</v>
      </c>
      <c r="C241">
        <v>28.9</v>
      </c>
      <c r="D241" t="s">
        <v>24</v>
      </c>
      <c r="E241" t="s">
        <v>22</v>
      </c>
      <c r="F241" t="s">
        <v>38</v>
      </c>
      <c r="G241" t="s">
        <v>80</v>
      </c>
      <c r="H241" t="s">
        <v>39</v>
      </c>
      <c r="I241" t="s">
        <v>54</v>
      </c>
      <c r="J241" t="s">
        <v>95</v>
      </c>
      <c r="K241" s="1">
        <v>0.60031168981481486</v>
      </c>
      <c r="L241">
        <f>YEAR(Coffe_sales[[#This Row],[Date]])</f>
        <v>2024</v>
      </c>
    </row>
    <row r="242" spans="1:12" x14ac:dyDescent="0.2">
      <c r="A242" t="s">
        <v>36</v>
      </c>
      <c r="B242" t="s">
        <v>12</v>
      </c>
      <c r="C242">
        <v>28.9</v>
      </c>
      <c r="D242" t="s">
        <v>24</v>
      </c>
      <c r="E242" t="s">
        <v>22</v>
      </c>
      <c r="F242" t="s">
        <v>38</v>
      </c>
      <c r="G242" t="s">
        <v>80</v>
      </c>
      <c r="H242" t="s">
        <v>39</v>
      </c>
      <c r="I242" t="s">
        <v>54</v>
      </c>
      <c r="J242" t="s">
        <v>95</v>
      </c>
      <c r="K242" s="1">
        <v>0.60090418981481486</v>
      </c>
      <c r="L242">
        <f>YEAR(Coffe_sales[[#This Row],[Date]])</f>
        <v>2024</v>
      </c>
    </row>
    <row r="243" spans="1:12" x14ac:dyDescent="0.2">
      <c r="A243" t="s">
        <v>25</v>
      </c>
      <c r="B243" t="s">
        <v>12</v>
      </c>
      <c r="C243">
        <v>38.700000000000003</v>
      </c>
      <c r="D243" t="s">
        <v>52</v>
      </c>
      <c r="E243" t="s">
        <v>22</v>
      </c>
      <c r="F243" t="s">
        <v>38</v>
      </c>
      <c r="G243" t="s">
        <v>80</v>
      </c>
      <c r="H243" t="s">
        <v>39</v>
      </c>
      <c r="I243" t="s">
        <v>54</v>
      </c>
      <c r="J243" t="s">
        <v>95</v>
      </c>
      <c r="K243" s="1">
        <v>0.65726542824074075</v>
      </c>
      <c r="L243">
        <f>YEAR(Coffe_sales[[#This Row],[Date]])</f>
        <v>2024</v>
      </c>
    </row>
    <row r="244" spans="1:12" x14ac:dyDescent="0.2">
      <c r="A244" t="s">
        <v>27</v>
      </c>
      <c r="B244" t="s">
        <v>12</v>
      </c>
      <c r="C244">
        <v>28.9</v>
      </c>
      <c r="D244" t="s">
        <v>41</v>
      </c>
      <c r="E244" t="s">
        <v>22</v>
      </c>
      <c r="F244" t="s">
        <v>38</v>
      </c>
      <c r="G244" t="s">
        <v>80</v>
      </c>
      <c r="H244" t="s">
        <v>39</v>
      </c>
      <c r="I244" t="s">
        <v>54</v>
      </c>
      <c r="J244" t="s">
        <v>95</v>
      </c>
      <c r="K244" s="1">
        <v>0.70827341435185187</v>
      </c>
      <c r="L244">
        <f>YEAR(Coffe_sales[[#This Row],[Date]])</f>
        <v>2024</v>
      </c>
    </row>
    <row r="245" spans="1:12" x14ac:dyDescent="0.2">
      <c r="A245" t="s">
        <v>37</v>
      </c>
      <c r="B245" t="s">
        <v>12</v>
      </c>
      <c r="C245">
        <v>38.700000000000003</v>
      </c>
      <c r="D245" t="s">
        <v>13</v>
      </c>
      <c r="E245" t="s">
        <v>29</v>
      </c>
      <c r="F245" t="s">
        <v>38</v>
      </c>
      <c r="G245" t="s">
        <v>80</v>
      </c>
      <c r="H245" t="s">
        <v>39</v>
      </c>
      <c r="I245" t="s">
        <v>54</v>
      </c>
      <c r="J245" t="s">
        <v>95</v>
      </c>
      <c r="K245" s="1">
        <v>0.70885864583333336</v>
      </c>
      <c r="L245">
        <f>YEAR(Coffe_sales[[#This Row],[Date]])</f>
        <v>2024</v>
      </c>
    </row>
    <row r="246" spans="1:12" x14ac:dyDescent="0.2">
      <c r="A246" t="s">
        <v>28</v>
      </c>
      <c r="B246" t="s">
        <v>12</v>
      </c>
      <c r="C246">
        <v>38.700000000000003</v>
      </c>
      <c r="D246" t="s">
        <v>52</v>
      </c>
      <c r="E246" t="s">
        <v>29</v>
      </c>
      <c r="F246" t="s">
        <v>38</v>
      </c>
      <c r="G246" t="s">
        <v>80</v>
      </c>
      <c r="H246" t="s">
        <v>39</v>
      </c>
      <c r="I246" t="s">
        <v>54</v>
      </c>
      <c r="J246" t="s">
        <v>95</v>
      </c>
      <c r="K246" s="1">
        <v>0.77661630787037039</v>
      </c>
      <c r="L246">
        <f>YEAR(Coffe_sales[[#This Row],[Date]])</f>
        <v>2024</v>
      </c>
    </row>
    <row r="247" spans="1:12" x14ac:dyDescent="0.2">
      <c r="A247" t="s">
        <v>35</v>
      </c>
      <c r="B247" t="s">
        <v>12</v>
      </c>
      <c r="C247">
        <v>28.9</v>
      </c>
      <c r="D247" t="s">
        <v>24</v>
      </c>
      <c r="E247" t="s">
        <v>14</v>
      </c>
      <c r="F247" t="s">
        <v>42</v>
      </c>
      <c r="G247" t="s">
        <v>80</v>
      </c>
      <c r="H247" t="s">
        <v>43</v>
      </c>
      <c r="I247" t="s">
        <v>54</v>
      </c>
      <c r="J247" t="s">
        <v>96</v>
      </c>
      <c r="K247" s="1">
        <v>0.48986827546296297</v>
      </c>
      <c r="L247">
        <f>YEAR(Coffe_sales[[#This Row],[Date]])</f>
        <v>2024</v>
      </c>
    </row>
    <row r="248" spans="1:12" x14ac:dyDescent="0.2">
      <c r="A248" t="s">
        <v>37</v>
      </c>
      <c r="B248" t="s">
        <v>12</v>
      </c>
      <c r="C248">
        <v>28.9</v>
      </c>
      <c r="D248" t="s">
        <v>24</v>
      </c>
      <c r="E248" t="s">
        <v>29</v>
      </c>
      <c r="F248" t="s">
        <v>42</v>
      </c>
      <c r="G248" t="s">
        <v>80</v>
      </c>
      <c r="H248" t="s">
        <v>43</v>
      </c>
      <c r="I248" t="s">
        <v>54</v>
      </c>
      <c r="J248" t="s">
        <v>96</v>
      </c>
      <c r="K248" s="1">
        <v>0.70956434027777782</v>
      </c>
      <c r="L248">
        <f>YEAR(Coffe_sales[[#This Row],[Date]])</f>
        <v>2024</v>
      </c>
    </row>
    <row r="249" spans="1:12" x14ac:dyDescent="0.2">
      <c r="A249" t="s">
        <v>37</v>
      </c>
      <c r="B249" t="s">
        <v>12</v>
      </c>
      <c r="C249">
        <v>33.799999999999997</v>
      </c>
      <c r="D249" t="s">
        <v>26</v>
      </c>
      <c r="E249" t="s">
        <v>29</v>
      </c>
      <c r="F249" t="s">
        <v>42</v>
      </c>
      <c r="G249" t="s">
        <v>80</v>
      </c>
      <c r="H249" t="s">
        <v>43</v>
      </c>
      <c r="I249" t="s">
        <v>54</v>
      </c>
      <c r="J249" t="s">
        <v>96</v>
      </c>
      <c r="K249" s="1">
        <v>0.71029800925925923</v>
      </c>
      <c r="L249">
        <f>YEAR(Coffe_sales[[#This Row],[Date]])</f>
        <v>2024</v>
      </c>
    </row>
    <row r="250" spans="1:12" x14ac:dyDescent="0.2">
      <c r="A250" t="s">
        <v>30</v>
      </c>
      <c r="B250" t="s">
        <v>12</v>
      </c>
      <c r="C250">
        <v>33.799999999999997</v>
      </c>
      <c r="D250" t="s">
        <v>26</v>
      </c>
      <c r="E250" t="s">
        <v>29</v>
      </c>
      <c r="F250" t="s">
        <v>42</v>
      </c>
      <c r="G250" t="s">
        <v>80</v>
      </c>
      <c r="H250" t="s">
        <v>43</v>
      </c>
      <c r="I250" t="s">
        <v>54</v>
      </c>
      <c r="J250" t="s">
        <v>96</v>
      </c>
      <c r="K250" s="1">
        <v>0.81461847222222217</v>
      </c>
      <c r="L250">
        <f>YEAR(Coffe_sales[[#This Row],[Date]])</f>
        <v>2024</v>
      </c>
    </row>
    <row r="251" spans="1:12" x14ac:dyDescent="0.2">
      <c r="A251" t="s">
        <v>11</v>
      </c>
      <c r="B251" t="s">
        <v>12</v>
      </c>
      <c r="C251">
        <v>33.799999999999997</v>
      </c>
      <c r="D251" t="s">
        <v>26</v>
      </c>
      <c r="E251" t="s">
        <v>14</v>
      </c>
      <c r="F251" t="s">
        <v>47</v>
      </c>
      <c r="G251" t="s">
        <v>80</v>
      </c>
      <c r="H251" t="s">
        <v>48</v>
      </c>
      <c r="I251" t="s">
        <v>54</v>
      </c>
      <c r="J251" t="s">
        <v>97</v>
      </c>
      <c r="K251" s="1">
        <v>0.44890863425925925</v>
      </c>
      <c r="L251">
        <f>YEAR(Coffe_sales[[#This Row],[Date]])</f>
        <v>2024</v>
      </c>
    </row>
    <row r="252" spans="1:12" x14ac:dyDescent="0.2">
      <c r="A252" t="s">
        <v>20</v>
      </c>
      <c r="B252" t="s">
        <v>12</v>
      </c>
      <c r="C252">
        <v>38.700000000000003</v>
      </c>
      <c r="D252" t="s">
        <v>31</v>
      </c>
      <c r="E252" t="s">
        <v>22</v>
      </c>
      <c r="F252" t="s">
        <v>47</v>
      </c>
      <c r="G252" t="s">
        <v>80</v>
      </c>
      <c r="H252" t="s">
        <v>48</v>
      </c>
      <c r="I252" t="s">
        <v>54</v>
      </c>
      <c r="J252" t="s">
        <v>97</v>
      </c>
      <c r="K252" s="1">
        <v>0.52832957175925921</v>
      </c>
      <c r="L252">
        <f>YEAR(Coffe_sales[[#This Row],[Date]])</f>
        <v>2024</v>
      </c>
    </row>
    <row r="253" spans="1:12" x14ac:dyDescent="0.2">
      <c r="A253" t="s">
        <v>20</v>
      </c>
      <c r="B253" t="s">
        <v>12</v>
      </c>
      <c r="C253">
        <v>28.9</v>
      </c>
      <c r="D253" t="s">
        <v>41</v>
      </c>
      <c r="E253" t="s">
        <v>22</v>
      </c>
      <c r="F253" t="s">
        <v>47</v>
      </c>
      <c r="G253" t="s">
        <v>80</v>
      </c>
      <c r="H253" t="s">
        <v>48</v>
      </c>
      <c r="I253" t="s">
        <v>54</v>
      </c>
      <c r="J253" t="s">
        <v>97</v>
      </c>
      <c r="K253" s="1">
        <v>0.53620081018518517</v>
      </c>
      <c r="L253">
        <f>YEAR(Coffe_sales[[#This Row],[Date]])</f>
        <v>2024</v>
      </c>
    </row>
    <row r="254" spans="1:12" x14ac:dyDescent="0.2">
      <c r="A254" t="s">
        <v>25</v>
      </c>
      <c r="B254" t="s">
        <v>12</v>
      </c>
      <c r="C254">
        <v>28.9</v>
      </c>
      <c r="D254" t="s">
        <v>24</v>
      </c>
      <c r="E254" t="s">
        <v>22</v>
      </c>
      <c r="F254" t="s">
        <v>47</v>
      </c>
      <c r="G254" t="s">
        <v>80</v>
      </c>
      <c r="H254" t="s">
        <v>48</v>
      </c>
      <c r="I254" t="s">
        <v>54</v>
      </c>
      <c r="J254" t="s">
        <v>97</v>
      </c>
      <c r="K254" s="1">
        <v>0.62727880787037038</v>
      </c>
      <c r="L254">
        <f>YEAR(Coffe_sales[[#This Row],[Date]])</f>
        <v>2024</v>
      </c>
    </row>
    <row r="255" spans="1:12" x14ac:dyDescent="0.2">
      <c r="A255" t="s">
        <v>37</v>
      </c>
      <c r="B255" t="s">
        <v>12</v>
      </c>
      <c r="C255">
        <v>33.799999999999997</v>
      </c>
      <c r="D255" t="s">
        <v>26</v>
      </c>
      <c r="E255" t="s">
        <v>29</v>
      </c>
      <c r="F255" t="s">
        <v>47</v>
      </c>
      <c r="G255" t="s">
        <v>80</v>
      </c>
      <c r="H255" t="s">
        <v>48</v>
      </c>
      <c r="I255" t="s">
        <v>54</v>
      </c>
      <c r="J255" t="s">
        <v>97</v>
      </c>
      <c r="K255" s="1">
        <v>0.73754870370370373</v>
      </c>
      <c r="L255">
        <f>YEAR(Coffe_sales[[#This Row],[Date]])</f>
        <v>2024</v>
      </c>
    </row>
    <row r="256" spans="1:12" x14ac:dyDescent="0.2">
      <c r="A256" t="s">
        <v>37</v>
      </c>
      <c r="B256" t="s">
        <v>12</v>
      </c>
      <c r="C256">
        <v>38.700000000000003</v>
      </c>
      <c r="D256" t="s">
        <v>52</v>
      </c>
      <c r="E256" t="s">
        <v>29</v>
      </c>
      <c r="F256" t="s">
        <v>47</v>
      </c>
      <c r="G256" t="s">
        <v>80</v>
      </c>
      <c r="H256" t="s">
        <v>48</v>
      </c>
      <c r="I256" t="s">
        <v>54</v>
      </c>
      <c r="J256" t="s">
        <v>97</v>
      </c>
      <c r="K256" s="1">
        <v>0.73846018518518519</v>
      </c>
      <c r="L256">
        <f>YEAR(Coffe_sales[[#This Row],[Date]])</f>
        <v>2024</v>
      </c>
    </row>
    <row r="257" spans="1:12" x14ac:dyDescent="0.2">
      <c r="A257" t="s">
        <v>28</v>
      </c>
      <c r="B257" t="s">
        <v>12</v>
      </c>
      <c r="C257">
        <v>38.700000000000003</v>
      </c>
      <c r="D257" t="s">
        <v>31</v>
      </c>
      <c r="E257" t="s">
        <v>29</v>
      </c>
      <c r="F257" t="s">
        <v>47</v>
      </c>
      <c r="G257" t="s">
        <v>80</v>
      </c>
      <c r="H257" t="s">
        <v>48</v>
      </c>
      <c r="I257" t="s">
        <v>54</v>
      </c>
      <c r="J257" t="s">
        <v>97</v>
      </c>
      <c r="K257" s="1">
        <v>0.7563110300925926</v>
      </c>
      <c r="L257">
        <f>YEAR(Coffe_sales[[#This Row],[Date]])</f>
        <v>2024</v>
      </c>
    </row>
    <row r="258" spans="1:12" x14ac:dyDescent="0.2">
      <c r="A258" t="s">
        <v>23</v>
      </c>
      <c r="B258" t="s">
        <v>12</v>
      </c>
      <c r="C258">
        <v>28.9</v>
      </c>
      <c r="D258" t="s">
        <v>24</v>
      </c>
      <c r="E258" t="s">
        <v>22</v>
      </c>
      <c r="F258" t="s">
        <v>50</v>
      </c>
      <c r="G258" t="s">
        <v>80</v>
      </c>
      <c r="H258" t="s">
        <v>18</v>
      </c>
      <c r="I258" t="s">
        <v>54</v>
      </c>
      <c r="J258" t="s">
        <v>98</v>
      </c>
      <c r="K258" s="1">
        <v>0.5645809259259259</v>
      </c>
      <c r="L258">
        <f>YEAR(Coffe_sales[[#This Row],[Date]])</f>
        <v>2024</v>
      </c>
    </row>
    <row r="259" spans="1:12" x14ac:dyDescent="0.2">
      <c r="A259" t="s">
        <v>23</v>
      </c>
      <c r="B259" t="s">
        <v>12</v>
      </c>
      <c r="C259">
        <v>24</v>
      </c>
      <c r="D259" t="s">
        <v>45</v>
      </c>
      <c r="E259" t="s">
        <v>22</v>
      </c>
      <c r="F259" t="s">
        <v>50</v>
      </c>
      <c r="G259" t="s">
        <v>80</v>
      </c>
      <c r="H259" t="s">
        <v>18</v>
      </c>
      <c r="I259" t="s">
        <v>54</v>
      </c>
      <c r="J259" t="s">
        <v>98</v>
      </c>
      <c r="K259" s="1">
        <v>0.57222431712962962</v>
      </c>
      <c r="L259">
        <f>YEAR(Coffe_sales[[#This Row],[Date]])</f>
        <v>2024</v>
      </c>
    </row>
    <row r="260" spans="1:12" x14ac:dyDescent="0.2">
      <c r="A260" t="s">
        <v>37</v>
      </c>
      <c r="B260" t="s">
        <v>12</v>
      </c>
      <c r="C260">
        <v>38.700000000000003</v>
      </c>
      <c r="D260" t="s">
        <v>52</v>
      </c>
      <c r="E260" t="s">
        <v>29</v>
      </c>
      <c r="F260" t="s">
        <v>50</v>
      </c>
      <c r="G260" t="s">
        <v>80</v>
      </c>
      <c r="H260" t="s">
        <v>18</v>
      </c>
      <c r="I260" t="s">
        <v>54</v>
      </c>
      <c r="J260" t="s">
        <v>98</v>
      </c>
      <c r="K260" s="1">
        <v>0.70943459490740746</v>
      </c>
      <c r="L260">
        <f>YEAR(Coffe_sales[[#This Row],[Date]])</f>
        <v>2024</v>
      </c>
    </row>
    <row r="261" spans="1:12" x14ac:dyDescent="0.2">
      <c r="A261" t="s">
        <v>37</v>
      </c>
      <c r="B261" t="s">
        <v>12</v>
      </c>
      <c r="C261">
        <v>38.700000000000003</v>
      </c>
      <c r="D261" t="s">
        <v>52</v>
      </c>
      <c r="E261" t="s">
        <v>29</v>
      </c>
      <c r="F261" t="s">
        <v>50</v>
      </c>
      <c r="G261" t="s">
        <v>80</v>
      </c>
      <c r="H261" t="s">
        <v>18</v>
      </c>
      <c r="I261" t="s">
        <v>54</v>
      </c>
      <c r="J261" t="s">
        <v>98</v>
      </c>
      <c r="K261" s="1">
        <v>0.71019313657407412</v>
      </c>
      <c r="L261">
        <f>YEAR(Coffe_sales[[#This Row],[Date]])</f>
        <v>2024</v>
      </c>
    </row>
    <row r="262" spans="1:12" x14ac:dyDescent="0.2">
      <c r="A262" t="s">
        <v>28</v>
      </c>
      <c r="B262" t="s">
        <v>12</v>
      </c>
      <c r="C262">
        <v>28.9</v>
      </c>
      <c r="D262" t="s">
        <v>41</v>
      </c>
      <c r="E262" t="s">
        <v>29</v>
      </c>
      <c r="F262" t="s">
        <v>50</v>
      </c>
      <c r="G262" t="s">
        <v>80</v>
      </c>
      <c r="H262" t="s">
        <v>18</v>
      </c>
      <c r="I262" t="s">
        <v>54</v>
      </c>
      <c r="J262" t="s">
        <v>98</v>
      </c>
      <c r="K262" s="1">
        <v>0.75975959490740741</v>
      </c>
      <c r="L262">
        <f>YEAR(Coffe_sales[[#This Row],[Date]])</f>
        <v>2024</v>
      </c>
    </row>
    <row r="263" spans="1:12" x14ac:dyDescent="0.2">
      <c r="A263" t="s">
        <v>35</v>
      </c>
      <c r="B263" t="s">
        <v>12</v>
      </c>
      <c r="C263">
        <v>28.9</v>
      </c>
      <c r="D263" t="s">
        <v>24</v>
      </c>
      <c r="E263" t="s">
        <v>14</v>
      </c>
      <c r="F263" t="s">
        <v>53</v>
      </c>
      <c r="G263" t="s">
        <v>80</v>
      </c>
      <c r="H263" t="s">
        <v>54</v>
      </c>
      <c r="I263" t="s">
        <v>54</v>
      </c>
      <c r="J263" t="s">
        <v>99</v>
      </c>
      <c r="K263" s="1">
        <v>0.47154737268518521</v>
      </c>
      <c r="L263">
        <f>YEAR(Coffe_sales[[#This Row],[Date]])</f>
        <v>2024</v>
      </c>
    </row>
    <row r="264" spans="1:12" x14ac:dyDescent="0.2">
      <c r="A264" t="s">
        <v>35</v>
      </c>
      <c r="B264" t="s">
        <v>12</v>
      </c>
      <c r="C264">
        <v>28.9</v>
      </c>
      <c r="D264" t="s">
        <v>24</v>
      </c>
      <c r="E264" t="s">
        <v>14</v>
      </c>
      <c r="F264" t="s">
        <v>53</v>
      </c>
      <c r="G264" t="s">
        <v>80</v>
      </c>
      <c r="H264" t="s">
        <v>54</v>
      </c>
      <c r="I264" t="s">
        <v>54</v>
      </c>
      <c r="J264" t="s">
        <v>99</v>
      </c>
      <c r="K264" s="1">
        <v>0.47228814814814812</v>
      </c>
      <c r="L264">
        <f>YEAR(Coffe_sales[[#This Row],[Date]])</f>
        <v>2024</v>
      </c>
    </row>
    <row r="265" spans="1:12" x14ac:dyDescent="0.2">
      <c r="A265" t="s">
        <v>23</v>
      </c>
      <c r="B265" t="s">
        <v>12</v>
      </c>
      <c r="C265">
        <v>33.799999999999997</v>
      </c>
      <c r="D265" t="s">
        <v>26</v>
      </c>
      <c r="E265" t="s">
        <v>22</v>
      </c>
      <c r="F265" t="s">
        <v>53</v>
      </c>
      <c r="G265" t="s">
        <v>80</v>
      </c>
      <c r="H265" t="s">
        <v>54</v>
      </c>
      <c r="I265" t="s">
        <v>54</v>
      </c>
      <c r="J265" t="s">
        <v>99</v>
      </c>
      <c r="K265" s="1">
        <v>0.5758416666666667</v>
      </c>
      <c r="L265">
        <f>YEAR(Coffe_sales[[#This Row],[Date]])</f>
        <v>2024</v>
      </c>
    </row>
    <row r="266" spans="1:12" x14ac:dyDescent="0.2">
      <c r="A266" t="s">
        <v>23</v>
      </c>
      <c r="B266" t="s">
        <v>12</v>
      </c>
      <c r="C266">
        <v>28.9</v>
      </c>
      <c r="D266" t="s">
        <v>41</v>
      </c>
      <c r="E266" t="s">
        <v>22</v>
      </c>
      <c r="F266" t="s">
        <v>53</v>
      </c>
      <c r="G266" t="s">
        <v>80</v>
      </c>
      <c r="H266" t="s">
        <v>54</v>
      </c>
      <c r="I266" t="s">
        <v>54</v>
      </c>
      <c r="J266" t="s">
        <v>99</v>
      </c>
      <c r="K266" s="1">
        <v>0.57658894675925931</v>
      </c>
      <c r="L266">
        <f>YEAR(Coffe_sales[[#This Row],[Date]])</f>
        <v>2024</v>
      </c>
    </row>
    <row r="267" spans="1:12" x14ac:dyDescent="0.2">
      <c r="A267" t="s">
        <v>36</v>
      </c>
      <c r="B267" t="s">
        <v>12</v>
      </c>
      <c r="C267">
        <v>38.700000000000003</v>
      </c>
      <c r="D267" t="s">
        <v>52</v>
      </c>
      <c r="E267" t="s">
        <v>22</v>
      </c>
      <c r="F267" t="s">
        <v>53</v>
      </c>
      <c r="G267" t="s">
        <v>80</v>
      </c>
      <c r="H267" t="s">
        <v>54</v>
      </c>
      <c r="I267" t="s">
        <v>54</v>
      </c>
      <c r="J267" t="s">
        <v>99</v>
      </c>
      <c r="K267" s="1">
        <v>0.60717381944444448</v>
      </c>
      <c r="L267">
        <f>YEAR(Coffe_sales[[#This Row],[Date]])</f>
        <v>2024</v>
      </c>
    </row>
    <row r="268" spans="1:12" x14ac:dyDescent="0.2">
      <c r="A268" t="s">
        <v>36</v>
      </c>
      <c r="B268" t="s">
        <v>12</v>
      </c>
      <c r="C268">
        <v>38.700000000000003</v>
      </c>
      <c r="D268" t="s">
        <v>13</v>
      </c>
      <c r="E268" t="s">
        <v>22</v>
      </c>
      <c r="F268" t="s">
        <v>53</v>
      </c>
      <c r="G268" t="s">
        <v>80</v>
      </c>
      <c r="H268" t="s">
        <v>54</v>
      </c>
      <c r="I268" t="s">
        <v>54</v>
      </c>
      <c r="J268" t="s">
        <v>99</v>
      </c>
      <c r="K268" s="1">
        <v>0.60821011574074069</v>
      </c>
      <c r="L268">
        <f>YEAR(Coffe_sales[[#This Row],[Date]])</f>
        <v>2024</v>
      </c>
    </row>
    <row r="269" spans="1:12" x14ac:dyDescent="0.2">
      <c r="A269" t="s">
        <v>37</v>
      </c>
      <c r="B269" t="s">
        <v>12</v>
      </c>
      <c r="C269">
        <v>38.700000000000003</v>
      </c>
      <c r="D269" t="s">
        <v>13</v>
      </c>
      <c r="E269" t="s">
        <v>29</v>
      </c>
      <c r="F269" t="s">
        <v>53</v>
      </c>
      <c r="G269" t="s">
        <v>80</v>
      </c>
      <c r="H269" t="s">
        <v>54</v>
      </c>
      <c r="I269" t="s">
        <v>54</v>
      </c>
      <c r="J269" t="s">
        <v>99</v>
      </c>
      <c r="K269" s="1">
        <v>0.73907165509259254</v>
      </c>
      <c r="L269">
        <f>YEAR(Coffe_sales[[#This Row],[Date]])</f>
        <v>2024</v>
      </c>
    </row>
    <row r="270" spans="1:12" x14ac:dyDescent="0.2">
      <c r="A270" t="s">
        <v>28</v>
      </c>
      <c r="B270" t="s">
        <v>12</v>
      </c>
      <c r="C270">
        <v>38.700000000000003</v>
      </c>
      <c r="D270" t="s">
        <v>52</v>
      </c>
      <c r="E270" t="s">
        <v>29</v>
      </c>
      <c r="F270" t="s">
        <v>53</v>
      </c>
      <c r="G270" t="s">
        <v>80</v>
      </c>
      <c r="H270" t="s">
        <v>54</v>
      </c>
      <c r="I270" t="s">
        <v>54</v>
      </c>
      <c r="J270" t="s">
        <v>99</v>
      </c>
      <c r="K270" s="1">
        <v>0.76465214120370373</v>
      </c>
      <c r="L270">
        <f>YEAR(Coffe_sales[[#This Row],[Date]])</f>
        <v>2024</v>
      </c>
    </row>
    <row r="271" spans="1:12" x14ac:dyDescent="0.2">
      <c r="A271" t="s">
        <v>30</v>
      </c>
      <c r="B271" t="s">
        <v>12</v>
      </c>
      <c r="C271">
        <v>38.700000000000003</v>
      </c>
      <c r="D271" t="s">
        <v>21</v>
      </c>
      <c r="E271" t="s">
        <v>29</v>
      </c>
      <c r="F271" t="s">
        <v>53</v>
      </c>
      <c r="G271" t="s">
        <v>80</v>
      </c>
      <c r="H271" t="s">
        <v>54</v>
      </c>
      <c r="I271" t="s">
        <v>54</v>
      </c>
      <c r="J271" t="s">
        <v>99</v>
      </c>
      <c r="K271" s="1">
        <v>0.81934251157407412</v>
      </c>
      <c r="L271">
        <f>YEAR(Coffe_sales[[#This Row],[Date]])</f>
        <v>2024</v>
      </c>
    </row>
    <row r="272" spans="1:12" x14ac:dyDescent="0.2">
      <c r="A272" t="s">
        <v>30</v>
      </c>
      <c r="B272" t="s">
        <v>12</v>
      </c>
      <c r="C272">
        <v>38.700000000000003</v>
      </c>
      <c r="D272" t="s">
        <v>21</v>
      </c>
      <c r="E272" t="s">
        <v>29</v>
      </c>
      <c r="F272" t="s">
        <v>53</v>
      </c>
      <c r="G272" t="s">
        <v>80</v>
      </c>
      <c r="H272" t="s">
        <v>54</v>
      </c>
      <c r="I272" t="s">
        <v>54</v>
      </c>
      <c r="J272" t="s">
        <v>99</v>
      </c>
      <c r="K272" s="1">
        <v>0.82001104166666672</v>
      </c>
      <c r="L272">
        <f>YEAR(Coffe_sales[[#This Row],[Date]])</f>
        <v>2024</v>
      </c>
    </row>
    <row r="273" spans="1:12" x14ac:dyDescent="0.2">
      <c r="A273" t="s">
        <v>11</v>
      </c>
      <c r="B273" t="s">
        <v>12</v>
      </c>
      <c r="C273">
        <v>38.700000000000003</v>
      </c>
      <c r="D273" t="s">
        <v>13</v>
      </c>
      <c r="E273" t="s">
        <v>14</v>
      </c>
      <c r="F273" t="s">
        <v>15</v>
      </c>
      <c r="G273" t="s">
        <v>80</v>
      </c>
      <c r="H273" t="s">
        <v>17</v>
      </c>
      <c r="I273" t="s">
        <v>54</v>
      </c>
      <c r="J273" t="s">
        <v>100</v>
      </c>
      <c r="K273" s="1">
        <v>0.42403071759259259</v>
      </c>
      <c r="L273">
        <f>YEAR(Coffe_sales[[#This Row],[Date]])</f>
        <v>2024</v>
      </c>
    </row>
    <row r="274" spans="1:12" x14ac:dyDescent="0.2">
      <c r="A274" t="s">
        <v>23</v>
      </c>
      <c r="B274" t="s">
        <v>12</v>
      </c>
      <c r="C274">
        <v>33.799999999999997</v>
      </c>
      <c r="D274" t="s">
        <v>26</v>
      </c>
      <c r="E274" t="s">
        <v>22</v>
      </c>
      <c r="F274" t="s">
        <v>15</v>
      </c>
      <c r="G274" t="s">
        <v>80</v>
      </c>
      <c r="H274" t="s">
        <v>17</v>
      </c>
      <c r="I274" t="s">
        <v>54</v>
      </c>
      <c r="J274" t="s">
        <v>100</v>
      </c>
      <c r="K274" s="1">
        <v>0.54985935185185186</v>
      </c>
      <c r="L274">
        <f>YEAR(Coffe_sales[[#This Row],[Date]])</f>
        <v>2024</v>
      </c>
    </row>
    <row r="275" spans="1:12" x14ac:dyDescent="0.2">
      <c r="A275" t="s">
        <v>23</v>
      </c>
      <c r="B275" t="s">
        <v>12</v>
      </c>
      <c r="C275">
        <v>38.700000000000003</v>
      </c>
      <c r="D275" t="s">
        <v>52</v>
      </c>
      <c r="E275" t="s">
        <v>22</v>
      </c>
      <c r="F275" t="s">
        <v>15</v>
      </c>
      <c r="G275" t="s">
        <v>80</v>
      </c>
      <c r="H275" t="s">
        <v>17</v>
      </c>
      <c r="I275" t="s">
        <v>54</v>
      </c>
      <c r="J275" t="s">
        <v>100</v>
      </c>
      <c r="K275" s="1">
        <v>0.55093606481481483</v>
      </c>
      <c r="L275">
        <f>YEAR(Coffe_sales[[#This Row],[Date]])</f>
        <v>2024</v>
      </c>
    </row>
    <row r="276" spans="1:12" x14ac:dyDescent="0.2">
      <c r="A276" t="s">
        <v>23</v>
      </c>
      <c r="B276" t="s">
        <v>12</v>
      </c>
      <c r="C276">
        <v>38.700000000000003</v>
      </c>
      <c r="D276" t="s">
        <v>21</v>
      </c>
      <c r="E276" t="s">
        <v>22</v>
      </c>
      <c r="F276" t="s">
        <v>15</v>
      </c>
      <c r="G276" t="s">
        <v>80</v>
      </c>
      <c r="H276" t="s">
        <v>17</v>
      </c>
      <c r="I276" t="s">
        <v>54</v>
      </c>
      <c r="J276" t="s">
        <v>100</v>
      </c>
      <c r="K276" s="1">
        <v>0.58257018518518522</v>
      </c>
      <c r="L276">
        <f>YEAR(Coffe_sales[[#This Row],[Date]])</f>
        <v>2024</v>
      </c>
    </row>
    <row r="277" spans="1:12" x14ac:dyDescent="0.2">
      <c r="A277" t="s">
        <v>23</v>
      </c>
      <c r="B277" t="s">
        <v>12</v>
      </c>
      <c r="C277">
        <v>38.700000000000003</v>
      </c>
      <c r="D277" t="s">
        <v>52</v>
      </c>
      <c r="E277" t="s">
        <v>22</v>
      </c>
      <c r="F277" t="s">
        <v>15</v>
      </c>
      <c r="G277" t="s">
        <v>80</v>
      </c>
      <c r="H277" t="s">
        <v>17</v>
      </c>
      <c r="I277" t="s">
        <v>54</v>
      </c>
      <c r="J277" t="s">
        <v>100</v>
      </c>
      <c r="K277" s="1">
        <v>0.58321400462962958</v>
      </c>
      <c r="L277">
        <f>YEAR(Coffe_sales[[#This Row],[Date]])</f>
        <v>2024</v>
      </c>
    </row>
    <row r="278" spans="1:12" x14ac:dyDescent="0.2">
      <c r="A278" t="s">
        <v>28</v>
      </c>
      <c r="B278" t="s">
        <v>12</v>
      </c>
      <c r="C278">
        <v>38.700000000000003</v>
      </c>
      <c r="D278" t="s">
        <v>31</v>
      </c>
      <c r="E278" t="s">
        <v>29</v>
      </c>
      <c r="F278" t="s">
        <v>15</v>
      </c>
      <c r="G278" t="s">
        <v>80</v>
      </c>
      <c r="H278" t="s">
        <v>17</v>
      </c>
      <c r="I278" t="s">
        <v>54</v>
      </c>
      <c r="J278" t="s">
        <v>100</v>
      </c>
      <c r="K278" s="1">
        <v>0.76619572916666667</v>
      </c>
      <c r="L278">
        <f>YEAR(Coffe_sales[[#This Row],[Date]])</f>
        <v>2024</v>
      </c>
    </row>
    <row r="279" spans="1:12" x14ac:dyDescent="0.2">
      <c r="A279" t="s">
        <v>28</v>
      </c>
      <c r="B279" t="s">
        <v>12</v>
      </c>
      <c r="C279">
        <v>33.799999999999997</v>
      </c>
      <c r="D279" t="s">
        <v>26</v>
      </c>
      <c r="E279" t="s">
        <v>29</v>
      </c>
      <c r="F279" t="s">
        <v>15</v>
      </c>
      <c r="G279" t="s">
        <v>80</v>
      </c>
      <c r="H279" t="s">
        <v>17</v>
      </c>
      <c r="I279" t="s">
        <v>54</v>
      </c>
      <c r="J279" t="s">
        <v>100</v>
      </c>
      <c r="K279" s="1">
        <v>0.76774814814814818</v>
      </c>
      <c r="L279">
        <f>YEAR(Coffe_sales[[#This Row],[Date]])</f>
        <v>2024</v>
      </c>
    </row>
    <row r="280" spans="1:12" x14ac:dyDescent="0.2">
      <c r="A280" t="s">
        <v>20</v>
      </c>
      <c r="B280" t="s">
        <v>12</v>
      </c>
      <c r="C280">
        <v>33.799999999999997</v>
      </c>
      <c r="D280" t="s">
        <v>26</v>
      </c>
      <c r="E280" t="s">
        <v>22</v>
      </c>
      <c r="F280" t="s">
        <v>32</v>
      </c>
      <c r="G280" t="s">
        <v>80</v>
      </c>
      <c r="H280" t="s">
        <v>33</v>
      </c>
      <c r="I280" t="s">
        <v>54</v>
      </c>
      <c r="J280" t="s">
        <v>101</v>
      </c>
      <c r="K280" s="1">
        <v>0.50596876157407411</v>
      </c>
      <c r="L280">
        <f>YEAR(Coffe_sales[[#This Row],[Date]])</f>
        <v>2024</v>
      </c>
    </row>
    <row r="281" spans="1:12" x14ac:dyDescent="0.2">
      <c r="A281" t="s">
        <v>20</v>
      </c>
      <c r="B281" t="s">
        <v>12</v>
      </c>
      <c r="C281">
        <v>33.799999999999997</v>
      </c>
      <c r="D281" t="s">
        <v>26</v>
      </c>
      <c r="E281" t="s">
        <v>22</v>
      </c>
      <c r="F281" t="s">
        <v>32</v>
      </c>
      <c r="G281" t="s">
        <v>80</v>
      </c>
      <c r="H281" t="s">
        <v>33</v>
      </c>
      <c r="I281" t="s">
        <v>54</v>
      </c>
      <c r="J281" t="s">
        <v>101</v>
      </c>
      <c r="K281" s="1">
        <v>0.50674379629629629</v>
      </c>
      <c r="L281">
        <f>YEAR(Coffe_sales[[#This Row],[Date]])</f>
        <v>2024</v>
      </c>
    </row>
    <row r="282" spans="1:12" x14ac:dyDescent="0.2">
      <c r="A282" t="s">
        <v>23</v>
      </c>
      <c r="B282" t="s">
        <v>12</v>
      </c>
      <c r="C282">
        <v>28.9</v>
      </c>
      <c r="D282" t="s">
        <v>24</v>
      </c>
      <c r="E282" t="s">
        <v>22</v>
      </c>
      <c r="F282" t="s">
        <v>32</v>
      </c>
      <c r="G282" t="s">
        <v>80</v>
      </c>
      <c r="H282" t="s">
        <v>33</v>
      </c>
      <c r="I282" t="s">
        <v>54</v>
      </c>
      <c r="J282" t="s">
        <v>101</v>
      </c>
      <c r="K282" s="1">
        <v>0.54765483796296299</v>
      </c>
      <c r="L282">
        <f>YEAR(Coffe_sales[[#This Row],[Date]])</f>
        <v>2024</v>
      </c>
    </row>
    <row r="283" spans="1:12" x14ac:dyDescent="0.2">
      <c r="A283" t="s">
        <v>23</v>
      </c>
      <c r="B283" t="s">
        <v>12</v>
      </c>
      <c r="C283">
        <v>33.799999999999997</v>
      </c>
      <c r="D283" t="s">
        <v>26</v>
      </c>
      <c r="E283" t="s">
        <v>22</v>
      </c>
      <c r="F283" t="s">
        <v>32</v>
      </c>
      <c r="G283" t="s">
        <v>80</v>
      </c>
      <c r="H283" t="s">
        <v>33</v>
      </c>
      <c r="I283" t="s">
        <v>54</v>
      </c>
      <c r="J283" t="s">
        <v>101</v>
      </c>
      <c r="K283" s="1">
        <v>0.54847112268518516</v>
      </c>
      <c r="L283">
        <f>YEAR(Coffe_sales[[#This Row],[Date]])</f>
        <v>2024</v>
      </c>
    </row>
    <row r="284" spans="1:12" x14ac:dyDescent="0.2">
      <c r="A284" t="s">
        <v>23</v>
      </c>
      <c r="B284" t="s">
        <v>12</v>
      </c>
      <c r="C284">
        <v>38.700000000000003</v>
      </c>
      <c r="D284" t="s">
        <v>21</v>
      </c>
      <c r="E284" t="s">
        <v>22</v>
      </c>
      <c r="F284" t="s">
        <v>32</v>
      </c>
      <c r="G284" t="s">
        <v>80</v>
      </c>
      <c r="H284" t="s">
        <v>33</v>
      </c>
      <c r="I284" t="s">
        <v>54</v>
      </c>
      <c r="J284" t="s">
        <v>101</v>
      </c>
      <c r="K284" s="1">
        <v>0.54924943287037042</v>
      </c>
      <c r="L284">
        <f>YEAR(Coffe_sales[[#This Row],[Date]])</f>
        <v>2024</v>
      </c>
    </row>
    <row r="285" spans="1:12" x14ac:dyDescent="0.2">
      <c r="A285" t="s">
        <v>36</v>
      </c>
      <c r="B285" t="s">
        <v>12</v>
      </c>
      <c r="C285">
        <v>38.700000000000003</v>
      </c>
      <c r="D285" t="s">
        <v>52</v>
      </c>
      <c r="E285" t="s">
        <v>22</v>
      </c>
      <c r="F285" t="s">
        <v>32</v>
      </c>
      <c r="G285" t="s">
        <v>80</v>
      </c>
      <c r="H285" t="s">
        <v>33</v>
      </c>
      <c r="I285" t="s">
        <v>54</v>
      </c>
      <c r="J285" t="s">
        <v>101</v>
      </c>
      <c r="K285" s="1">
        <v>0.61409858796296302</v>
      </c>
      <c r="L285">
        <f>YEAR(Coffe_sales[[#This Row],[Date]])</f>
        <v>2024</v>
      </c>
    </row>
    <row r="286" spans="1:12" x14ac:dyDescent="0.2">
      <c r="A286" t="s">
        <v>25</v>
      </c>
      <c r="B286" t="s">
        <v>12</v>
      </c>
      <c r="C286">
        <v>33.799999999999997</v>
      </c>
      <c r="D286" t="s">
        <v>26</v>
      </c>
      <c r="E286" t="s">
        <v>22</v>
      </c>
      <c r="F286" t="s">
        <v>32</v>
      </c>
      <c r="G286" t="s">
        <v>80</v>
      </c>
      <c r="H286" t="s">
        <v>33</v>
      </c>
      <c r="I286" t="s">
        <v>54</v>
      </c>
      <c r="J286" t="s">
        <v>101</v>
      </c>
      <c r="K286" s="1">
        <v>0.63264270833333336</v>
      </c>
      <c r="L286">
        <f>YEAR(Coffe_sales[[#This Row],[Date]])</f>
        <v>2024</v>
      </c>
    </row>
    <row r="287" spans="1:12" x14ac:dyDescent="0.2">
      <c r="A287" t="s">
        <v>25</v>
      </c>
      <c r="B287" t="s">
        <v>12</v>
      </c>
      <c r="C287">
        <v>32.82</v>
      </c>
      <c r="D287" t="s">
        <v>26</v>
      </c>
      <c r="E287" t="s">
        <v>22</v>
      </c>
      <c r="F287" t="s">
        <v>32</v>
      </c>
      <c r="G287" t="s">
        <v>80</v>
      </c>
      <c r="H287" t="s">
        <v>33</v>
      </c>
      <c r="I287" t="s">
        <v>54</v>
      </c>
      <c r="J287" t="s">
        <v>101</v>
      </c>
      <c r="K287" s="1">
        <v>0.6407490393518519</v>
      </c>
      <c r="L287">
        <f>YEAR(Coffe_sales[[#This Row],[Date]])</f>
        <v>2024</v>
      </c>
    </row>
    <row r="288" spans="1:12" x14ac:dyDescent="0.2">
      <c r="A288" t="s">
        <v>25</v>
      </c>
      <c r="B288" t="s">
        <v>12</v>
      </c>
      <c r="C288">
        <v>32.82</v>
      </c>
      <c r="D288" t="s">
        <v>26</v>
      </c>
      <c r="E288" t="s">
        <v>22</v>
      </c>
      <c r="F288" t="s">
        <v>32</v>
      </c>
      <c r="G288" t="s">
        <v>80</v>
      </c>
      <c r="H288" t="s">
        <v>33</v>
      </c>
      <c r="I288" t="s">
        <v>54</v>
      </c>
      <c r="J288" t="s">
        <v>101</v>
      </c>
      <c r="K288" s="1">
        <v>0.65931884259259255</v>
      </c>
      <c r="L288">
        <f>YEAR(Coffe_sales[[#This Row],[Date]])</f>
        <v>2024</v>
      </c>
    </row>
    <row r="289" spans="1:12" x14ac:dyDescent="0.2">
      <c r="A289" t="s">
        <v>28</v>
      </c>
      <c r="B289" t="s">
        <v>12</v>
      </c>
      <c r="C289">
        <v>37.72</v>
      </c>
      <c r="D289" t="s">
        <v>52</v>
      </c>
      <c r="E289" t="s">
        <v>29</v>
      </c>
      <c r="F289" t="s">
        <v>32</v>
      </c>
      <c r="G289" t="s">
        <v>80</v>
      </c>
      <c r="H289" t="s">
        <v>33</v>
      </c>
      <c r="I289" t="s">
        <v>54</v>
      </c>
      <c r="J289" t="s">
        <v>101</v>
      </c>
      <c r="K289" s="1">
        <v>0.76923027777777775</v>
      </c>
      <c r="L289">
        <f>YEAR(Coffe_sales[[#This Row],[Date]])</f>
        <v>2024</v>
      </c>
    </row>
    <row r="290" spans="1:12" x14ac:dyDescent="0.2">
      <c r="A290" t="s">
        <v>28</v>
      </c>
      <c r="B290" t="s">
        <v>12</v>
      </c>
      <c r="C290">
        <v>37.72</v>
      </c>
      <c r="D290" t="s">
        <v>52</v>
      </c>
      <c r="E290" t="s">
        <v>29</v>
      </c>
      <c r="F290" t="s">
        <v>32</v>
      </c>
      <c r="G290" t="s">
        <v>80</v>
      </c>
      <c r="H290" t="s">
        <v>33</v>
      </c>
      <c r="I290" t="s">
        <v>54</v>
      </c>
      <c r="J290" t="s">
        <v>101</v>
      </c>
      <c r="K290" s="1">
        <v>0.76998726851851851</v>
      </c>
      <c r="L290">
        <f>YEAR(Coffe_sales[[#This Row],[Date]])</f>
        <v>2024</v>
      </c>
    </row>
    <row r="291" spans="1:12" x14ac:dyDescent="0.2">
      <c r="A291" t="s">
        <v>30</v>
      </c>
      <c r="B291" t="s">
        <v>12</v>
      </c>
      <c r="C291">
        <v>37.72</v>
      </c>
      <c r="D291" t="s">
        <v>13</v>
      </c>
      <c r="E291" t="s">
        <v>29</v>
      </c>
      <c r="F291" t="s">
        <v>32</v>
      </c>
      <c r="G291" t="s">
        <v>80</v>
      </c>
      <c r="H291" t="s">
        <v>33</v>
      </c>
      <c r="I291" t="s">
        <v>54</v>
      </c>
      <c r="J291" t="s">
        <v>101</v>
      </c>
      <c r="K291" s="1">
        <v>0.81314024305555554</v>
      </c>
      <c r="L291">
        <f>YEAR(Coffe_sales[[#This Row],[Date]])</f>
        <v>2024</v>
      </c>
    </row>
    <row r="292" spans="1:12" x14ac:dyDescent="0.2">
      <c r="A292" t="s">
        <v>35</v>
      </c>
      <c r="B292" t="s">
        <v>12</v>
      </c>
      <c r="C292">
        <v>37.72</v>
      </c>
      <c r="D292" t="s">
        <v>13</v>
      </c>
      <c r="E292" t="s">
        <v>14</v>
      </c>
      <c r="F292" t="s">
        <v>38</v>
      </c>
      <c r="G292" t="s">
        <v>80</v>
      </c>
      <c r="H292" t="s">
        <v>39</v>
      </c>
      <c r="I292" t="s">
        <v>54</v>
      </c>
      <c r="J292" t="s">
        <v>102</v>
      </c>
      <c r="K292" s="1">
        <v>0.46997346064814816</v>
      </c>
      <c r="L292">
        <f>YEAR(Coffe_sales[[#This Row],[Date]])</f>
        <v>2024</v>
      </c>
    </row>
    <row r="293" spans="1:12" x14ac:dyDescent="0.2">
      <c r="A293" t="s">
        <v>36</v>
      </c>
      <c r="B293" t="s">
        <v>12</v>
      </c>
      <c r="C293">
        <v>27.92</v>
      </c>
      <c r="D293" t="s">
        <v>24</v>
      </c>
      <c r="E293" t="s">
        <v>22</v>
      </c>
      <c r="F293" t="s">
        <v>38</v>
      </c>
      <c r="G293" t="s">
        <v>80</v>
      </c>
      <c r="H293" t="s">
        <v>39</v>
      </c>
      <c r="I293" t="s">
        <v>54</v>
      </c>
      <c r="J293" t="s">
        <v>102</v>
      </c>
      <c r="K293" s="1">
        <v>0.59418450231481479</v>
      </c>
      <c r="L293">
        <f>YEAR(Coffe_sales[[#This Row],[Date]])</f>
        <v>2024</v>
      </c>
    </row>
    <row r="294" spans="1:12" x14ac:dyDescent="0.2">
      <c r="A294" t="s">
        <v>35</v>
      </c>
      <c r="B294" t="s">
        <v>12</v>
      </c>
      <c r="C294">
        <v>27.92</v>
      </c>
      <c r="D294" t="s">
        <v>24</v>
      </c>
      <c r="E294" t="s">
        <v>14</v>
      </c>
      <c r="F294" t="s">
        <v>42</v>
      </c>
      <c r="G294" t="s">
        <v>80</v>
      </c>
      <c r="H294" t="s">
        <v>43</v>
      </c>
      <c r="I294" t="s">
        <v>54</v>
      </c>
      <c r="J294" t="s">
        <v>103</v>
      </c>
      <c r="K294" s="1">
        <v>0.46477328703703702</v>
      </c>
      <c r="L294">
        <f>YEAR(Coffe_sales[[#This Row],[Date]])</f>
        <v>2024</v>
      </c>
    </row>
    <row r="295" spans="1:12" x14ac:dyDescent="0.2">
      <c r="A295" t="s">
        <v>35</v>
      </c>
      <c r="B295" t="s">
        <v>12</v>
      </c>
      <c r="C295">
        <v>32.82</v>
      </c>
      <c r="D295" t="s">
        <v>26</v>
      </c>
      <c r="E295" t="s">
        <v>14</v>
      </c>
      <c r="F295" t="s">
        <v>42</v>
      </c>
      <c r="G295" t="s">
        <v>80</v>
      </c>
      <c r="H295" t="s">
        <v>43</v>
      </c>
      <c r="I295" t="s">
        <v>54</v>
      </c>
      <c r="J295" t="s">
        <v>103</v>
      </c>
      <c r="K295" s="1">
        <v>0.47878586805555556</v>
      </c>
      <c r="L295">
        <f>YEAR(Coffe_sales[[#This Row],[Date]])</f>
        <v>2024</v>
      </c>
    </row>
    <row r="296" spans="1:12" x14ac:dyDescent="0.2">
      <c r="A296" t="s">
        <v>30</v>
      </c>
      <c r="B296" t="s">
        <v>12</v>
      </c>
      <c r="C296">
        <v>37.72</v>
      </c>
      <c r="D296" t="s">
        <v>13</v>
      </c>
      <c r="E296" t="s">
        <v>29</v>
      </c>
      <c r="F296" t="s">
        <v>42</v>
      </c>
      <c r="G296" t="s">
        <v>80</v>
      </c>
      <c r="H296" t="s">
        <v>43</v>
      </c>
      <c r="I296" t="s">
        <v>54</v>
      </c>
      <c r="J296" t="s">
        <v>103</v>
      </c>
      <c r="K296" s="1">
        <v>0.81880508101851857</v>
      </c>
      <c r="L296">
        <f>YEAR(Coffe_sales[[#This Row],[Date]])</f>
        <v>2024</v>
      </c>
    </row>
    <row r="297" spans="1:12" x14ac:dyDescent="0.2">
      <c r="A297" t="s">
        <v>36</v>
      </c>
      <c r="B297" t="s">
        <v>12</v>
      </c>
      <c r="C297">
        <v>37.72</v>
      </c>
      <c r="D297" t="s">
        <v>52</v>
      </c>
      <c r="E297" t="s">
        <v>22</v>
      </c>
      <c r="F297" t="s">
        <v>47</v>
      </c>
      <c r="G297" t="s">
        <v>80</v>
      </c>
      <c r="H297" t="s">
        <v>48</v>
      </c>
      <c r="I297" t="s">
        <v>54</v>
      </c>
      <c r="J297" t="s">
        <v>104</v>
      </c>
      <c r="K297" s="1">
        <v>0.59902771990740744</v>
      </c>
      <c r="L297">
        <f>YEAR(Coffe_sales[[#This Row],[Date]])</f>
        <v>2024</v>
      </c>
    </row>
    <row r="298" spans="1:12" x14ac:dyDescent="0.2">
      <c r="A298" t="s">
        <v>36</v>
      </c>
      <c r="B298" t="s">
        <v>12</v>
      </c>
      <c r="C298">
        <v>32.82</v>
      </c>
      <c r="D298" t="s">
        <v>26</v>
      </c>
      <c r="E298" t="s">
        <v>22</v>
      </c>
      <c r="F298" t="s">
        <v>47</v>
      </c>
      <c r="G298" t="s">
        <v>80</v>
      </c>
      <c r="H298" t="s">
        <v>48</v>
      </c>
      <c r="I298" t="s">
        <v>54</v>
      </c>
      <c r="J298" t="s">
        <v>104</v>
      </c>
      <c r="K298" s="1">
        <v>0.59992064814814816</v>
      </c>
      <c r="L298">
        <f>YEAR(Coffe_sales[[#This Row],[Date]])</f>
        <v>2024</v>
      </c>
    </row>
    <row r="299" spans="1:12" x14ac:dyDescent="0.2">
      <c r="A299" t="s">
        <v>36</v>
      </c>
      <c r="B299" t="s">
        <v>12</v>
      </c>
      <c r="C299">
        <v>37.72</v>
      </c>
      <c r="D299" t="s">
        <v>52</v>
      </c>
      <c r="E299" t="s">
        <v>22</v>
      </c>
      <c r="F299" t="s">
        <v>47</v>
      </c>
      <c r="G299" t="s">
        <v>80</v>
      </c>
      <c r="H299" t="s">
        <v>48</v>
      </c>
      <c r="I299" t="s">
        <v>54</v>
      </c>
      <c r="J299" t="s">
        <v>104</v>
      </c>
      <c r="K299" s="1">
        <v>0.60066568287037037</v>
      </c>
      <c r="L299">
        <f>YEAR(Coffe_sales[[#This Row],[Date]])</f>
        <v>2024</v>
      </c>
    </row>
    <row r="300" spans="1:12" x14ac:dyDescent="0.2">
      <c r="A300" t="s">
        <v>30</v>
      </c>
      <c r="B300" t="s">
        <v>12</v>
      </c>
      <c r="C300">
        <v>32.82</v>
      </c>
      <c r="D300" t="s">
        <v>26</v>
      </c>
      <c r="E300" t="s">
        <v>29</v>
      </c>
      <c r="F300" t="s">
        <v>47</v>
      </c>
      <c r="G300" t="s">
        <v>80</v>
      </c>
      <c r="H300" t="s">
        <v>48</v>
      </c>
      <c r="I300" t="s">
        <v>54</v>
      </c>
      <c r="J300" t="s">
        <v>104</v>
      </c>
      <c r="K300" s="1">
        <v>0.82115468749999998</v>
      </c>
      <c r="L300">
        <f>YEAR(Coffe_sales[[#This Row],[Date]])</f>
        <v>2024</v>
      </c>
    </row>
    <row r="301" spans="1:12" x14ac:dyDescent="0.2">
      <c r="A301" t="s">
        <v>30</v>
      </c>
      <c r="B301" t="s">
        <v>12</v>
      </c>
      <c r="C301">
        <v>32.82</v>
      </c>
      <c r="D301" t="s">
        <v>26</v>
      </c>
      <c r="E301" t="s">
        <v>29</v>
      </c>
      <c r="F301" t="s">
        <v>47</v>
      </c>
      <c r="G301" t="s">
        <v>80</v>
      </c>
      <c r="H301" t="s">
        <v>48</v>
      </c>
      <c r="I301" t="s">
        <v>54</v>
      </c>
      <c r="J301" t="s">
        <v>104</v>
      </c>
      <c r="K301" s="1">
        <v>0.82183141203703702</v>
      </c>
      <c r="L301">
        <f>YEAR(Coffe_sales[[#This Row],[Date]])</f>
        <v>2024</v>
      </c>
    </row>
    <row r="302" spans="1:12" x14ac:dyDescent="0.2">
      <c r="A302" t="s">
        <v>11</v>
      </c>
      <c r="B302" t="s">
        <v>12</v>
      </c>
      <c r="C302">
        <v>37.72</v>
      </c>
      <c r="D302" t="s">
        <v>13</v>
      </c>
      <c r="E302" t="s">
        <v>14</v>
      </c>
      <c r="F302" t="s">
        <v>50</v>
      </c>
      <c r="G302" t="s">
        <v>80</v>
      </c>
      <c r="H302" t="s">
        <v>18</v>
      </c>
      <c r="I302" t="s">
        <v>54</v>
      </c>
      <c r="J302" t="s">
        <v>105</v>
      </c>
      <c r="K302" s="1">
        <v>0.43030493055555558</v>
      </c>
      <c r="L302">
        <f>YEAR(Coffe_sales[[#This Row],[Date]])</f>
        <v>2024</v>
      </c>
    </row>
    <row r="303" spans="1:12" x14ac:dyDescent="0.2">
      <c r="A303" t="s">
        <v>11</v>
      </c>
      <c r="B303" t="s">
        <v>12</v>
      </c>
      <c r="C303">
        <v>32.82</v>
      </c>
      <c r="D303" t="s">
        <v>26</v>
      </c>
      <c r="E303" t="s">
        <v>14</v>
      </c>
      <c r="F303" t="s">
        <v>50</v>
      </c>
      <c r="G303" t="s">
        <v>80</v>
      </c>
      <c r="H303" t="s">
        <v>18</v>
      </c>
      <c r="I303" t="s">
        <v>54</v>
      </c>
      <c r="J303" t="s">
        <v>105</v>
      </c>
      <c r="K303" s="1">
        <v>0.43156582175925928</v>
      </c>
      <c r="L303">
        <f>YEAR(Coffe_sales[[#This Row],[Date]])</f>
        <v>2024</v>
      </c>
    </row>
    <row r="304" spans="1:12" x14ac:dyDescent="0.2">
      <c r="A304" t="s">
        <v>35</v>
      </c>
      <c r="B304" t="s">
        <v>12</v>
      </c>
      <c r="C304">
        <v>32.82</v>
      </c>
      <c r="D304" t="s">
        <v>26</v>
      </c>
      <c r="E304" t="s">
        <v>14</v>
      </c>
      <c r="F304" t="s">
        <v>50</v>
      </c>
      <c r="G304" t="s">
        <v>80</v>
      </c>
      <c r="H304" t="s">
        <v>18</v>
      </c>
      <c r="I304" t="s">
        <v>54</v>
      </c>
      <c r="J304" t="s">
        <v>105</v>
      </c>
      <c r="K304" s="1">
        <v>0.47483914351851852</v>
      </c>
      <c r="L304">
        <f>YEAR(Coffe_sales[[#This Row],[Date]])</f>
        <v>2024</v>
      </c>
    </row>
    <row r="305" spans="1:12" x14ac:dyDescent="0.2">
      <c r="A305" t="s">
        <v>35</v>
      </c>
      <c r="B305" t="s">
        <v>12</v>
      </c>
      <c r="C305">
        <v>32.82</v>
      </c>
      <c r="D305" t="s">
        <v>26</v>
      </c>
      <c r="E305" t="s">
        <v>14</v>
      </c>
      <c r="F305" t="s">
        <v>50</v>
      </c>
      <c r="G305" t="s">
        <v>80</v>
      </c>
      <c r="H305" t="s">
        <v>18</v>
      </c>
      <c r="I305" t="s">
        <v>54</v>
      </c>
      <c r="J305" t="s">
        <v>105</v>
      </c>
      <c r="K305" s="1">
        <v>0.48155494212962963</v>
      </c>
      <c r="L305">
        <f>YEAR(Coffe_sales[[#This Row],[Date]])</f>
        <v>2024</v>
      </c>
    </row>
    <row r="306" spans="1:12" x14ac:dyDescent="0.2">
      <c r="A306" t="s">
        <v>20</v>
      </c>
      <c r="B306" t="s">
        <v>12</v>
      </c>
      <c r="C306">
        <v>32.82</v>
      </c>
      <c r="D306" t="s">
        <v>26</v>
      </c>
      <c r="E306" t="s">
        <v>22</v>
      </c>
      <c r="F306" t="s">
        <v>50</v>
      </c>
      <c r="G306" t="s">
        <v>80</v>
      </c>
      <c r="H306" t="s">
        <v>18</v>
      </c>
      <c r="I306" t="s">
        <v>54</v>
      </c>
      <c r="J306" t="s">
        <v>105</v>
      </c>
      <c r="K306" s="1">
        <v>0.52719094907407404</v>
      </c>
      <c r="L306">
        <f>YEAR(Coffe_sales[[#This Row],[Date]])</f>
        <v>2024</v>
      </c>
    </row>
    <row r="307" spans="1:12" x14ac:dyDescent="0.2">
      <c r="A307" t="s">
        <v>27</v>
      </c>
      <c r="B307" t="s">
        <v>12</v>
      </c>
      <c r="C307">
        <v>32.82</v>
      </c>
      <c r="D307" t="s">
        <v>26</v>
      </c>
      <c r="E307" t="s">
        <v>22</v>
      </c>
      <c r="F307" t="s">
        <v>50</v>
      </c>
      <c r="G307" t="s">
        <v>80</v>
      </c>
      <c r="H307" t="s">
        <v>18</v>
      </c>
      <c r="I307" t="s">
        <v>54</v>
      </c>
      <c r="J307" t="s">
        <v>105</v>
      </c>
      <c r="K307" s="1">
        <v>0.69383591435185188</v>
      </c>
      <c r="L307">
        <f>YEAR(Coffe_sales[[#This Row],[Date]])</f>
        <v>2024</v>
      </c>
    </row>
    <row r="308" spans="1:12" x14ac:dyDescent="0.2">
      <c r="A308" t="s">
        <v>30</v>
      </c>
      <c r="B308" t="s">
        <v>12</v>
      </c>
      <c r="C308">
        <v>32.82</v>
      </c>
      <c r="D308" t="s">
        <v>26</v>
      </c>
      <c r="E308" t="s">
        <v>29</v>
      </c>
      <c r="F308" t="s">
        <v>50</v>
      </c>
      <c r="G308" t="s">
        <v>80</v>
      </c>
      <c r="H308" t="s">
        <v>18</v>
      </c>
      <c r="I308" t="s">
        <v>54</v>
      </c>
      <c r="J308" t="s">
        <v>105</v>
      </c>
      <c r="K308" s="1">
        <v>0.81932850694444448</v>
      </c>
      <c r="L308">
        <f>YEAR(Coffe_sales[[#This Row],[Date]])</f>
        <v>2024</v>
      </c>
    </row>
    <row r="309" spans="1:12" x14ac:dyDescent="0.2">
      <c r="A309" t="s">
        <v>30</v>
      </c>
      <c r="B309" t="s">
        <v>12</v>
      </c>
      <c r="C309">
        <v>37.72</v>
      </c>
      <c r="D309" t="s">
        <v>52</v>
      </c>
      <c r="E309" t="s">
        <v>29</v>
      </c>
      <c r="F309" t="s">
        <v>50</v>
      </c>
      <c r="G309" t="s">
        <v>80</v>
      </c>
      <c r="H309" t="s">
        <v>18</v>
      </c>
      <c r="I309" t="s">
        <v>54</v>
      </c>
      <c r="J309" t="s">
        <v>105</v>
      </c>
      <c r="K309" s="1">
        <v>0.82006980324074075</v>
      </c>
      <c r="L309">
        <f>YEAR(Coffe_sales[[#This Row],[Date]])</f>
        <v>2024</v>
      </c>
    </row>
    <row r="310" spans="1:12" x14ac:dyDescent="0.2">
      <c r="A310" t="s">
        <v>11</v>
      </c>
      <c r="B310" t="s">
        <v>12</v>
      </c>
      <c r="C310">
        <v>27.92</v>
      </c>
      <c r="D310" t="s">
        <v>24</v>
      </c>
      <c r="E310" t="s">
        <v>14</v>
      </c>
      <c r="F310" t="s">
        <v>53</v>
      </c>
      <c r="G310" t="s">
        <v>80</v>
      </c>
      <c r="H310" t="s">
        <v>54</v>
      </c>
      <c r="I310" t="s">
        <v>54</v>
      </c>
      <c r="J310" t="s">
        <v>106</v>
      </c>
      <c r="K310" s="1">
        <v>0.4487043634259259</v>
      </c>
      <c r="L310">
        <f>YEAR(Coffe_sales[[#This Row],[Date]])</f>
        <v>2024</v>
      </c>
    </row>
    <row r="311" spans="1:12" x14ac:dyDescent="0.2">
      <c r="A311" t="s">
        <v>25</v>
      </c>
      <c r="B311" t="s">
        <v>12</v>
      </c>
      <c r="C311">
        <v>37.72</v>
      </c>
      <c r="D311" t="s">
        <v>13</v>
      </c>
      <c r="E311" t="s">
        <v>22</v>
      </c>
      <c r="F311" t="s">
        <v>53</v>
      </c>
      <c r="G311" t="s">
        <v>80</v>
      </c>
      <c r="H311" t="s">
        <v>54</v>
      </c>
      <c r="I311" t="s">
        <v>54</v>
      </c>
      <c r="J311" t="s">
        <v>106</v>
      </c>
      <c r="K311" s="1">
        <v>0.63781216435185184</v>
      </c>
      <c r="L311">
        <f>YEAR(Coffe_sales[[#This Row],[Date]])</f>
        <v>2024</v>
      </c>
    </row>
    <row r="312" spans="1:12" x14ac:dyDescent="0.2">
      <c r="A312" t="s">
        <v>37</v>
      </c>
      <c r="B312" t="s">
        <v>12</v>
      </c>
      <c r="C312">
        <v>27.92</v>
      </c>
      <c r="D312" t="s">
        <v>24</v>
      </c>
      <c r="E312" t="s">
        <v>29</v>
      </c>
      <c r="F312" t="s">
        <v>53</v>
      </c>
      <c r="G312" t="s">
        <v>80</v>
      </c>
      <c r="H312" t="s">
        <v>54</v>
      </c>
      <c r="I312" t="s">
        <v>54</v>
      </c>
      <c r="J312" t="s">
        <v>106</v>
      </c>
      <c r="K312" s="1">
        <v>0.71508719907407403</v>
      </c>
      <c r="L312">
        <f>YEAR(Coffe_sales[[#This Row],[Date]])</f>
        <v>2024</v>
      </c>
    </row>
    <row r="313" spans="1:12" x14ac:dyDescent="0.2">
      <c r="A313" t="s">
        <v>37</v>
      </c>
      <c r="B313" t="s">
        <v>12</v>
      </c>
      <c r="C313">
        <v>27.92</v>
      </c>
      <c r="D313" t="s">
        <v>24</v>
      </c>
      <c r="E313" t="s">
        <v>29</v>
      </c>
      <c r="F313" t="s">
        <v>53</v>
      </c>
      <c r="G313" t="s">
        <v>80</v>
      </c>
      <c r="H313" t="s">
        <v>54</v>
      </c>
      <c r="I313" t="s">
        <v>54</v>
      </c>
      <c r="J313" t="s">
        <v>106</v>
      </c>
      <c r="K313" s="1">
        <v>0.71584667824074077</v>
      </c>
      <c r="L313">
        <f>YEAR(Coffe_sales[[#This Row],[Date]])</f>
        <v>2024</v>
      </c>
    </row>
    <row r="314" spans="1:12" x14ac:dyDescent="0.2">
      <c r="A314" t="s">
        <v>11</v>
      </c>
      <c r="B314" t="s">
        <v>12</v>
      </c>
      <c r="C314">
        <v>37.72</v>
      </c>
      <c r="D314" t="s">
        <v>13</v>
      </c>
      <c r="E314" t="s">
        <v>14</v>
      </c>
      <c r="F314" t="s">
        <v>15</v>
      </c>
      <c r="G314" t="s">
        <v>80</v>
      </c>
      <c r="H314" t="s">
        <v>17</v>
      </c>
      <c r="I314" t="s">
        <v>54</v>
      </c>
      <c r="J314" t="s">
        <v>107</v>
      </c>
      <c r="K314" s="1">
        <v>0.42558585648148151</v>
      </c>
      <c r="L314">
        <f>YEAR(Coffe_sales[[#This Row],[Date]])</f>
        <v>2024</v>
      </c>
    </row>
    <row r="315" spans="1:12" x14ac:dyDescent="0.2">
      <c r="A315" t="s">
        <v>20</v>
      </c>
      <c r="B315" t="s">
        <v>12</v>
      </c>
      <c r="C315">
        <v>37.72</v>
      </c>
      <c r="D315" t="s">
        <v>13</v>
      </c>
      <c r="E315" t="s">
        <v>22</v>
      </c>
      <c r="F315" t="s">
        <v>15</v>
      </c>
      <c r="G315" t="s">
        <v>80</v>
      </c>
      <c r="H315" t="s">
        <v>17</v>
      </c>
      <c r="I315" t="s">
        <v>54</v>
      </c>
      <c r="J315" t="s">
        <v>107</v>
      </c>
      <c r="K315" s="1">
        <v>0.50104837962962967</v>
      </c>
      <c r="L315">
        <f>YEAR(Coffe_sales[[#This Row],[Date]])</f>
        <v>2024</v>
      </c>
    </row>
    <row r="316" spans="1:12" x14ac:dyDescent="0.2">
      <c r="A316" t="s">
        <v>23</v>
      </c>
      <c r="B316" t="s">
        <v>12</v>
      </c>
      <c r="C316">
        <v>37.72</v>
      </c>
      <c r="D316" t="s">
        <v>52</v>
      </c>
      <c r="E316" t="s">
        <v>22</v>
      </c>
      <c r="F316" t="s">
        <v>15</v>
      </c>
      <c r="G316" t="s">
        <v>80</v>
      </c>
      <c r="H316" t="s">
        <v>17</v>
      </c>
      <c r="I316" t="s">
        <v>54</v>
      </c>
      <c r="J316" t="s">
        <v>107</v>
      </c>
      <c r="K316" s="1">
        <v>0.56352195601851851</v>
      </c>
      <c r="L316">
        <f>YEAR(Coffe_sales[[#This Row],[Date]])</f>
        <v>2024</v>
      </c>
    </row>
    <row r="317" spans="1:12" x14ac:dyDescent="0.2">
      <c r="A317" t="s">
        <v>25</v>
      </c>
      <c r="B317" t="s">
        <v>12</v>
      </c>
      <c r="C317">
        <v>27.92</v>
      </c>
      <c r="D317" t="s">
        <v>24</v>
      </c>
      <c r="E317" t="s">
        <v>22</v>
      </c>
      <c r="F317" t="s">
        <v>15</v>
      </c>
      <c r="G317" t="s">
        <v>80</v>
      </c>
      <c r="H317" t="s">
        <v>17</v>
      </c>
      <c r="I317" t="s">
        <v>54</v>
      </c>
      <c r="J317" t="s">
        <v>107</v>
      </c>
      <c r="K317" s="1">
        <v>0.64763182870370373</v>
      </c>
      <c r="L317">
        <f>YEAR(Coffe_sales[[#This Row],[Date]])</f>
        <v>2024</v>
      </c>
    </row>
    <row r="318" spans="1:12" x14ac:dyDescent="0.2">
      <c r="A318" t="s">
        <v>25</v>
      </c>
      <c r="B318" t="s">
        <v>12</v>
      </c>
      <c r="C318">
        <v>27.92</v>
      </c>
      <c r="D318" t="s">
        <v>24</v>
      </c>
      <c r="E318" t="s">
        <v>22</v>
      </c>
      <c r="F318" t="s">
        <v>15</v>
      </c>
      <c r="G318" t="s">
        <v>80</v>
      </c>
      <c r="H318" t="s">
        <v>17</v>
      </c>
      <c r="I318" t="s">
        <v>54</v>
      </c>
      <c r="J318" t="s">
        <v>107</v>
      </c>
      <c r="K318" s="1">
        <v>0.64830013888888893</v>
      </c>
      <c r="L318">
        <f>YEAR(Coffe_sales[[#This Row],[Date]])</f>
        <v>2024</v>
      </c>
    </row>
    <row r="319" spans="1:12" x14ac:dyDescent="0.2">
      <c r="A319" t="s">
        <v>27</v>
      </c>
      <c r="B319" t="s">
        <v>12</v>
      </c>
      <c r="C319">
        <v>27.92</v>
      </c>
      <c r="D319" t="s">
        <v>41</v>
      </c>
      <c r="E319" t="s">
        <v>22</v>
      </c>
      <c r="F319" t="s">
        <v>15</v>
      </c>
      <c r="G319" t="s">
        <v>80</v>
      </c>
      <c r="H319" t="s">
        <v>17</v>
      </c>
      <c r="I319" t="s">
        <v>54</v>
      </c>
      <c r="J319" t="s">
        <v>107</v>
      </c>
      <c r="K319" s="1">
        <v>0.68294576388888883</v>
      </c>
      <c r="L319">
        <f>YEAR(Coffe_sales[[#This Row],[Date]])</f>
        <v>2024</v>
      </c>
    </row>
    <row r="320" spans="1:12" x14ac:dyDescent="0.2">
      <c r="A320" t="s">
        <v>27</v>
      </c>
      <c r="B320" t="s">
        <v>12</v>
      </c>
      <c r="C320">
        <v>27.92</v>
      </c>
      <c r="D320" t="s">
        <v>24</v>
      </c>
      <c r="E320" t="s">
        <v>22</v>
      </c>
      <c r="F320" t="s">
        <v>15</v>
      </c>
      <c r="G320" t="s">
        <v>80</v>
      </c>
      <c r="H320" t="s">
        <v>17</v>
      </c>
      <c r="I320" t="s">
        <v>54</v>
      </c>
      <c r="J320" t="s">
        <v>107</v>
      </c>
      <c r="K320" s="1">
        <v>0.68372453703703706</v>
      </c>
      <c r="L320">
        <f>YEAR(Coffe_sales[[#This Row],[Date]])</f>
        <v>2024</v>
      </c>
    </row>
    <row r="321" spans="1:12" x14ac:dyDescent="0.2">
      <c r="A321" t="s">
        <v>30</v>
      </c>
      <c r="B321" t="s">
        <v>12</v>
      </c>
      <c r="C321">
        <v>37.72</v>
      </c>
      <c r="D321" t="s">
        <v>21</v>
      </c>
      <c r="E321" t="s">
        <v>29</v>
      </c>
      <c r="F321" t="s">
        <v>15</v>
      </c>
      <c r="G321" t="s">
        <v>80</v>
      </c>
      <c r="H321" t="s">
        <v>17</v>
      </c>
      <c r="I321" t="s">
        <v>54</v>
      </c>
      <c r="J321" t="s">
        <v>107</v>
      </c>
      <c r="K321" s="1">
        <v>0.81397120370370368</v>
      </c>
      <c r="L321">
        <f>YEAR(Coffe_sales[[#This Row],[Date]])</f>
        <v>2024</v>
      </c>
    </row>
    <row r="322" spans="1:12" x14ac:dyDescent="0.2">
      <c r="A322" t="s">
        <v>30</v>
      </c>
      <c r="B322" t="s">
        <v>12</v>
      </c>
      <c r="C322">
        <v>37.72</v>
      </c>
      <c r="D322" t="s">
        <v>31</v>
      </c>
      <c r="E322" t="s">
        <v>29</v>
      </c>
      <c r="F322" t="s">
        <v>15</v>
      </c>
      <c r="G322" t="s">
        <v>80</v>
      </c>
      <c r="H322" t="s">
        <v>17</v>
      </c>
      <c r="I322" t="s">
        <v>54</v>
      </c>
      <c r="J322" t="s">
        <v>107</v>
      </c>
      <c r="K322" s="1">
        <v>0.81493310185185186</v>
      </c>
      <c r="L322">
        <f>YEAR(Coffe_sales[[#This Row],[Date]])</f>
        <v>2024</v>
      </c>
    </row>
    <row r="323" spans="1:12" x14ac:dyDescent="0.2">
      <c r="A323" t="s">
        <v>25</v>
      </c>
      <c r="B323" t="s">
        <v>12</v>
      </c>
      <c r="C323">
        <v>37.72</v>
      </c>
      <c r="D323" t="s">
        <v>52</v>
      </c>
      <c r="E323" t="s">
        <v>22</v>
      </c>
      <c r="F323" t="s">
        <v>32</v>
      </c>
      <c r="G323" t="s">
        <v>80</v>
      </c>
      <c r="H323" t="s">
        <v>33</v>
      </c>
      <c r="I323" t="s">
        <v>54</v>
      </c>
      <c r="J323" t="s">
        <v>108</v>
      </c>
      <c r="K323" s="1">
        <v>0.64375787037037036</v>
      </c>
      <c r="L323">
        <f>YEAR(Coffe_sales[[#This Row],[Date]])</f>
        <v>2024</v>
      </c>
    </row>
    <row r="324" spans="1:12" x14ac:dyDescent="0.2">
      <c r="A324" t="s">
        <v>11</v>
      </c>
      <c r="B324" t="s">
        <v>12</v>
      </c>
      <c r="C324">
        <v>37.72</v>
      </c>
      <c r="D324" t="s">
        <v>13</v>
      </c>
      <c r="E324" t="s">
        <v>14</v>
      </c>
      <c r="F324" t="s">
        <v>38</v>
      </c>
      <c r="G324" t="s">
        <v>80</v>
      </c>
      <c r="H324" t="s">
        <v>39</v>
      </c>
      <c r="I324" t="s">
        <v>54</v>
      </c>
      <c r="J324" t="s">
        <v>109</v>
      </c>
      <c r="K324" s="1">
        <v>0.43949628472222224</v>
      </c>
      <c r="L324">
        <f>YEAR(Coffe_sales[[#This Row],[Date]])</f>
        <v>2024</v>
      </c>
    </row>
    <row r="325" spans="1:12" x14ac:dyDescent="0.2">
      <c r="A325" t="s">
        <v>20</v>
      </c>
      <c r="B325" t="s">
        <v>12</v>
      </c>
      <c r="C325">
        <v>37.72</v>
      </c>
      <c r="D325" t="s">
        <v>52</v>
      </c>
      <c r="E325" t="s">
        <v>22</v>
      </c>
      <c r="F325" t="s">
        <v>38</v>
      </c>
      <c r="G325" t="s">
        <v>80</v>
      </c>
      <c r="H325" t="s">
        <v>39</v>
      </c>
      <c r="I325" t="s">
        <v>54</v>
      </c>
      <c r="J325" t="s">
        <v>109</v>
      </c>
      <c r="K325" s="1">
        <v>0.52094616898148149</v>
      </c>
      <c r="L325">
        <f>YEAR(Coffe_sales[[#This Row],[Date]])</f>
        <v>2024</v>
      </c>
    </row>
    <row r="326" spans="1:12" x14ac:dyDescent="0.2">
      <c r="A326" t="s">
        <v>28</v>
      </c>
      <c r="B326" t="s">
        <v>12</v>
      </c>
      <c r="C326">
        <v>27.92</v>
      </c>
      <c r="D326" t="s">
        <v>24</v>
      </c>
      <c r="E326" t="s">
        <v>29</v>
      </c>
      <c r="F326" t="s">
        <v>38</v>
      </c>
      <c r="G326" t="s">
        <v>80</v>
      </c>
      <c r="H326" t="s">
        <v>39</v>
      </c>
      <c r="I326" t="s">
        <v>54</v>
      </c>
      <c r="J326" t="s">
        <v>109</v>
      </c>
      <c r="K326" s="1">
        <v>0.7688452546296296</v>
      </c>
      <c r="L326">
        <f>YEAR(Coffe_sales[[#This Row],[Date]])</f>
        <v>2024</v>
      </c>
    </row>
    <row r="327" spans="1:12" x14ac:dyDescent="0.2">
      <c r="A327" t="s">
        <v>28</v>
      </c>
      <c r="B327" t="s">
        <v>12</v>
      </c>
      <c r="C327">
        <v>27.92</v>
      </c>
      <c r="D327" t="s">
        <v>24</v>
      </c>
      <c r="E327" t="s">
        <v>29</v>
      </c>
      <c r="F327" t="s">
        <v>38</v>
      </c>
      <c r="G327" t="s">
        <v>80</v>
      </c>
      <c r="H327" t="s">
        <v>39</v>
      </c>
      <c r="I327" t="s">
        <v>54</v>
      </c>
      <c r="J327" t="s">
        <v>109</v>
      </c>
      <c r="K327" s="1">
        <v>0.76957651620370371</v>
      </c>
      <c r="L327">
        <f>YEAR(Coffe_sales[[#This Row],[Date]])</f>
        <v>2024</v>
      </c>
    </row>
    <row r="328" spans="1:12" x14ac:dyDescent="0.2">
      <c r="A328" t="s">
        <v>28</v>
      </c>
      <c r="B328" t="s">
        <v>12</v>
      </c>
      <c r="C328">
        <v>37.72</v>
      </c>
      <c r="D328" t="s">
        <v>13</v>
      </c>
      <c r="E328" t="s">
        <v>29</v>
      </c>
      <c r="F328" t="s">
        <v>38</v>
      </c>
      <c r="G328" t="s">
        <v>80</v>
      </c>
      <c r="H328" t="s">
        <v>39</v>
      </c>
      <c r="I328" t="s">
        <v>54</v>
      </c>
      <c r="J328" t="s">
        <v>109</v>
      </c>
      <c r="K328" s="1">
        <v>0.77016636574074071</v>
      </c>
      <c r="L328">
        <f>YEAR(Coffe_sales[[#This Row],[Date]])</f>
        <v>2024</v>
      </c>
    </row>
    <row r="329" spans="1:12" x14ac:dyDescent="0.2">
      <c r="A329" t="s">
        <v>35</v>
      </c>
      <c r="B329" t="s">
        <v>12</v>
      </c>
      <c r="C329">
        <v>27.92</v>
      </c>
      <c r="D329" t="s">
        <v>41</v>
      </c>
      <c r="E329" t="s">
        <v>14</v>
      </c>
      <c r="F329" t="s">
        <v>42</v>
      </c>
      <c r="G329" t="s">
        <v>80</v>
      </c>
      <c r="H329" t="s">
        <v>43</v>
      </c>
      <c r="I329" t="s">
        <v>54</v>
      </c>
      <c r="J329" t="s">
        <v>110</v>
      </c>
      <c r="K329" s="1">
        <v>0.47675776620370369</v>
      </c>
      <c r="L329">
        <f>YEAR(Coffe_sales[[#This Row],[Date]])</f>
        <v>2024</v>
      </c>
    </row>
    <row r="330" spans="1:12" x14ac:dyDescent="0.2">
      <c r="A330" t="s">
        <v>23</v>
      </c>
      <c r="B330" t="s">
        <v>12</v>
      </c>
      <c r="C330">
        <v>27.92</v>
      </c>
      <c r="D330" t="s">
        <v>24</v>
      </c>
      <c r="E330" t="s">
        <v>22</v>
      </c>
      <c r="F330" t="s">
        <v>42</v>
      </c>
      <c r="G330" t="s">
        <v>80</v>
      </c>
      <c r="H330" t="s">
        <v>43</v>
      </c>
      <c r="I330" t="s">
        <v>54</v>
      </c>
      <c r="J330" t="s">
        <v>110</v>
      </c>
      <c r="K330" s="1">
        <v>0.56107579861111112</v>
      </c>
      <c r="L330">
        <f>YEAR(Coffe_sales[[#This Row],[Date]])</f>
        <v>2024</v>
      </c>
    </row>
    <row r="331" spans="1:12" x14ac:dyDescent="0.2">
      <c r="A331" t="s">
        <v>23</v>
      </c>
      <c r="B331" t="s">
        <v>12</v>
      </c>
      <c r="C331">
        <v>27.92</v>
      </c>
      <c r="D331" t="s">
        <v>41</v>
      </c>
      <c r="E331" t="s">
        <v>22</v>
      </c>
      <c r="F331" t="s">
        <v>42</v>
      </c>
      <c r="G331" t="s">
        <v>80</v>
      </c>
      <c r="H331" t="s">
        <v>43</v>
      </c>
      <c r="I331" t="s">
        <v>54</v>
      </c>
      <c r="J331" t="s">
        <v>110</v>
      </c>
      <c r="K331" s="1">
        <v>0.5617349421296296</v>
      </c>
      <c r="L331">
        <f>YEAR(Coffe_sales[[#This Row],[Date]])</f>
        <v>2024</v>
      </c>
    </row>
    <row r="332" spans="1:12" x14ac:dyDescent="0.2">
      <c r="A332" t="s">
        <v>23</v>
      </c>
      <c r="B332" t="s">
        <v>12</v>
      </c>
      <c r="C332">
        <v>27.92</v>
      </c>
      <c r="D332" t="s">
        <v>41</v>
      </c>
      <c r="E332" t="s">
        <v>22</v>
      </c>
      <c r="F332" t="s">
        <v>42</v>
      </c>
      <c r="G332" t="s">
        <v>80</v>
      </c>
      <c r="H332" t="s">
        <v>43</v>
      </c>
      <c r="I332" t="s">
        <v>54</v>
      </c>
      <c r="J332" t="s">
        <v>110</v>
      </c>
      <c r="K332" s="1">
        <v>0.5788857638888889</v>
      </c>
      <c r="L332">
        <f>YEAR(Coffe_sales[[#This Row],[Date]])</f>
        <v>2024</v>
      </c>
    </row>
    <row r="333" spans="1:12" x14ac:dyDescent="0.2">
      <c r="A333" t="s">
        <v>23</v>
      </c>
      <c r="B333" t="s">
        <v>12</v>
      </c>
      <c r="C333">
        <v>32.82</v>
      </c>
      <c r="D333" t="s">
        <v>26</v>
      </c>
      <c r="E333" t="s">
        <v>22</v>
      </c>
      <c r="F333" t="s">
        <v>42</v>
      </c>
      <c r="G333" t="s">
        <v>80</v>
      </c>
      <c r="H333" t="s">
        <v>43</v>
      </c>
      <c r="I333" t="s">
        <v>54</v>
      </c>
      <c r="J333" t="s">
        <v>110</v>
      </c>
      <c r="K333" s="1">
        <v>0.57944857638888891</v>
      </c>
      <c r="L333">
        <f>YEAR(Coffe_sales[[#This Row],[Date]])</f>
        <v>2024</v>
      </c>
    </row>
    <row r="334" spans="1:12" x14ac:dyDescent="0.2">
      <c r="A334" t="s">
        <v>28</v>
      </c>
      <c r="B334" t="s">
        <v>12</v>
      </c>
      <c r="C334">
        <v>37.72</v>
      </c>
      <c r="D334" t="s">
        <v>52</v>
      </c>
      <c r="E334" t="s">
        <v>29</v>
      </c>
      <c r="F334" t="s">
        <v>42</v>
      </c>
      <c r="G334" t="s">
        <v>80</v>
      </c>
      <c r="H334" t="s">
        <v>43</v>
      </c>
      <c r="I334" t="s">
        <v>54</v>
      </c>
      <c r="J334" t="s">
        <v>110</v>
      </c>
      <c r="K334" s="1">
        <v>0.77625469907407407</v>
      </c>
      <c r="L334">
        <f>YEAR(Coffe_sales[[#This Row],[Date]])</f>
        <v>2024</v>
      </c>
    </row>
    <row r="335" spans="1:12" x14ac:dyDescent="0.2">
      <c r="A335" t="s">
        <v>30</v>
      </c>
      <c r="B335" t="s">
        <v>12</v>
      </c>
      <c r="C335">
        <v>37.72</v>
      </c>
      <c r="D335" t="s">
        <v>52</v>
      </c>
      <c r="E335" t="s">
        <v>29</v>
      </c>
      <c r="F335" t="s">
        <v>42</v>
      </c>
      <c r="G335" t="s">
        <v>80</v>
      </c>
      <c r="H335" t="s">
        <v>43</v>
      </c>
      <c r="I335" t="s">
        <v>54</v>
      </c>
      <c r="J335" t="s">
        <v>110</v>
      </c>
      <c r="K335" s="1">
        <v>0.80038418981481485</v>
      </c>
      <c r="L335">
        <f>YEAR(Coffe_sales[[#This Row],[Date]])</f>
        <v>2024</v>
      </c>
    </row>
    <row r="336" spans="1:12" x14ac:dyDescent="0.2">
      <c r="A336" t="s">
        <v>30</v>
      </c>
      <c r="B336" t="s">
        <v>12</v>
      </c>
      <c r="C336">
        <v>37.72</v>
      </c>
      <c r="D336" t="s">
        <v>52</v>
      </c>
      <c r="E336" t="s">
        <v>29</v>
      </c>
      <c r="F336" t="s">
        <v>42</v>
      </c>
      <c r="G336" t="s">
        <v>80</v>
      </c>
      <c r="H336" t="s">
        <v>43</v>
      </c>
      <c r="I336" t="s">
        <v>54</v>
      </c>
      <c r="J336" t="s">
        <v>110</v>
      </c>
      <c r="K336" s="1">
        <v>0.80113284722222222</v>
      </c>
      <c r="L336">
        <f>YEAR(Coffe_sales[[#This Row],[Date]])</f>
        <v>2024</v>
      </c>
    </row>
    <row r="337" spans="1:12" x14ac:dyDescent="0.2">
      <c r="A337" t="s">
        <v>11</v>
      </c>
      <c r="B337" t="s">
        <v>12</v>
      </c>
      <c r="C337">
        <v>37.72</v>
      </c>
      <c r="D337" t="s">
        <v>13</v>
      </c>
      <c r="E337" t="s">
        <v>14</v>
      </c>
      <c r="F337" t="s">
        <v>47</v>
      </c>
      <c r="G337" t="s">
        <v>80</v>
      </c>
      <c r="H337" t="s">
        <v>48</v>
      </c>
      <c r="I337" t="s">
        <v>54</v>
      </c>
      <c r="J337" t="s">
        <v>111</v>
      </c>
      <c r="K337" s="1">
        <v>0.42825802083333331</v>
      </c>
      <c r="L337">
        <f>YEAR(Coffe_sales[[#This Row],[Date]])</f>
        <v>2024</v>
      </c>
    </row>
    <row r="338" spans="1:12" x14ac:dyDescent="0.2">
      <c r="A338" t="s">
        <v>11</v>
      </c>
      <c r="B338" t="s">
        <v>12</v>
      </c>
      <c r="C338">
        <v>32.82</v>
      </c>
      <c r="D338" t="s">
        <v>26</v>
      </c>
      <c r="E338" t="s">
        <v>14</v>
      </c>
      <c r="F338" t="s">
        <v>47</v>
      </c>
      <c r="G338" t="s">
        <v>80</v>
      </c>
      <c r="H338" t="s">
        <v>48</v>
      </c>
      <c r="I338" t="s">
        <v>54</v>
      </c>
      <c r="J338" t="s">
        <v>111</v>
      </c>
      <c r="K338" s="1">
        <v>0.44088252314814813</v>
      </c>
      <c r="L338">
        <f>YEAR(Coffe_sales[[#This Row],[Date]])</f>
        <v>2024</v>
      </c>
    </row>
    <row r="339" spans="1:12" x14ac:dyDescent="0.2">
      <c r="A339" t="s">
        <v>11</v>
      </c>
      <c r="B339" t="s">
        <v>12</v>
      </c>
      <c r="C339">
        <v>32.82</v>
      </c>
      <c r="D339" t="s">
        <v>26</v>
      </c>
      <c r="E339" t="s">
        <v>14</v>
      </c>
      <c r="F339" t="s">
        <v>47</v>
      </c>
      <c r="G339" t="s">
        <v>80</v>
      </c>
      <c r="H339" t="s">
        <v>48</v>
      </c>
      <c r="I339" t="s">
        <v>54</v>
      </c>
      <c r="J339" t="s">
        <v>111</v>
      </c>
      <c r="K339" s="1">
        <v>0.44152334490740741</v>
      </c>
      <c r="L339">
        <f>YEAR(Coffe_sales[[#This Row],[Date]])</f>
        <v>2024</v>
      </c>
    </row>
    <row r="340" spans="1:12" x14ac:dyDescent="0.2">
      <c r="A340" t="s">
        <v>23</v>
      </c>
      <c r="B340" t="s">
        <v>12</v>
      </c>
      <c r="C340">
        <v>27.92</v>
      </c>
      <c r="D340" t="s">
        <v>24</v>
      </c>
      <c r="E340" t="s">
        <v>22</v>
      </c>
      <c r="F340" t="s">
        <v>47</v>
      </c>
      <c r="G340" t="s">
        <v>80</v>
      </c>
      <c r="H340" t="s">
        <v>48</v>
      </c>
      <c r="I340" t="s">
        <v>54</v>
      </c>
      <c r="J340" t="s">
        <v>111</v>
      </c>
      <c r="K340" s="1">
        <v>0.57074450231481477</v>
      </c>
      <c r="L340">
        <f>YEAR(Coffe_sales[[#This Row],[Date]])</f>
        <v>2024</v>
      </c>
    </row>
    <row r="341" spans="1:12" x14ac:dyDescent="0.2">
      <c r="A341" t="s">
        <v>23</v>
      </c>
      <c r="B341" t="s">
        <v>12</v>
      </c>
      <c r="C341">
        <v>32.82</v>
      </c>
      <c r="D341" t="s">
        <v>26</v>
      </c>
      <c r="E341" t="s">
        <v>22</v>
      </c>
      <c r="F341" t="s">
        <v>47</v>
      </c>
      <c r="G341" t="s">
        <v>80</v>
      </c>
      <c r="H341" t="s">
        <v>48</v>
      </c>
      <c r="I341" t="s">
        <v>54</v>
      </c>
      <c r="J341" t="s">
        <v>111</v>
      </c>
      <c r="K341" s="1">
        <v>0.57152751157407411</v>
      </c>
      <c r="L341">
        <f>YEAR(Coffe_sales[[#This Row],[Date]])</f>
        <v>2024</v>
      </c>
    </row>
    <row r="342" spans="1:12" x14ac:dyDescent="0.2">
      <c r="A342" t="s">
        <v>30</v>
      </c>
      <c r="B342" t="s">
        <v>12</v>
      </c>
      <c r="C342">
        <v>37.72</v>
      </c>
      <c r="D342" t="s">
        <v>52</v>
      </c>
      <c r="E342" t="s">
        <v>29</v>
      </c>
      <c r="F342" t="s">
        <v>47</v>
      </c>
      <c r="G342" t="s">
        <v>80</v>
      </c>
      <c r="H342" t="s">
        <v>48</v>
      </c>
      <c r="I342" t="s">
        <v>54</v>
      </c>
      <c r="J342" t="s">
        <v>111</v>
      </c>
      <c r="K342" s="1">
        <v>0.80507105324074069</v>
      </c>
      <c r="L342">
        <f>YEAR(Coffe_sales[[#This Row],[Date]])</f>
        <v>2024</v>
      </c>
    </row>
    <row r="343" spans="1:12" x14ac:dyDescent="0.2">
      <c r="A343" t="s">
        <v>30</v>
      </c>
      <c r="B343" t="s">
        <v>12</v>
      </c>
      <c r="C343">
        <v>32.82</v>
      </c>
      <c r="D343" t="s">
        <v>26</v>
      </c>
      <c r="E343" t="s">
        <v>29</v>
      </c>
      <c r="F343" t="s">
        <v>47</v>
      </c>
      <c r="G343" t="s">
        <v>80</v>
      </c>
      <c r="H343" t="s">
        <v>48</v>
      </c>
      <c r="I343" t="s">
        <v>54</v>
      </c>
      <c r="J343" t="s">
        <v>111</v>
      </c>
      <c r="K343" s="1">
        <v>0.81254633101851848</v>
      </c>
      <c r="L343">
        <f>YEAR(Coffe_sales[[#This Row],[Date]])</f>
        <v>2024</v>
      </c>
    </row>
    <row r="344" spans="1:12" x14ac:dyDescent="0.2">
      <c r="A344" t="s">
        <v>30</v>
      </c>
      <c r="B344" t="s">
        <v>12</v>
      </c>
      <c r="C344">
        <v>37.72</v>
      </c>
      <c r="D344" t="s">
        <v>13</v>
      </c>
      <c r="E344" t="s">
        <v>29</v>
      </c>
      <c r="F344" t="s">
        <v>47</v>
      </c>
      <c r="G344" t="s">
        <v>80</v>
      </c>
      <c r="H344" t="s">
        <v>48</v>
      </c>
      <c r="I344" t="s">
        <v>54</v>
      </c>
      <c r="J344" t="s">
        <v>111</v>
      </c>
      <c r="K344" s="1">
        <v>0.81343694444444448</v>
      </c>
      <c r="L344">
        <f>YEAR(Coffe_sales[[#This Row],[Date]])</f>
        <v>2024</v>
      </c>
    </row>
    <row r="345" spans="1:12" x14ac:dyDescent="0.2">
      <c r="A345" t="s">
        <v>11</v>
      </c>
      <c r="B345" t="s">
        <v>12</v>
      </c>
      <c r="C345">
        <v>27.92</v>
      </c>
      <c r="D345" t="s">
        <v>24</v>
      </c>
      <c r="E345" t="s">
        <v>14</v>
      </c>
      <c r="F345" t="s">
        <v>53</v>
      </c>
      <c r="G345" t="s">
        <v>112</v>
      </c>
      <c r="H345" t="s">
        <v>54</v>
      </c>
      <c r="I345" t="s">
        <v>17</v>
      </c>
      <c r="J345" t="s">
        <v>113</v>
      </c>
      <c r="K345" s="1">
        <v>0.44022854166666664</v>
      </c>
      <c r="L345">
        <f>YEAR(Coffe_sales[[#This Row],[Date]])</f>
        <v>2024</v>
      </c>
    </row>
    <row r="346" spans="1:12" x14ac:dyDescent="0.2">
      <c r="A346" t="s">
        <v>23</v>
      </c>
      <c r="B346" t="s">
        <v>12</v>
      </c>
      <c r="C346">
        <v>32.82</v>
      </c>
      <c r="D346" t="s">
        <v>26</v>
      </c>
      <c r="E346" t="s">
        <v>22</v>
      </c>
      <c r="F346" t="s">
        <v>53</v>
      </c>
      <c r="G346" t="s">
        <v>112</v>
      </c>
      <c r="H346" t="s">
        <v>54</v>
      </c>
      <c r="I346" t="s">
        <v>17</v>
      </c>
      <c r="J346" t="s">
        <v>113</v>
      </c>
      <c r="K346" s="1">
        <v>0.57615622685185186</v>
      </c>
      <c r="L346">
        <f>YEAR(Coffe_sales[[#This Row],[Date]])</f>
        <v>2024</v>
      </c>
    </row>
    <row r="347" spans="1:12" x14ac:dyDescent="0.2">
      <c r="A347" t="s">
        <v>28</v>
      </c>
      <c r="B347" t="s">
        <v>12</v>
      </c>
      <c r="C347">
        <v>37.72</v>
      </c>
      <c r="D347" t="s">
        <v>52</v>
      </c>
      <c r="E347" t="s">
        <v>29</v>
      </c>
      <c r="F347" t="s">
        <v>53</v>
      </c>
      <c r="G347" t="s">
        <v>112</v>
      </c>
      <c r="H347" t="s">
        <v>54</v>
      </c>
      <c r="I347" t="s">
        <v>17</v>
      </c>
      <c r="J347" t="s">
        <v>113</v>
      </c>
      <c r="K347" s="1">
        <v>0.7752562268518518</v>
      </c>
      <c r="L347">
        <f>YEAR(Coffe_sales[[#This Row],[Date]])</f>
        <v>2024</v>
      </c>
    </row>
    <row r="348" spans="1:12" x14ac:dyDescent="0.2">
      <c r="A348" t="s">
        <v>28</v>
      </c>
      <c r="B348" t="s">
        <v>12</v>
      </c>
      <c r="C348">
        <v>32.82</v>
      </c>
      <c r="D348" t="s">
        <v>26</v>
      </c>
      <c r="E348" t="s">
        <v>29</v>
      </c>
      <c r="F348" t="s">
        <v>53</v>
      </c>
      <c r="G348" t="s">
        <v>112</v>
      </c>
      <c r="H348" t="s">
        <v>54</v>
      </c>
      <c r="I348" t="s">
        <v>17</v>
      </c>
      <c r="J348" t="s">
        <v>113</v>
      </c>
      <c r="K348" s="1">
        <v>0.77860208333333336</v>
      </c>
      <c r="L348">
        <f>YEAR(Coffe_sales[[#This Row],[Date]])</f>
        <v>2024</v>
      </c>
    </row>
    <row r="349" spans="1:12" x14ac:dyDescent="0.2">
      <c r="A349" t="s">
        <v>30</v>
      </c>
      <c r="B349" t="s">
        <v>12</v>
      </c>
      <c r="C349">
        <v>37.72</v>
      </c>
      <c r="D349" t="s">
        <v>13</v>
      </c>
      <c r="E349" t="s">
        <v>29</v>
      </c>
      <c r="F349" t="s">
        <v>53</v>
      </c>
      <c r="G349" t="s">
        <v>112</v>
      </c>
      <c r="H349" t="s">
        <v>54</v>
      </c>
      <c r="I349" t="s">
        <v>17</v>
      </c>
      <c r="J349" t="s">
        <v>113</v>
      </c>
      <c r="K349" s="1">
        <v>0.80454958333333337</v>
      </c>
      <c r="L349">
        <f>YEAR(Coffe_sales[[#This Row],[Date]])</f>
        <v>2024</v>
      </c>
    </row>
    <row r="350" spans="1:12" x14ac:dyDescent="0.2">
      <c r="A350" t="s">
        <v>30</v>
      </c>
      <c r="B350" t="s">
        <v>12</v>
      </c>
      <c r="C350">
        <v>37.72</v>
      </c>
      <c r="D350" t="s">
        <v>52</v>
      </c>
      <c r="E350" t="s">
        <v>29</v>
      </c>
      <c r="F350" t="s">
        <v>53</v>
      </c>
      <c r="G350" t="s">
        <v>112</v>
      </c>
      <c r="H350" t="s">
        <v>54</v>
      </c>
      <c r="I350" t="s">
        <v>17</v>
      </c>
      <c r="J350" t="s">
        <v>113</v>
      </c>
      <c r="K350" s="1">
        <v>0.80551341435185186</v>
      </c>
      <c r="L350">
        <f>YEAR(Coffe_sales[[#This Row],[Date]])</f>
        <v>2024</v>
      </c>
    </row>
    <row r="351" spans="1:12" x14ac:dyDescent="0.2">
      <c r="A351" t="s">
        <v>36</v>
      </c>
      <c r="B351" t="s">
        <v>12</v>
      </c>
      <c r="C351">
        <v>37.72</v>
      </c>
      <c r="D351" t="s">
        <v>13</v>
      </c>
      <c r="E351" t="s">
        <v>22</v>
      </c>
      <c r="F351" t="s">
        <v>15</v>
      </c>
      <c r="G351" t="s">
        <v>112</v>
      </c>
      <c r="H351" t="s">
        <v>17</v>
      </c>
      <c r="I351" t="s">
        <v>17</v>
      </c>
      <c r="J351" t="s">
        <v>114</v>
      </c>
      <c r="K351" s="1">
        <v>0.60417734953703706</v>
      </c>
      <c r="L351">
        <f>YEAR(Coffe_sales[[#This Row],[Date]])</f>
        <v>2024</v>
      </c>
    </row>
    <row r="352" spans="1:12" x14ac:dyDescent="0.2">
      <c r="A352" t="s">
        <v>37</v>
      </c>
      <c r="B352" t="s">
        <v>12</v>
      </c>
      <c r="C352">
        <v>37.72</v>
      </c>
      <c r="D352" t="s">
        <v>13</v>
      </c>
      <c r="E352" t="s">
        <v>29</v>
      </c>
      <c r="F352" t="s">
        <v>15</v>
      </c>
      <c r="G352" t="s">
        <v>112</v>
      </c>
      <c r="H352" t="s">
        <v>17</v>
      </c>
      <c r="I352" t="s">
        <v>17</v>
      </c>
      <c r="J352" t="s">
        <v>114</v>
      </c>
      <c r="K352" s="1">
        <v>0.71070491898148147</v>
      </c>
      <c r="L352">
        <f>YEAR(Coffe_sales[[#This Row],[Date]])</f>
        <v>2024</v>
      </c>
    </row>
    <row r="353" spans="1:12" x14ac:dyDescent="0.2">
      <c r="A353" t="s">
        <v>11</v>
      </c>
      <c r="B353" t="s">
        <v>12</v>
      </c>
      <c r="C353">
        <v>27.92</v>
      </c>
      <c r="D353" t="s">
        <v>24</v>
      </c>
      <c r="E353" t="s">
        <v>14</v>
      </c>
      <c r="F353" t="s">
        <v>42</v>
      </c>
      <c r="G353" t="s">
        <v>112</v>
      </c>
      <c r="H353" t="s">
        <v>43</v>
      </c>
      <c r="I353" t="s">
        <v>17</v>
      </c>
      <c r="J353" t="s">
        <v>115</v>
      </c>
      <c r="K353" s="1">
        <v>0.42034629629629627</v>
      </c>
      <c r="L353">
        <f>YEAR(Coffe_sales[[#This Row],[Date]])</f>
        <v>2024</v>
      </c>
    </row>
    <row r="354" spans="1:12" x14ac:dyDescent="0.2">
      <c r="A354" t="s">
        <v>11</v>
      </c>
      <c r="B354" t="s">
        <v>12</v>
      </c>
      <c r="C354">
        <v>37.72</v>
      </c>
      <c r="D354" t="s">
        <v>52</v>
      </c>
      <c r="E354" t="s">
        <v>14</v>
      </c>
      <c r="F354" t="s">
        <v>42</v>
      </c>
      <c r="G354" t="s">
        <v>112</v>
      </c>
      <c r="H354" t="s">
        <v>43</v>
      </c>
      <c r="I354" t="s">
        <v>17</v>
      </c>
      <c r="J354" t="s">
        <v>115</v>
      </c>
      <c r="K354" s="1">
        <v>0.4214308449074074</v>
      </c>
      <c r="L354">
        <f>YEAR(Coffe_sales[[#This Row],[Date]])</f>
        <v>2024</v>
      </c>
    </row>
    <row r="355" spans="1:12" x14ac:dyDescent="0.2">
      <c r="A355" t="s">
        <v>11</v>
      </c>
      <c r="B355" t="s">
        <v>12</v>
      </c>
      <c r="C355">
        <v>32.82</v>
      </c>
      <c r="D355" t="s">
        <v>26</v>
      </c>
      <c r="E355" t="s">
        <v>14</v>
      </c>
      <c r="F355" t="s">
        <v>42</v>
      </c>
      <c r="G355" t="s">
        <v>112</v>
      </c>
      <c r="H355" t="s">
        <v>43</v>
      </c>
      <c r="I355" t="s">
        <v>17</v>
      </c>
      <c r="J355" t="s">
        <v>115</v>
      </c>
      <c r="K355" s="1">
        <v>0.4222900810185185</v>
      </c>
      <c r="L355">
        <f>YEAR(Coffe_sales[[#This Row],[Date]])</f>
        <v>2024</v>
      </c>
    </row>
    <row r="356" spans="1:12" x14ac:dyDescent="0.2">
      <c r="A356" t="s">
        <v>11</v>
      </c>
      <c r="B356" t="s">
        <v>12</v>
      </c>
      <c r="C356">
        <v>27.92</v>
      </c>
      <c r="D356" t="s">
        <v>24</v>
      </c>
      <c r="E356" t="s">
        <v>14</v>
      </c>
      <c r="F356" t="s">
        <v>42</v>
      </c>
      <c r="G356" t="s">
        <v>112</v>
      </c>
      <c r="H356" t="s">
        <v>43</v>
      </c>
      <c r="I356" t="s">
        <v>17</v>
      </c>
      <c r="J356" t="s">
        <v>115</v>
      </c>
      <c r="K356" s="1">
        <v>0.42300899305555556</v>
      </c>
      <c r="L356">
        <f>YEAR(Coffe_sales[[#This Row],[Date]])</f>
        <v>2024</v>
      </c>
    </row>
    <row r="357" spans="1:12" x14ac:dyDescent="0.2">
      <c r="A357" t="s">
        <v>11</v>
      </c>
      <c r="B357" t="s">
        <v>12</v>
      </c>
      <c r="C357">
        <v>27.92</v>
      </c>
      <c r="D357" t="s">
        <v>41</v>
      </c>
      <c r="E357" t="s">
        <v>14</v>
      </c>
      <c r="F357" t="s">
        <v>42</v>
      </c>
      <c r="G357" t="s">
        <v>112</v>
      </c>
      <c r="H357" t="s">
        <v>43</v>
      </c>
      <c r="I357" t="s">
        <v>17</v>
      </c>
      <c r="J357" t="s">
        <v>115</v>
      </c>
      <c r="K357" s="1">
        <v>0.44389630787037038</v>
      </c>
      <c r="L357">
        <f>YEAR(Coffe_sales[[#This Row],[Date]])</f>
        <v>2024</v>
      </c>
    </row>
    <row r="358" spans="1:12" x14ac:dyDescent="0.2">
      <c r="A358" t="s">
        <v>23</v>
      </c>
      <c r="B358" t="s">
        <v>12</v>
      </c>
      <c r="C358">
        <v>27.92</v>
      </c>
      <c r="D358" t="s">
        <v>41</v>
      </c>
      <c r="E358" t="s">
        <v>22</v>
      </c>
      <c r="F358" t="s">
        <v>42</v>
      </c>
      <c r="G358" t="s">
        <v>112</v>
      </c>
      <c r="H358" t="s">
        <v>43</v>
      </c>
      <c r="I358" t="s">
        <v>17</v>
      </c>
      <c r="J358" t="s">
        <v>115</v>
      </c>
      <c r="K358" s="1">
        <v>0.55429386574074069</v>
      </c>
      <c r="L358">
        <f>YEAR(Coffe_sales[[#This Row],[Date]])</f>
        <v>2024</v>
      </c>
    </row>
    <row r="359" spans="1:12" x14ac:dyDescent="0.2">
      <c r="A359" t="s">
        <v>23</v>
      </c>
      <c r="B359" t="s">
        <v>12</v>
      </c>
      <c r="C359">
        <v>27.92</v>
      </c>
      <c r="D359" t="s">
        <v>24</v>
      </c>
      <c r="E359" t="s">
        <v>22</v>
      </c>
      <c r="F359" t="s">
        <v>42</v>
      </c>
      <c r="G359" t="s">
        <v>112</v>
      </c>
      <c r="H359" t="s">
        <v>43</v>
      </c>
      <c r="I359" t="s">
        <v>17</v>
      </c>
      <c r="J359" t="s">
        <v>115</v>
      </c>
      <c r="K359" s="1">
        <v>0.55487049768518515</v>
      </c>
      <c r="L359">
        <f>YEAR(Coffe_sales[[#This Row],[Date]])</f>
        <v>2024</v>
      </c>
    </row>
    <row r="360" spans="1:12" x14ac:dyDescent="0.2">
      <c r="A360" t="s">
        <v>30</v>
      </c>
      <c r="B360" t="s">
        <v>12</v>
      </c>
      <c r="C360">
        <v>37.72</v>
      </c>
      <c r="D360" t="s">
        <v>52</v>
      </c>
      <c r="E360" t="s">
        <v>29</v>
      </c>
      <c r="F360" t="s">
        <v>42</v>
      </c>
      <c r="G360" t="s">
        <v>112</v>
      </c>
      <c r="H360" t="s">
        <v>43</v>
      </c>
      <c r="I360" t="s">
        <v>17</v>
      </c>
      <c r="J360" t="s">
        <v>115</v>
      </c>
      <c r="K360" s="1">
        <v>0.80431700231481484</v>
      </c>
      <c r="L360">
        <f>YEAR(Coffe_sales[[#This Row],[Date]])</f>
        <v>2024</v>
      </c>
    </row>
    <row r="361" spans="1:12" x14ac:dyDescent="0.2">
      <c r="A361" t="s">
        <v>30</v>
      </c>
      <c r="B361" t="s">
        <v>12</v>
      </c>
      <c r="C361">
        <v>37.72</v>
      </c>
      <c r="D361" t="s">
        <v>52</v>
      </c>
      <c r="E361" t="s">
        <v>29</v>
      </c>
      <c r="F361" t="s">
        <v>42</v>
      </c>
      <c r="G361" t="s">
        <v>112</v>
      </c>
      <c r="H361" t="s">
        <v>43</v>
      </c>
      <c r="I361" t="s">
        <v>17</v>
      </c>
      <c r="J361" t="s">
        <v>115</v>
      </c>
      <c r="K361" s="1">
        <v>0.80543458333333329</v>
      </c>
      <c r="L361">
        <f>YEAR(Coffe_sales[[#This Row],[Date]])</f>
        <v>2024</v>
      </c>
    </row>
    <row r="362" spans="1:12" x14ac:dyDescent="0.2">
      <c r="A362" t="s">
        <v>11</v>
      </c>
      <c r="B362" t="s">
        <v>12</v>
      </c>
      <c r="C362">
        <v>37.72</v>
      </c>
      <c r="D362" t="s">
        <v>31</v>
      </c>
      <c r="E362" t="s">
        <v>14</v>
      </c>
      <c r="F362" t="s">
        <v>47</v>
      </c>
      <c r="G362" t="s">
        <v>112</v>
      </c>
      <c r="H362" t="s">
        <v>48</v>
      </c>
      <c r="I362" t="s">
        <v>17</v>
      </c>
      <c r="J362" t="s">
        <v>116</v>
      </c>
      <c r="K362" s="1">
        <v>0.4478655324074074</v>
      </c>
      <c r="L362">
        <f>YEAR(Coffe_sales[[#This Row],[Date]])</f>
        <v>2024</v>
      </c>
    </row>
    <row r="363" spans="1:12" x14ac:dyDescent="0.2">
      <c r="A363" t="s">
        <v>35</v>
      </c>
      <c r="B363" t="s">
        <v>12</v>
      </c>
      <c r="C363">
        <v>27.92</v>
      </c>
      <c r="D363" t="s">
        <v>41</v>
      </c>
      <c r="E363" t="s">
        <v>14</v>
      </c>
      <c r="F363" t="s">
        <v>47</v>
      </c>
      <c r="G363" t="s">
        <v>112</v>
      </c>
      <c r="H363" t="s">
        <v>48</v>
      </c>
      <c r="I363" t="s">
        <v>17</v>
      </c>
      <c r="J363" t="s">
        <v>116</v>
      </c>
      <c r="K363" s="1">
        <v>0.47359366898148147</v>
      </c>
      <c r="L363">
        <f>YEAR(Coffe_sales[[#This Row],[Date]])</f>
        <v>2024</v>
      </c>
    </row>
    <row r="364" spans="1:12" x14ac:dyDescent="0.2">
      <c r="A364" t="s">
        <v>23</v>
      </c>
      <c r="B364" t="s">
        <v>12</v>
      </c>
      <c r="C364">
        <v>27.92</v>
      </c>
      <c r="D364" t="s">
        <v>41</v>
      </c>
      <c r="E364" t="s">
        <v>22</v>
      </c>
      <c r="F364" t="s">
        <v>47</v>
      </c>
      <c r="G364" t="s">
        <v>112</v>
      </c>
      <c r="H364" t="s">
        <v>48</v>
      </c>
      <c r="I364" t="s">
        <v>17</v>
      </c>
      <c r="J364" t="s">
        <v>116</v>
      </c>
      <c r="K364" s="1">
        <v>0.5580433217592593</v>
      </c>
      <c r="L364">
        <f>YEAR(Coffe_sales[[#This Row],[Date]])</f>
        <v>2024</v>
      </c>
    </row>
    <row r="365" spans="1:12" x14ac:dyDescent="0.2">
      <c r="A365" t="s">
        <v>27</v>
      </c>
      <c r="B365" t="s">
        <v>12</v>
      </c>
      <c r="C365">
        <v>37.72</v>
      </c>
      <c r="D365" t="s">
        <v>31</v>
      </c>
      <c r="E365" t="s">
        <v>22</v>
      </c>
      <c r="F365" t="s">
        <v>47</v>
      </c>
      <c r="G365" t="s">
        <v>112</v>
      </c>
      <c r="H365" t="s">
        <v>48</v>
      </c>
      <c r="I365" t="s">
        <v>17</v>
      </c>
      <c r="J365" t="s">
        <v>116</v>
      </c>
      <c r="K365" s="1">
        <v>0.69592476851851848</v>
      </c>
      <c r="L365">
        <f>YEAR(Coffe_sales[[#This Row],[Date]])</f>
        <v>2024</v>
      </c>
    </row>
    <row r="366" spans="1:12" x14ac:dyDescent="0.2">
      <c r="A366" t="s">
        <v>27</v>
      </c>
      <c r="B366" t="s">
        <v>12</v>
      </c>
      <c r="C366">
        <v>27.92</v>
      </c>
      <c r="D366" t="s">
        <v>24</v>
      </c>
      <c r="E366" t="s">
        <v>22</v>
      </c>
      <c r="F366" t="s">
        <v>47</v>
      </c>
      <c r="G366" t="s">
        <v>112</v>
      </c>
      <c r="H366" t="s">
        <v>48</v>
      </c>
      <c r="I366" t="s">
        <v>17</v>
      </c>
      <c r="J366" t="s">
        <v>116</v>
      </c>
      <c r="K366" s="1">
        <v>0.70531024305555556</v>
      </c>
      <c r="L366">
        <f>YEAR(Coffe_sales[[#This Row],[Date]])</f>
        <v>2024</v>
      </c>
    </row>
    <row r="367" spans="1:12" x14ac:dyDescent="0.2">
      <c r="A367" t="s">
        <v>37</v>
      </c>
      <c r="B367" t="s">
        <v>12</v>
      </c>
      <c r="C367">
        <v>37.72</v>
      </c>
      <c r="D367" t="s">
        <v>52</v>
      </c>
      <c r="E367" t="s">
        <v>29</v>
      </c>
      <c r="F367" t="s">
        <v>47</v>
      </c>
      <c r="G367" t="s">
        <v>112</v>
      </c>
      <c r="H367" t="s">
        <v>48</v>
      </c>
      <c r="I367" t="s">
        <v>17</v>
      </c>
      <c r="J367" t="s">
        <v>116</v>
      </c>
      <c r="K367" s="1">
        <v>0.73456495370370367</v>
      </c>
      <c r="L367">
        <f>YEAR(Coffe_sales[[#This Row],[Date]])</f>
        <v>2024</v>
      </c>
    </row>
    <row r="368" spans="1:12" x14ac:dyDescent="0.2">
      <c r="A368" t="s">
        <v>37</v>
      </c>
      <c r="B368" t="s">
        <v>12</v>
      </c>
      <c r="C368">
        <v>37.72</v>
      </c>
      <c r="D368" t="s">
        <v>13</v>
      </c>
      <c r="E368" t="s">
        <v>29</v>
      </c>
      <c r="F368" t="s">
        <v>47</v>
      </c>
      <c r="G368" t="s">
        <v>112</v>
      </c>
      <c r="H368" t="s">
        <v>48</v>
      </c>
      <c r="I368" t="s">
        <v>17</v>
      </c>
      <c r="J368" t="s">
        <v>116</v>
      </c>
      <c r="K368" s="1">
        <v>0.73528003472222225</v>
      </c>
      <c r="L368">
        <f>YEAR(Coffe_sales[[#This Row],[Date]])</f>
        <v>2024</v>
      </c>
    </row>
    <row r="369" spans="1:12" x14ac:dyDescent="0.2">
      <c r="A369" t="s">
        <v>30</v>
      </c>
      <c r="B369" t="s">
        <v>12</v>
      </c>
      <c r="C369">
        <v>37.72</v>
      </c>
      <c r="D369" t="s">
        <v>52</v>
      </c>
      <c r="E369" t="s">
        <v>29</v>
      </c>
      <c r="F369" t="s">
        <v>47</v>
      </c>
      <c r="G369" t="s">
        <v>112</v>
      </c>
      <c r="H369" t="s">
        <v>48</v>
      </c>
      <c r="I369" t="s">
        <v>17</v>
      </c>
      <c r="J369" t="s">
        <v>116</v>
      </c>
      <c r="K369" s="1">
        <v>0.80014495370370375</v>
      </c>
      <c r="L369">
        <f>YEAR(Coffe_sales[[#This Row],[Date]])</f>
        <v>2024</v>
      </c>
    </row>
    <row r="370" spans="1:12" x14ac:dyDescent="0.2">
      <c r="A370" t="s">
        <v>30</v>
      </c>
      <c r="B370" t="s">
        <v>12</v>
      </c>
      <c r="C370">
        <v>37.72</v>
      </c>
      <c r="D370" t="s">
        <v>52</v>
      </c>
      <c r="E370" t="s">
        <v>29</v>
      </c>
      <c r="F370" t="s">
        <v>47</v>
      </c>
      <c r="G370" t="s">
        <v>112</v>
      </c>
      <c r="H370" t="s">
        <v>48</v>
      </c>
      <c r="I370" t="s">
        <v>17</v>
      </c>
      <c r="J370" t="s">
        <v>116</v>
      </c>
      <c r="K370" s="1">
        <v>0.80083559027777773</v>
      </c>
      <c r="L370">
        <f>YEAR(Coffe_sales[[#This Row],[Date]])</f>
        <v>2024</v>
      </c>
    </row>
    <row r="371" spans="1:12" x14ac:dyDescent="0.2">
      <c r="A371" t="s">
        <v>11</v>
      </c>
      <c r="B371" t="s">
        <v>12</v>
      </c>
      <c r="C371">
        <v>37.72</v>
      </c>
      <c r="D371" t="s">
        <v>13</v>
      </c>
      <c r="E371" t="s">
        <v>14</v>
      </c>
      <c r="F371" t="s">
        <v>50</v>
      </c>
      <c r="G371" t="s">
        <v>112</v>
      </c>
      <c r="H371" t="s">
        <v>18</v>
      </c>
      <c r="I371" t="s">
        <v>17</v>
      </c>
      <c r="J371" t="s">
        <v>117</v>
      </c>
      <c r="K371" s="1">
        <v>0.42186184027777779</v>
      </c>
      <c r="L371">
        <f>YEAR(Coffe_sales[[#This Row],[Date]])</f>
        <v>2024</v>
      </c>
    </row>
    <row r="372" spans="1:12" x14ac:dyDescent="0.2">
      <c r="A372" t="s">
        <v>20</v>
      </c>
      <c r="B372" t="s">
        <v>12</v>
      </c>
      <c r="C372">
        <v>37.72</v>
      </c>
      <c r="D372" t="s">
        <v>52</v>
      </c>
      <c r="E372" t="s">
        <v>22</v>
      </c>
      <c r="F372" t="s">
        <v>53</v>
      </c>
      <c r="G372" t="s">
        <v>112</v>
      </c>
      <c r="H372" t="s">
        <v>54</v>
      </c>
      <c r="I372" t="s">
        <v>17</v>
      </c>
      <c r="J372" t="s">
        <v>118</v>
      </c>
      <c r="K372" s="1">
        <v>0.53775245370370373</v>
      </c>
      <c r="L372">
        <f>YEAR(Coffe_sales[[#This Row],[Date]])</f>
        <v>2024</v>
      </c>
    </row>
    <row r="373" spans="1:12" x14ac:dyDescent="0.2">
      <c r="A373" t="s">
        <v>23</v>
      </c>
      <c r="B373" t="s">
        <v>12</v>
      </c>
      <c r="C373">
        <v>27.92</v>
      </c>
      <c r="D373" t="s">
        <v>24</v>
      </c>
      <c r="E373" t="s">
        <v>22</v>
      </c>
      <c r="F373" t="s">
        <v>53</v>
      </c>
      <c r="G373" t="s">
        <v>112</v>
      </c>
      <c r="H373" t="s">
        <v>54</v>
      </c>
      <c r="I373" t="s">
        <v>17</v>
      </c>
      <c r="J373" t="s">
        <v>118</v>
      </c>
      <c r="K373" s="1">
        <v>0.54442773148148149</v>
      </c>
      <c r="L373">
        <f>YEAR(Coffe_sales[[#This Row],[Date]])</f>
        <v>2024</v>
      </c>
    </row>
    <row r="374" spans="1:12" x14ac:dyDescent="0.2">
      <c r="A374" t="s">
        <v>23</v>
      </c>
      <c r="B374" t="s">
        <v>12</v>
      </c>
      <c r="C374">
        <v>37.72</v>
      </c>
      <c r="D374" t="s">
        <v>13</v>
      </c>
      <c r="E374" t="s">
        <v>22</v>
      </c>
      <c r="F374" t="s">
        <v>53</v>
      </c>
      <c r="G374" t="s">
        <v>112</v>
      </c>
      <c r="H374" t="s">
        <v>54</v>
      </c>
      <c r="I374" t="s">
        <v>17</v>
      </c>
      <c r="J374" t="s">
        <v>118</v>
      </c>
      <c r="K374" s="1">
        <v>0.54511165509259263</v>
      </c>
      <c r="L374">
        <f>YEAR(Coffe_sales[[#This Row],[Date]])</f>
        <v>2024</v>
      </c>
    </row>
    <row r="375" spans="1:12" x14ac:dyDescent="0.2">
      <c r="A375" t="s">
        <v>23</v>
      </c>
      <c r="B375" t="s">
        <v>12</v>
      </c>
      <c r="C375">
        <v>37.72</v>
      </c>
      <c r="D375" t="s">
        <v>13</v>
      </c>
      <c r="E375" t="s">
        <v>22</v>
      </c>
      <c r="F375" t="s">
        <v>53</v>
      </c>
      <c r="G375" t="s">
        <v>112</v>
      </c>
      <c r="H375" t="s">
        <v>54</v>
      </c>
      <c r="I375" t="s">
        <v>17</v>
      </c>
      <c r="J375" t="s">
        <v>118</v>
      </c>
      <c r="K375" s="1">
        <v>0.54596366898148152</v>
      </c>
      <c r="L375">
        <f>YEAR(Coffe_sales[[#This Row],[Date]])</f>
        <v>2024</v>
      </c>
    </row>
    <row r="376" spans="1:12" x14ac:dyDescent="0.2">
      <c r="A376" t="s">
        <v>23</v>
      </c>
      <c r="B376" t="s">
        <v>12</v>
      </c>
      <c r="C376">
        <v>37.72</v>
      </c>
      <c r="D376" t="s">
        <v>13</v>
      </c>
      <c r="E376" t="s">
        <v>22</v>
      </c>
      <c r="F376" t="s">
        <v>53</v>
      </c>
      <c r="G376" t="s">
        <v>112</v>
      </c>
      <c r="H376" t="s">
        <v>54</v>
      </c>
      <c r="I376" t="s">
        <v>17</v>
      </c>
      <c r="J376" t="s">
        <v>118</v>
      </c>
      <c r="K376" s="1">
        <v>0.5467176967592593</v>
      </c>
      <c r="L376">
        <f>YEAR(Coffe_sales[[#This Row],[Date]])</f>
        <v>2024</v>
      </c>
    </row>
    <row r="377" spans="1:12" x14ac:dyDescent="0.2">
      <c r="A377" t="s">
        <v>27</v>
      </c>
      <c r="B377" t="s">
        <v>12</v>
      </c>
      <c r="C377">
        <v>27.92</v>
      </c>
      <c r="D377" t="s">
        <v>24</v>
      </c>
      <c r="E377" t="s">
        <v>22</v>
      </c>
      <c r="F377" t="s">
        <v>53</v>
      </c>
      <c r="G377" t="s">
        <v>112</v>
      </c>
      <c r="H377" t="s">
        <v>54</v>
      </c>
      <c r="I377" t="s">
        <v>17</v>
      </c>
      <c r="J377" t="s">
        <v>118</v>
      </c>
      <c r="K377" s="1">
        <v>0.70503010416666667</v>
      </c>
      <c r="L377">
        <f>YEAR(Coffe_sales[[#This Row],[Date]])</f>
        <v>2024</v>
      </c>
    </row>
    <row r="378" spans="1:12" x14ac:dyDescent="0.2">
      <c r="A378" t="s">
        <v>27</v>
      </c>
      <c r="B378" t="s">
        <v>12</v>
      </c>
      <c r="C378">
        <v>27.92</v>
      </c>
      <c r="D378" t="s">
        <v>24</v>
      </c>
      <c r="E378" t="s">
        <v>22</v>
      </c>
      <c r="F378" t="s">
        <v>53</v>
      </c>
      <c r="G378" t="s">
        <v>112</v>
      </c>
      <c r="H378" t="s">
        <v>54</v>
      </c>
      <c r="I378" t="s">
        <v>17</v>
      </c>
      <c r="J378" t="s">
        <v>118</v>
      </c>
      <c r="K378" s="1">
        <v>0.70572903935185183</v>
      </c>
      <c r="L378">
        <f>YEAR(Coffe_sales[[#This Row],[Date]])</f>
        <v>2024</v>
      </c>
    </row>
    <row r="379" spans="1:12" x14ac:dyDescent="0.2">
      <c r="A379" t="s">
        <v>28</v>
      </c>
      <c r="B379" t="s">
        <v>12</v>
      </c>
      <c r="C379">
        <v>27.92</v>
      </c>
      <c r="D379" t="s">
        <v>24</v>
      </c>
      <c r="E379" t="s">
        <v>29</v>
      </c>
      <c r="F379" t="s">
        <v>53</v>
      </c>
      <c r="G379" t="s">
        <v>112</v>
      </c>
      <c r="H379" t="s">
        <v>54</v>
      </c>
      <c r="I379" t="s">
        <v>17</v>
      </c>
      <c r="J379" t="s">
        <v>118</v>
      </c>
      <c r="K379" s="1">
        <v>0.75104045138888886</v>
      </c>
      <c r="L379">
        <f>YEAR(Coffe_sales[[#This Row],[Date]])</f>
        <v>2024</v>
      </c>
    </row>
    <row r="380" spans="1:12" x14ac:dyDescent="0.2">
      <c r="A380" t="s">
        <v>28</v>
      </c>
      <c r="B380" t="s">
        <v>12</v>
      </c>
      <c r="C380">
        <v>32.82</v>
      </c>
      <c r="D380" t="s">
        <v>26</v>
      </c>
      <c r="E380" t="s">
        <v>29</v>
      </c>
      <c r="F380" t="s">
        <v>53</v>
      </c>
      <c r="G380" t="s">
        <v>112</v>
      </c>
      <c r="H380" t="s">
        <v>54</v>
      </c>
      <c r="I380" t="s">
        <v>17</v>
      </c>
      <c r="J380" t="s">
        <v>118</v>
      </c>
      <c r="K380" s="1">
        <v>0.75967854166666671</v>
      </c>
      <c r="L380">
        <f>YEAR(Coffe_sales[[#This Row],[Date]])</f>
        <v>2024</v>
      </c>
    </row>
    <row r="381" spans="1:12" x14ac:dyDescent="0.2">
      <c r="A381" t="s">
        <v>25</v>
      </c>
      <c r="B381" t="s">
        <v>12</v>
      </c>
      <c r="C381">
        <v>37.72</v>
      </c>
      <c r="D381" t="s">
        <v>13</v>
      </c>
      <c r="E381" t="s">
        <v>22</v>
      </c>
      <c r="F381" t="s">
        <v>15</v>
      </c>
      <c r="G381" t="s">
        <v>112</v>
      </c>
      <c r="H381" t="s">
        <v>17</v>
      </c>
      <c r="I381" t="s">
        <v>17</v>
      </c>
      <c r="J381" t="s">
        <v>119</v>
      </c>
      <c r="K381" s="1">
        <v>0.65719341435185186</v>
      </c>
      <c r="L381">
        <f>YEAR(Coffe_sales[[#This Row],[Date]])</f>
        <v>2024</v>
      </c>
    </row>
    <row r="382" spans="1:12" x14ac:dyDescent="0.2">
      <c r="A382" t="s">
        <v>25</v>
      </c>
      <c r="B382" t="s">
        <v>12</v>
      </c>
      <c r="C382">
        <v>37.72</v>
      </c>
      <c r="D382" t="s">
        <v>13</v>
      </c>
      <c r="E382" t="s">
        <v>22</v>
      </c>
      <c r="F382" t="s">
        <v>15</v>
      </c>
      <c r="G382" t="s">
        <v>112</v>
      </c>
      <c r="H382" t="s">
        <v>17</v>
      </c>
      <c r="I382" t="s">
        <v>17</v>
      </c>
      <c r="J382" t="s">
        <v>119</v>
      </c>
      <c r="K382" s="1">
        <v>0.65801513888888885</v>
      </c>
      <c r="L382">
        <f>YEAR(Coffe_sales[[#This Row],[Date]])</f>
        <v>2024</v>
      </c>
    </row>
    <row r="383" spans="1:12" x14ac:dyDescent="0.2">
      <c r="A383" t="s">
        <v>35</v>
      </c>
      <c r="B383" t="s">
        <v>12</v>
      </c>
      <c r="C383">
        <v>37.72</v>
      </c>
      <c r="D383" t="s">
        <v>13</v>
      </c>
      <c r="E383" t="s">
        <v>14</v>
      </c>
      <c r="F383" t="s">
        <v>32</v>
      </c>
      <c r="G383" t="s">
        <v>112</v>
      </c>
      <c r="H383" t="s">
        <v>33</v>
      </c>
      <c r="I383" t="s">
        <v>17</v>
      </c>
      <c r="J383" t="s">
        <v>120</v>
      </c>
      <c r="K383" s="1">
        <v>0.48602868055555554</v>
      </c>
      <c r="L383">
        <f>YEAR(Coffe_sales[[#This Row],[Date]])</f>
        <v>2024</v>
      </c>
    </row>
    <row r="384" spans="1:12" x14ac:dyDescent="0.2">
      <c r="A384" t="s">
        <v>37</v>
      </c>
      <c r="B384" t="s">
        <v>12</v>
      </c>
      <c r="C384">
        <v>32.82</v>
      </c>
      <c r="D384" t="s">
        <v>26</v>
      </c>
      <c r="E384" t="s">
        <v>29</v>
      </c>
      <c r="F384" t="s">
        <v>32</v>
      </c>
      <c r="G384" t="s">
        <v>112</v>
      </c>
      <c r="H384" t="s">
        <v>33</v>
      </c>
      <c r="I384" t="s">
        <v>17</v>
      </c>
      <c r="J384" t="s">
        <v>120</v>
      </c>
      <c r="K384" s="1">
        <v>0.72257405092592597</v>
      </c>
      <c r="L384">
        <f>YEAR(Coffe_sales[[#This Row],[Date]])</f>
        <v>2024</v>
      </c>
    </row>
    <row r="385" spans="1:12" x14ac:dyDescent="0.2">
      <c r="A385" t="s">
        <v>37</v>
      </c>
      <c r="B385" t="s">
        <v>12</v>
      </c>
      <c r="C385">
        <v>37.72</v>
      </c>
      <c r="D385" t="s">
        <v>31</v>
      </c>
      <c r="E385" t="s">
        <v>29</v>
      </c>
      <c r="F385" t="s">
        <v>32</v>
      </c>
      <c r="G385" t="s">
        <v>112</v>
      </c>
      <c r="H385" t="s">
        <v>33</v>
      </c>
      <c r="I385" t="s">
        <v>17</v>
      </c>
      <c r="J385" t="s">
        <v>120</v>
      </c>
      <c r="K385" s="1">
        <v>0.72356616898148152</v>
      </c>
      <c r="L385">
        <f>YEAR(Coffe_sales[[#This Row],[Date]])</f>
        <v>2024</v>
      </c>
    </row>
    <row r="386" spans="1:12" x14ac:dyDescent="0.2">
      <c r="A386" t="s">
        <v>37</v>
      </c>
      <c r="B386" t="s">
        <v>12</v>
      </c>
      <c r="C386">
        <v>37.72</v>
      </c>
      <c r="D386" t="s">
        <v>52</v>
      </c>
      <c r="E386" t="s">
        <v>29</v>
      </c>
      <c r="F386" t="s">
        <v>32</v>
      </c>
      <c r="G386" t="s">
        <v>112</v>
      </c>
      <c r="H386" t="s">
        <v>33</v>
      </c>
      <c r="I386" t="s">
        <v>17</v>
      </c>
      <c r="J386" t="s">
        <v>120</v>
      </c>
      <c r="K386" s="1">
        <v>0.72496876157407408</v>
      </c>
      <c r="L386">
        <f>YEAR(Coffe_sales[[#This Row],[Date]])</f>
        <v>2024</v>
      </c>
    </row>
    <row r="387" spans="1:12" x14ac:dyDescent="0.2">
      <c r="A387" t="s">
        <v>37</v>
      </c>
      <c r="B387" t="s">
        <v>12</v>
      </c>
      <c r="C387">
        <v>32.82</v>
      </c>
      <c r="D387" t="s">
        <v>26</v>
      </c>
      <c r="E387" t="s">
        <v>29</v>
      </c>
      <c r="F387" t="s">
        <v>32</v>
      </c>
      <c r="G387" t="s">
        <v>112</v>
      </c>
      <c r="H387" t="s">
        <v>33</v>
      </c>
      <c r="I387" t="s">
        <v>17</v>
      </c>
      <c r="J387" t="s">
        <v>120</v>
      </c>
      <c r="K387" s="1">
        <v>0.72840430555555558</v>
      </c>
      <c r="L387">
        <f>YEAR(Coffe_sales[[#This Row],[Date]])</f>
        <v>2024</v>
      </c>
    </row>
    <row r="388" spans="1:12" x14ac:dyDescent="0.2">
      <c r="A388" t="s">
        <v>28</v>
      </c>
      <c r="B388" t="s">
        <v>12</v>
      </c>
      <c r="C388">
        <v>37.72</v>
      </c>
      <c r="D388" t="s">
        <v>52</v>
      </c>
      <c r="E388" t="s">
        <v>29</v>
      </c>
      <c r="F388" t="s">
        <v>32</v>
      </c>
      <c r="G388" t="s">
        <v>112</v>
      </c>
      <c r="H388" t="s">
        <v>33</v>
      </c>
      <c r="I388" t="s">
        <v>17</v>
      </c>
      <c r="J388" t="s">
        <v>120</v>
      </c>
      <c r="K388" s="1">
        <v>0.77477149305555559</v>
      </c>
      <c r="L388">
        <f>YEAR(Coffe_sales[[#This Row],[Date]])</f>
        <v>2024</v>
      </c>
    </row>
    <row r="389" spans="1:12" x14ac:dyDescent="0.2">
      <c r="A389" t="s">
        <v>30</v>
      </c>
      <c r="B389" t="s">
        <v>12</v>
      </c>
      <c r="C389">
        <v>37.72</v>
      </c>
      <c r="D389" t="s">
        <v>13</v>
      </c>
      <c r="E389" t="s">
        <v>29</v>
      </c>
      <c r="F389" t="s">
        <v>32</v>
      </c>
      <c r="G389" t="s">
        <v>112</v>
      </c>
      <c r="H389" t="s">
        <v>33</v>
      </c>
      <c r="I389" t="s">
        <v>17</v>
      </c>
      <c r="J389" t="s">
        <v>120</v>
      </c>
      <c r="K389" s="1">
        <v>0.81824185185185183</v>
      </c>
      <c r="L389">
        <f>YEAR(Coffe_sales[[#This Row],[Date]])</f>
        <v>2024</v>
      </c>
    </row>
    <row r="390" spans="1:12" x14ac:dyDescent="0.2">
      <c r="A390" t="s">
        <v>11</v>
      </c>
      <c r="B390" t="s">
        <v>12</v>
      </c>
      <c r="C390">
        <v>37.72</v>
      </c>
      <c r="D390" t="s">
        <v>13</v>
      </c>
      <c r="E390" t="s">
        <v>14</v>
      </c>
      <c r="F390" t="s">
        <v>38</v>
      </c>
      <c r="G390" t="s">
        <v>112</v>
      </c>
      <c r="H390" t="s">
        <v>39</v>
      </c>
      <c r="I390" t="s">
        <v>17</v>
      </c>
      <c r="J390" t="s">
        <v>121</v>
      </c>
      <c r="K390" s="1">
        <v>0.43104759259259257</v>
      </c>
      <c r="L390">
        <f>YEAR(Coffe_sales[[#This Row],[Date]])</f>
        <v>2024</v>
      </c>
    </row>
    <row r="391" spans="1:12" x14ac:dyDescent="0.2">
      <c r="A391" t="s">
        <v>23</v>
      </c>
      <c r="B391" t="s">
        <v>12</v>
      </c>
      <c r="C391">
        <v>37.72</v>
      </c>
      <c r="D391" t="s">
        <v>13</v>
      </c>
      <c r="E391" t="s">
        <v>22</v>
      </c>
      <c r="F391" t="s">
        <v>38</v>
      </c>
      <c r="G391" t="s">
        <v>112</v>
      </c>
      <c r="H391" t="s">
        <v>39</v>
      </c>
      <c r="I391" t="s">
        <v>17</v>
      </c>
      <c r="J391" t="s">
        <v>121</v>
      </c>
      <c r="K391" s="1">
        <v>0.55837343750000001</v>
      </c>
      <c r="L391">
        <f>YEAR(Coffe_sales[[#This Row],[Date]])</f>
        <v>2024</v>
      </c>
    </row>
    <row r="392" spans="1:12" x14ac:dyDescent="0.2">
      <c r="A392" t="s">
        <v>23</v>
      </c>
      <c r="B392" t="s">
        <v>12</v>
      </c>
      <c r="C392">
        <v>27.92</v>
      </c>
      <c r="D392" t="s">
        <v>24</v>
      </c>
      <c r="E392" t="s">
        <v>22</v>
      </c>
      <c r="F392" t="s">
        <v>38</v>
      </c>
      <c r="G392" t="s">
        <v>112</v>
      </c>
      <c r="H392" t="s">
        <v>39</v>
      </c>
      <c r="I392" t="s">
        <v>17</v>
      </c>
      <c r="J392" t="s">
        <v>121</v>
      </c>
      <c r="K392" s="1">
        <v>0.5608685532407407</v>
      </c>
      <c r="L392">
        <f>YEAR(Coffe_sales[[#This Row],[Date]])</f>
        <v>2024</v>
      </c>
    </row>
    <row r="393" spans="1:12" x14ac:dyDescent="0.2">
      <c r="A393" t="s">
        <v>25</v>
      </c>
      <c r="B393" t="s">
        <v>12</v>
      </c>
      <c r="C393">
        <v>37.72</v>
      </c>
      <c r="D393" t="s">
        <v>13</v>
      </c>
      <c r="E393" t="s">
        <v>22</v>
      </c>
      <c r="F393" t="s">
        <v>38</v>
      </c>
      <c r="G393" t="s">
        <v>112</v>
      </c>
      <c r="H393" t="s">
        <v>39</v>
      </c>
      <c r="I393" t="s">
        <v>17</v>
      </c>
      <c r="J393" t="s">
        <v>121</v>
      </c>
      <c r="K393" s="1">
        <v>0.63634045138888884</v>
      </c>
      <c r="L393">
        <f>YEAR(Coffe_sales[[#This Row],[Date]])</f>
        <v>2024</v>
      </c>
    </row>
    <row r="394" spans="1:12" x14ac:dyDescent="0.2">
      <c r="A394" t="s">
        <v>25</v>
      </c>
      <c r="B394" t="s">
        <v>12</v>
      </c>
      <c r="C394">
        <v>32.82</v>
      </c>
      <c r="D394" t="s">
        <v>26</v>
      </c>
      <c r="E394" t="s">
        <v>22</v>
      </c>
      <c r="F394" t="s">
        <v>38</v>
      </c>
      <c r="G394" t="s">
        <v>112</v>
      </c>
      <c r="H394" t="s">
        <v>39</v>
      </c>
      <c r="I394" t="s">
        <v>17</v>
      </c>
      <c r="J394" t="s">
        <v>121</v>
      </c>
      <c r="K394" s="1">
        <v>0.65141692129629625</v>
      </c>
      <c r="L394">
        <f>YEAR(Coffe_sales[[#This Row],[Date]])</f>
        <v>2024</v>
      </c>
    </row>
    <row r="395" spans="1:12" x14ac:dyDescent="0.2">
      <c r="A395" t="s">
        <v>25</v>
      </c>
      <c r="B395" t="s">
        <v>12</v>
      </c>
      <c r="C395">
        <v>32.82</v>
      </c>
      <c r="D395" t="s">
        <v>26</v>
      </c>
      <c r="E395" t="s">
        <v>22</v>
      </c>
      <c r="F395" t="s">
        <v>38</v>
      </c>
      <c r="G395" t="s">
        <v>112</v>
      </c>
      <c r="H395" t="s">
        <v>39</v>
      </c>
      <c r="I395" t="s">
        <v>17</v>
      </c>
      <c r="J395" t="s">
        <v>121</v>
      </c>
      <c r="K395" s="1">
        <v>0.66128322916666671</v>
      </c>
      <c r="L395">
        <f>YEAR(Coffe_sales[[#This Row],[Date]])</f>
        <v>2024</v>
      </c>
    </row>
    <row r="396" spans="1:12" x14ac:dyDescent="0.2">
      <c r="A396" t="s">
        <v>27</v>
      </c>
      <c r="B396" t="s">
        <v>12</v>
      </c>
      <c r="C396">
        <v>32.82</v>
      </c>
      <c r="D396" t="s">
        <v>26</v>
      </c>
      <c r="E396" t="s">
        <v>22</v>
      </c>
      <c r="F396" t="s">
        <v>38</v>
      </c>
      <c r="G396" t="s">
        <v>112</v>
      </c>
      <c r="H396" t="s">
        <v>39</v>
      </c>
      <c r="I396" t="s">
        <v>17</v>
      </c>
      <c r="J396" t="s">
        <v>121</v>
      </c>
      <c r="K396" s="1">
        <v>0.66968903935185187</v>
      </c>
      <c r="L396">
        <f>YEAR(Coffe_sales[[#This Row],[Date]])</f>
        <v>2024</v>
      </c>
    </row>
    <row r="397" spans="1:12" x14ac:dyDescent="0.2">
      <c r="A397" t="s">
        <v>30</v>
      </c>
      <c r="B397" t="s">
        <v>12</v>
      </c>
      <c r="C397">
        <v>32.82</v>
      </c>
      <c r="D397" t="s">
        <v>26</v>
      </c>
      <c r="E397" t="s">
        <v>29</v>
      </c>
      <c r="F397" t="s">
        <v>38</v>
      </c>
      <c r="G397" t="s">
        <v>112</v>
      </c>
      <c r="H397" t="s">
        <v>39</v>
      </c>
      <c r="I397" t="s">
        <v>17</v>
      </c>
      <c r="J397" t="s">
        <v>121</v>
      </c>
      <c r="K397" s="1">
        <v>0.82049269675925929</v>
      </c>
      <c r="L397">
        <f>YEAR(Coffe_sales[[#This Row],[Date]])</f>
        <v>2024</v>
      </c>
    </row>
    <row r="398" spans="1:12" x14ac:dyDescent="0.2">
      <c r="A398" t="s">
        <v>35</v>
      </c>
      <c r="B398" t="s">
        <v>12</v>
      </c>
      <c r="C398">
        <v>32.82</v>
      </c>
      <c r="D398" t="s">
        <v>26</v>
      </c>
      <c r="E398" t="s">
        <v>14</v>
      </c>
      <c r="F398" t="s">
        <v>42</v>
      </c>
      <c r="G398" t="s">
        <v>112</v>
      </c>
      <c r="H398" t="s">
        <v>43</v>
      </c>
      <c r="I398" t="s">
        <v>17</v>
      </c>
      <c r="J398" t="s">
        <v>122</v>
      </c>
      <c r="K398" s="1">
        <v>0.46103412037037039</v>
      </c>
      <c r="L398">
        <f>YEAR(Coffe_sales[[#This Row],[Date]])</f>
        <v>2024</v>
      </c>
    </row>
    <row r="399" spans="1:12" x14ac:dyDescent="0.2">
      <c r="A399" t="s">
        <v>123</v>
      </c>
      <c r="B399" t="s">
        <v>12</v>
      </c>
      <c r="C399">
        <v>27.92</v>
      </c>
      <c r="D399" t="s">
        <v>24</v>
      </c>
      <c r="E399" t="s">
        <v>14</v>
      </c>
      <c r="F399" t="s">
        <v>47</v>
      </c>
      <c r="G399" t="s">
        <v>112</v>
      </c>
      <c r="H399" t="s">
        <v>48</v>
      </c>
      <c r="I399" t="s">
        <v>17</v>
      </c>
      <c r="J399" t="s">
        <v>124</v>
      </c>
      <c r="K399" s="1">
        <v>0.3598909837962963</v>
      </c>
      <c r="L399">
        <f>YEAR(Coffe_sales[[#This Row],[Date]])</f>
        <v>2024</v>
      </c>
    </row>
    <row r="400" spans="1:12" x14ac:dyDescent="0.2">
      <c r="A400" t="s">
        <v>123</v>
      </c>
      <c r="B400" t="s">
        <v>12</v>
      </c>
      <c r="C400">
        <v>27.92</v>
      </c>
      <c r="D400" t="s">
        <v>24</v>
      </c>
      <c r="E400" t="s">
        <v>14</v>
      </c>
      <c r="F400" t="s">
        <v>47</v>
      </c>
      <c r="G400" t="s">
        <v>112</v>
      </c>
      <c r="H400" t="s">
        <v>48</v>
      </c>
      <c r="I400" t="s">
        <v>17</v>
      </c>
      <c r="J400" t="s">
        <v>124</v>
      </c>
      <c r="K400" s="1">
        <v>0.36071128472222225</v>
      </c>
      <c r="L400">
        <f>YEAR(Coffe_sales[[#This Row],[Date]])</f>
        <v>2024</v>
      </c>
    </row>
    <row r="401" spans="1:12" x14ac:dyDescent="0.2">
      <c r="A401" t="s">
        <v>123</v>
      </c>
      <c r="B401" t="s">
        <v>12</v>
      </c>
      <c r="C401">
        <v>27.92</v>
      </c>
      <c r="D401" t="s">
        <v>24</v>
      </c>
      <c r="E401" t="s">
        <v>14</v>
      </c>
      <c r="F401" t="s">
        <v>47</v>
      </c>
      <c r="G401" t="s">
        <v>112</v>
      </c>
      <c r="H401" t="s">
        <v>48</v>
      </c>
      <c r="I401" t="s">
        <v>17</v>
      </c>
      <c r="J401" t="s">
        <v>124</v>
      </c>
      <c r="K401" s="1">
        <v>0.36131347222222221</v>
      </c>
      <c r="L401">
        <f>YEAR(Coffe_sales[[#This Row],[Date]])</f>
        <v>2024</v>
      </c>
    </row>
    <row r="402" spans="1:12" x14ac:dyDescent="0.2">
      <c r="A402" t="s">
        <v>11</v>
      </c>
      <c r="B402" t="s">
        <v>12</v>
      </c>
      <c r="C402">
        <v>37.72</v>
      </c>
      <c r="D402" t="s">
        <v>52</v>
      </c>
      <c r="E402" t="s">
        <v>14</v>
      </c>
      <c r="F402" t="s">
        <v>47</v>
      </c>
      <c r="G402" t="s">
        <v>112</v>
      </c>
      <c r="H402" t="s">
        <v>48</v>
      </c>
      <c r="I402" t="s">
        <v>17</v>
      </c>
      <c r="J402" t="s">
        <v>124</v>
      </c>
      <c r="K402" s="1">
        <v>0.43012932870370368</v>
      </c>
      <c r="L402">
        <f>YEAR(Coffe_sales[[#This Row],[Date]])</f>
        <v>2024</v>
      </c>
    </row>
    <row r="403" spans="1:12" x14ac:dyDescent="0.2">
      <c r="A403" t="s">
        <v>35</v>
      </c>
      <c r="B403" t="s">
        <v>12</v>
      </c>
      <c r="C403">
        <v>37.72</v>
      </c>
      <c r="D403" t="s">
        <v>13</v>
      </c>
      <c r="E403" t="s">
        <v>14</v>
      </c>
      <c r="F403" t="s">
        <v>47</v>
      </c>
      <c r="G403" t="s">
        <v>112</v>
      </c>
      <c r="H403" t="s">
        <v>48</v>
      </c>
      <c r="I403" t="s">
        <v>17</v>
      </c>
      <c r="J403" t="s">
        <v>124</v>
      </c>
      <c r="K403" s="1">
        <v>0.48089550925925928</v>
      </c>
      <c r="L403">
        <f>YEAR(Coffe_sales[[#This Row],[Date]])</f>
        <v>2024</v>
      </c>
    </row>
    <row r="404" spans="1:12" x14ac:dyDescent="0.2">
      <c r="A404" t="s">
        <v>35</v>
      </c>
      <c r="B404" t="s">
        <v>12</v>
      </c>
      <c r="C404">
        <v>37.72</v>
      </c>
      <c r="D404" t="s">
        <v>52</v>
      </c>
      <c r="E404" t="s">
        <v>14</v>
      </c>
      <c r="F404" t="s">
        <v>47</v>
      </c>
      <c r="G404" t="s">
        <v>112</v>
      </c>
      <c r="H404" t="s">
        <v>48</v>
      </c>
      <c r="I404" t="s">
        <v>17</v>
      </c>
      <c r="J404" t="s">
        <v>124</v>
      </c>
      <c r="K404" s="1">
        <v>0.4820931828703704</v>
      </c>
      <c r="L404">
        <f>YEAR(Coffe_sales[[#This Row],[Date]])</f>
        <v>2024</v>
      </c>
    </row>
    <row r="405" spans="1:12" x14ac:dyDescent="0.2">
      <c r="A405" t="s">
        <v>36</v>
      </c>
      <c r="B405" t="s">
        <v>12</v>
      </c>
      <c r="C405">
        <v>37.72</v>
      </c>
      <c r="D405" t="s">
        <v>52</v>
      </c>
      <c r="E405" t="s">
        <v>22</v>
      </c>
      <c r="F405" t="s">
        <v>47</v>
      </c>
      <c r="G405" t="s">
        <v>112</v>
      </c>
      <c r="H405" t="s">
        <v>48</v>
      </c>
      <c r="I405" t="s">
        <v>17</v>
      </c>
      <c r="J405" t="s">
        <v>124</v>
      </c>
      <c r="K405" s="1">
        <v>0.58674282407407408</v>
      </c>
      <c r="L405">
        <f>YEAR(Coffe_sales[[#This Row],[Date]])</f>
        <v>2024</v>
      </c>
    </row>
    <row r="406" spans="1:12" x14ac:dyDescent="0.2">
      <c r="A406" t="s">
        <v>36</v>
      </c>
      <c r="B406" t="s">
        <v>12</v>
      </c>
      <c r="C406">
        <v>32.82</v>
      </c>
      <c r="D406" t="s">
        <v>26</v>
      </c>
      <c r="E406" t="s">
        <v>22</v>
      </c>
      <c r="F406" t="s">
        <v>47</v>
      </c>
      <c r="G406" t="s">
        <v>112</v>
      </c>
      <c r="H406" t="s">
        <v>48</v>
      </c>
      <c r="I406" t="s">
        <v>17</v>
      </c>
      <c r="J406" t="s">
        <v>124</v>
      </c>
      <c r="K406" s="1">
        <v>0.58750437499999997</v>
      </c>
      <c r="L406">
        <f>YEAR(Coffe_sales[[#This Row],[Date]])</f>
        <v>2024</v>
      </c>
    </row>
    <row r="407" spans="1:12" x14ac:dyDescent="0.2">
      <c r="A407" t="s">
        <v>25</v>
      </c>
      <c r="B407" t="s">
        <v>12</v>
      </c>
      <c r="C407">
        <v>27.92</v>
      </c>
      <c r="D407" t="s">
        <v>24</v>
      </c>
      <c r="E407" t="s">
        <v>22</v>
      </c>
      <c r="F407" t="s">
        <v>47</v>
      </c>
      <c r="G407" t="s">
        <v>112</v>
      </c>
      <c r="H407" t="s">
        <v>48</v>
      </c>
      <c r="I407" t="s">
        <v>17</v>
      </c>
      <c r="J407" t="s">
        <v>124</v>
      </c>
      <c r="K407" s="1">
        <v>0.62632853009259259</v>
      </c>
      <c r="L407">
        <f>YEAR(Coffe_sales[[#This Row],[Date]])</f>
        <v>2024</v>
      </c>
    </row>
    <row r="408" spans="1:12" x14ac:dyDescent="0.2">
      <c r="A408" t="s">
        <v>27</v>
      </c>
      <c r="B408" t="s">
        <v>12</v>
      </c>
      <c r="C408">
        <v>32.82</v>
      </c>
      <c r="D408" t="s">
        <v>26</v>
      </c>
      <c r="E408" t="s">
        <v>22</v>
      </c>
      <c r="F408" t="s">
        <v>47</v>
      </c>
      <c r="G408" t="s">
        <v>112</v>
      </c>
      <c r="H408" t="s">
        <v>48</v>
      </c>
      <c r="I408" t="s">
        <v>17</v>
      </c>
      <c r="J408" t="s">
        <v>124</v>
      </c>
      <c r="K408" s="1">
        <v>0.70691231481481487</v>
      </c>
      <c r="L408">
        <f>YEAR(Coffe_sales[[#This Row],[Date]])</f>
        <v>2024</v>
      </c>
    </row>
    <row r="409" spans="1:12" x14ac:dyDescent="0.2">
      <c r="A409" t="s">
        <v>27</v>
      </c>
      <c r="B409" t="s">
        <v>12</v>
      </c>
      <c r="C409">
        <v>37.72</v>
      </c>
      <c r="D409" t="s">
        <v>52</v>
      </c>
      <c r="E409" t="s">
        <v>22</v>
      </c>
      <c r="F409" t="s">
        <v>47</v>
      </c>
      <c r="G409" t="s">
        <v>112</v>
      </c>
      <c r="H409" t="s">
        <v>48</v>
      </c>
      <c r="I409" t="s">
        <v>17</v>
      </c>
      <c r="J409" t="s">
        <v>124</v>
      </c>
      <c r="K409" s="1">
        <v>0.70775687499999995</v>
      </c>
      <c r="L409">
        <f>YEAR(Coffe_sales[[#This Row],[Date]])</f>
        <v>2024</v>
      </c>
    </row>
    <row r="410" spans="1:12" x14ac:dyDescent="0.2">
      <c r="A410" t="s">
        <v>125</v>
      </c>
      <c r="B410" t="s">
        <v>12</v>
      </c>
      <c r="C410">
        <v>37.72</v>
      </c>
      <c r="D410" t="s">
        <v>21</v>
      </c>
      <c r="E410" t="s">
        <v>29</v>
      </c>
      <c r="F410" t="s">
        <v>47</v>
      </c>
      <c r="G410" t="s">
        <v>112</v>
      </c>
      <c r="H410" t="s">
        <v>48</v>
      </c>
      <c r="I410" t="s">
        <v>17</v>
      </c>
      <c r="J410" t="s">
        <v>124</v>
      </c>
      <c r="K410" s="1">
        <v>0.95237531249999996</v>
      </c>
      <c r="L410">
        <f>YEAR(Coffe_sales[[#This Row],[Date]])</f>
        <v>2024</v>
      </c>
    </row>
    <row r="411" spans="1:12" x14ac:dyDescent="0.2">
      <c r="A411" t="s">
        <v>123</v>
      </c>
      <c r="B411" t="s">
        <v>12</v>
      </c>
      <c r="C411">
        <v>37.72</v>
      </c>
      <c r="D411" t="s">
        <v>13</v>
      </c>
      <c r="E411" t="s">
        <v>14</v>
      </c>
      <c r="F411" t="s">
        <v>50</v>
      </c>
      <c r="G411" t="s">
        <v>112</v>
      </c>
      <c r="H411" t="s">
        <v>18</v>
      </c>
      <c r="I411" t="s">
        <v>17</v>
      </c>
      <c r="J411" t="s">
        <v>126</v>
      </c>
      <c r="K411" s="1">
        <v>0.36117663194444444</v>
      </c>
      <c r="L411">
        <f>YEAR(Coffe_sales[[#This Row],[Date]])</f>
        <v>2024</v>
      </c>
    </row>
    <row r="412" spans="1:12" x14ac:dyDescent="0.2">
      <c r="A412" t="s">
        <v>35</v>
      </c>
      <c r="B412" t="s">
        <v>12</v>
      </c>
      <c r="C412">
        <v>23.02</v>
      </c>
      <c r="D412" t="s">
        <v>45</v>
      </c>
      <c r="E412" t="s">
        <v>14</v>
      </c>
      <c r="F412" t="s">
        <v>50</v>
      </c>
      <c r="G412" t="s">
        <v>112</v>
      </c>
      <c r="H412" t="s">
        <v>18</v>
      </c>
      <c r="I412" t="s">
        <v>17</v>
      </c>
      <c r="J412" t="s">
        <v>126</v>
      </c>
      <c r="K412" s="1">
        <v>0.4682795486111111</v>
      </c>
      <c r="L412">
        <f>YEAR(Coffe_sales[[#This Row],[Date]])</f>
        <v>2024</v>
      </c>
    </row>
    <row r="413" spans="1:12" x14ac:dyDescent="0.2">
      <c r="A413" t="s">
        <v>35</v>
      </c>
      <c r="B413" t="s">
        <v>12</v>
      </c>
      <c r="C413">
        <v>27.92</v>
      </c>
      <c r="D413" t="s">
        <v>24</v>
      </c>
      <c r="E413" t="s">
        <v>14</v>
      </c>
      <c r="F413" t="s">
        <v>50</v>
      </c>
      <c r="G413" t="s">
        <v>112</v>
      </c>
      <c r="H413" t="s">
        <v>18</v>
      </c>
      <c r="I413" t="s">
        <v>17</v>
      </c>
      <c r="J413" t="s">
        <v>126</v>
      </c>
      <c r="K413" s="1">
        <v>0.47164408564814814</v>
      </c>
      <c r="L413">
        <f>YEAR(Coffe_sales[[#This Row],[Date]])</f>
        <v>2024</v>
      </c>
    </row>
    <row r="414" spans="1:12" x14ac:dyDescent="0.2">
      <c r="A414" t="s">
        <v>23</v>
      </c>
      <c r="B414" t="s">
        <v>12</v>
      </c>
      <c r="C414">
        <v>27.92</v>
      </c>
      <c r="D414" t="s">
        <v>24</v>
      </c>
      <c r="E414" t="s">
        <v>22</v>
      </c>
      <c r="F414" t="s">
        <v>50</v>
      </c>
      <c r="G414" t="s">
        <v>112</v>
      </c>
      <c r="H414" t="s">
        <v>18</v>
      </c>
      <c r="I414" t="s">
        <v>17</v>
      </c>
      <c r="J414" t="s">
        <v>126</v>
      </c>
      <c r="K414" s="1">
        <v>0.56568405092592589</v>
      </c>
      <c r="L414">
        <f>YEAR(Coffe_sales[[#This Row],[Date]])</f>
        <v>2024</v>
      </c>
    </row>
    <row r="415" spans="1:12" x14ac:dyDescent="0.2">
      <c r="A415" t="s">
        <v>23</v>
      </c>
      <c r="B415" t="s">
        <v>12</v>
      </c>
      <c r="C415">
        <v>27.92</v>
      </c>
      <c r="D415" t="s">
        <v>24</v>
      </c>
      <c r="E415" t="s">
        <v>22</v>
      </c>
      <c r="F415" t="s">
        <v>50</v>
      </c>
      <c r="G415" t="s">
        <v>112</v>
      </c>
      <c r="H415" t="s">
        <v>18</v>
      </c>
      <c r="I415" t="s">
        <v>17</v>
      </c>
      <c r="J415" t="s">
        <v>126</v>
      </c>
      <c r="K415" s="1">
        <v>0.566309849537037</v>
      </c>
      <c r="L415">
        <f>YEAR(Coffe_sales[[#This Row],[Date]])</f>
        <v>2024</v>
      </c>
    </row>
    <row r="416" spans="1:12" x14ac:dyDescent="0.2">
      <c r="A416" t="s">
        <v>23</v>
      </c>
      <c r="B416" t="s">
        <v>12</v>
      </c>
      <c r="C416">
        <v>27.92</v>
      </c>
      <c r="D416" t="s">
        <v>24</v>
      </c>
      <c r="E416" t="s">
        <v>22</v>
      </c>
      <c r="F416" t="s">
        <v>50</v>
      </c>
      <c r="G416" t="s">
        <v>112</v>
      </c>
      <c r="H416" t="s">
        <v>18</v>
      </c>
      <c r="I416" t="s">
        <v>17</v>
      </c>
      <c r="J416" t="s">
        <v>126</v>
      </c>
      <c r="K416" s="1">
        <v>0.56698309027777782</v>
      </c>
      <c r="L416">
        <f>YEAR(Coffe_sales[[#This Row],[Date]])</f>
        <v>2024</v>
      </c>
    </row>
    <row r="417" spans="1:12" x14ac:dyDescent="0.2">
      <c r="A417" t="s">
        <v>23</v>
      </c>
      <c r="B417" t="s">
        <v>12</v>
      </c>
      <c r="C417">
        <v>32.82</v>
      </c>
      <c r="D417" t="s">
        <v>26</v>
      </c>
      <c r="E417" t="s">
        <v>22</v>
      </c>
      <c r="F417" t="s">
        <v>50</v>
      </c>
      <c r="G417" t="s">
        <v>112</v>
      </c>
      <c r="H417" t="s">
        <v>18</v>
      </c>
      <c r="I417" t="s">
        <v>17</v>
      </c>
      <c r="J417" t="s">
        <v>126</v>
      </c>
      <c r="K417" s="1">
        <v>0.58019674768518514</v>
      </c>
      <c r="L417">
        <f>YEAR(Coffe_sales[[#This Row],[Date]])</f>
        <v>2024</v>
      </c>
    </row>
    <row r="418" spans="1:12" x14ac:dyDescent="0.2">
      <c r="A418" t="s">
        <v>36</v>
      </c>
      <c r="B418" t="s">
        <v>12</v>
      </c>
      <c r="C418">
        <v>27.92</v>
      </c>
      <c r="D418" t="s">
        <v>41</v>
      </c>
      <c r="E418" t="s">
        <v>22</v>
      </c>
      <c r="F418" t="s">
        <v>50</v>
      </c>
      <c r="G418" t="s">
        <v>112</v>
      </c>
      <c r="H418" t="s">
        <v>18</v>
      </c>
      <c r="I418" t="s">
        <v>17</v>
      </c>
      <c r="J418" t="s">
        <v>126</v>
      </c>
      <c r="K418" s="1">
        <v>0.61032809027777779</v>
      </c>
      <c r="L418">
        <f>YEAR(Coffe_sales[[#This Row],[Date]])</f>
        <v>2024</v>
      </c>
    </row>
    <row r="419" spans="1:12" x14ac:dyDescent="0.2">
      <c r="A419" t="s">
        <v>36</v>
      </c>
      <c r="B419" t="s">
        <v>12</v>
      </c>
      <c r="C419">
        <v>27.92</v>
      </c>
      <c r="D419" t="s">
        <v>41</v>
      </c>
      <c r="E419" t="s">
        <v>22</v>
      </c>
      <c r="F419" t="s">
        <v>50</v>
      </c>
      <c r="G419" t="s">
        <v>112</v>
      </c>
      <c r="H419" t="s">
        <v>18</v>
      </c>
      <c r="I419" t="s">
        <v>17</v>
      </c>
      <c r="J419" t="s">
        <v>126</v>
      </c>
      <c r="K419" s="1">
        <v>0.61093017361111113</v>
      </c>
      <c r="L419">
        <f>YEAR(Coffe_sales[[#This Row],[Date]])</f>
        <v>2024</v>
      </c>
    </row>
    <row r="420" spans="1:12" x14ac:dyDescent="0.2">
      <c r="A420" t="s">
        <v>37</v>
      </c>
      <c r="B420" t="s">
        <v>12</v>
      </c>
      <c r="C420">
        <v>23.02</v>
      </c>
      <c r="D420" t="s">
        <v>45</v>
      </c>
      <c r="E420" t="s">
        <v>29</v>
      </c>
      <c r="F420" t="s">
        <v>50</v>
      </c>
      <c r="G420" t="s">
        <v>112</v>
      </c>
      <c r="H420" t="s">
        <v>18</v>
      </c>
      <c r="I420" t="s">
        <v>17</v>
      </c>
      <c r="J420" t="s">
        <v>126</v>
      </c>
      <c r="K420" s="1">
        <v>0.72845625000000003</v>
      </c>
      <c r="L420">
        <f>YEAR(Coffe_sales[[#This Row],[Date]])</f>
        <v>2024</v>
      </c>
    </row>
    <row r="421" spans="1:12" x14ac:dyDescent="0.2">
      <c r="A421" t="s">
        <v>91</v>
      </c>
      <c r="B421" t="s">
        <v>12</v>
      </c>
      <c r="C421">
        <v>37.72</v>
      </c>
      <c r="D421" t="s">
        <v>52</v>
      </c>
      <c r="E421" t="s">
        <v>29</v>
      </c>
      <c r="F421" t="s">
        <v>50</v>
      </c>
      <c r="G421" t="s">
        <v>112</v>
      </c>
      <c r="H421" t="s">
        <v>18</v>
      </c>
      <c r="I421" t="s">
        <v>17</v>
      </c>
      <c r="J421" t="s">
        <v>126</v>
      </c>
      <c r="K421" s="1">
        <v>0.84762464120370373</v>
      </c>
      <c r="L421">
        <f>YEAR(Coffe_sales[[#This Row],[Date]])</f>
        <v>2024</v>
      </c>
    </row>
    <row r="422" spans="1:12" x14ac:dyDescent="0.2">
      <c r="A422" t="s">
        <v>11</v>
      </c>
      <c r="B422" t="s">
        <v>12</v>
      </c>
      <c r="C422">
        <v>32.82</v>
      </c>
      <c r="D422" t="s">
        <v>26</v>
      </c>
      <c r="E422" t="s">
        <v>14</v>
      </c>
      <c r="F422" t="s">
        <v>53</v>
      </c>
      <c r="G422" t="s">
        <v>112</v>
      </c>
      <c r="H422" t="s">
        <v>54</v>
      </c>
      <c r="I422" t="s">
        <v>17</v>
      </c>
      <c r="J422" t="s">
        <v>127</v>
      </c>
      <c r="K422" s="1">
        <v>0.4435469675925926</v>
      </c>
      <c r="L422">
        <f>YEAR(Coffe_sales[[#This Row],[Date]])</f>
        <v>2024</v>
      </c>
    </row>
    <row r="423" spans="1:12" x14ac:dyDescent="0.2">
      <c r="A423" t="s">
        <v>11</v>
      </c>
      <c r="B423" t="s">
        <v>12</v>
      </c>
      <c r="C423">
        <v>32.82</v>
      </c>
      <c r="D423" t="s">
        <v>26</v>
      </c>
      <c r="E423" t="s">
        <v>14</v>
      </c>
      <c r="F423" t="s">
        <v>53</v>
      </c>
      <c r="G423" t="s">
        <v>112</v>
      </c>
      <c r="H423" t="s">
        <v>54</v>
      </c>
      <c r="I423" t="s">
        <v>17</v>
      </c>
      <c r="J423" t="s">
        <v>127</v>
      </c>
      <c r="K423" s="1">
        <v>0.44432211805555555</v>
      </c>
      <c r="L423">
        <f>YEAR(Coffe_sales[[#This Row],[Date]])</f>
        <v>2024</v>
      </c>
    </row>
    <row r="424" spans="1:12" x14ac:dyDescent="0.2">
      <c r="A424" t="s">
        <v>20</v>
      </c>
      <c r="B424" t="s">
        <v>12</v>
      </c>
      <c r="C424">
        <v>32.82</v>
      </c>
      <c r="D424" t="s">
        <v>26</v>
      </c>
      <c r="E424" t="s">
        <v>22</v>
      </c>
      <c r="F424" t="s">
        <v>53</v>
      </c>
      <c r="G424" t="s">
        <v>112</v>
      </c>
      <c r="H424" t="s">
        <v>54</v>
      </c>
      <c r="I424" t="s">
        <v>17</v>
      </c>
      <c r="J424" t="s">
        <v>127</v>
      </c>
      <c r="K424" s="1">
        <v>0.50972334490740745</v>
      </c>
      <c r="L424">
        <f>YEAR(Coffe_sales[[#This Row],[Date]])</f>
        <v>2024</v>
      </c>
    </row>
    <row r="425" spans="1:12" x14ac:dyDescent="0.2">
      <c r="A425" t="s">
        <v>25</v>
      </c>
      <c r="B425" t="s">
        <v>12</v>
      </c>
      <c r="C425">
        <v>37.72</v>
      </c>
      <c r="D425" t="s">
        <v>21</v>
      </c>
      <c r="E425" t="s">
        <v>22</v>
      </c>
      <c r="F425" t="s">
        <v>53</v>
      </c>
      <c r="G425" t="s">
        <v>112</v>
      </c>
      <c r="H425" t="s">
        <v>54</v>
      </c>
      <c r="I425" t="s">
        <v>17</v>
      </c>
      <c r="J425" t="s">
        <v>127</v>
      </c>
      <c r="K425" s="1">
        <v>0.63560549768518515</v>
      </c>
      <c r="L425">
        <f>YEAR(Coffe_sales[[#This Row],[Date]])</f>
        <v>2024</v>
      </c>
    </row>
    <row r="426" spans="1:12" x14ac:dyDescent="0.2">
      <c r="A426" t="s">
        <v>37</v>
      </c>
      <c r="B426" t="s">
        <v>12</v>
      </c>
      <c r="C426">
        <v>37.72</v>
      </c>
      <c r="D426" t="s">
        <v>13</v>
      </c>
      <c r="E426" t="s">
        <v>29</v>
      </c>
      <c r="F426" t="s">
        <v>53</v>
      </c>
      <c r="G426" t="s">
        <v>112</v>
      </c>
      <c r="H426" t="s">
        <v>54</v>
      </c>
      <c r="I426" t="s">
        <v>17</v>
      </c>
      <c r="J426" t="s">
        <v>127</v>
      </c>
      <c r="K426" s="1">
        <v>0.73925402777777782</v>
      </c>
      <c r="L426">
        <f>YEAR(Coffe_sales[[#This Row],[Date]])</f>
        <v>2024</v>
      </c>
    </row>
    <row r="427" spans="1:12" x14ac:dyDescent="0.2">
      <c r="A427" t="s">
        <v>28</v>
      </c>
      <c r="B427" t="s">
        <v>12</v>
      </c>
      <c r="C427">
        <v>37.72</v>
      </c>
      <c r="D427" t="s">
        <v>21</v>
      </c>
      <c r="E427" t="s">
        <v>29</v>
      </c>
      <c r="F427" t="s">
        <v>53</v>
      </c>
      <c r="G427" t="s">
        <v>112</v>
      </c>
      <c r="H427" t="s">
        <v>54</v>
      </c>
      <c r="I427" t="s">
        <v>17</v>
      </c>
      <c r="J427" t="s">
        <v>127</v>
      </c>
      <c r="K427" s="1">
        <v>0.75899229166666671</v>
      </c>
      <c r="L427">
        <f>YEAR(Coffe_sales[[#This Row],[Date]])</f>
        <v>2024</v>
      </c>
    </row>
    <row r="428" spans="1:12" x14ac:dyDescent="0.2">
      <c r="A428" t="s">
        <v>28</v>
      </c>
      <c r="B428" t="s">
        <v>12</v>
      </c>
      <c r="C428">
        <v>37.72</v>
      </c>
      <c r="D428" t="s">
        <v>13</v>
      </c>
      <c r="E428" t="s">
        <v>29</v>
      </c>
      <c r="F428" t="s">
        <v>53</v>
      </c>
      <c r="G428" t="s">
        <v>112</v>
      </c>
      <c r="H428" t="s">
        <v>54</v>
      </c>
      <c r="I428" t="s">
        <v>17</v>
      </c>
      <c r="J428" t="s">
        <v>127</v>
      </c>
      <c r="K428" s="1">
        <v>0.7597012847222222</v>
      </c>
      <c r="L428">
        <f>YEAR(Coffe_sales[[#This Row],[Date]])</f>
        <v>2024</v>
      </c>
    </row>
    <row r="429" spans="1:12" x14ac:dyDescent="0.2">
      <c r="A429" t="s">
        <v>46</v>
      </c>
      <c r="B429" t="s">
        <v>12</v>
      </c>
      <c r="C429">
        <v>27.92</v>
      </c>
      <c r="D429" t="s">
        <v>24</v>
      </c>
      <c r="E429" t="s">
        <v>14</v>
      </c>
      <c r="F429" t="s">
        <v>15</v>
      </c>
      <c r="G429" t="s">
        <v>112</v>
      </c>
      <c r="H429" t="s">
        <v>17</v>
      </c>
      <c r="I429" t="s">
        <v>17</v>
      </c>
      <c r="J429" t="s">
        <v>128</v>
      </c>
      <c r="K429" s="1">
        <v>0.37556083333333334</v>
      </c>
      <c r="L429">
        <f>YEAR(Coffe_sales[[#This Row],[Date]])</f>
        <v>2024</v>
      </c>
    </row>
    <row r="430" spans="1:12" x14ac:dyDescent="0.2">
      <c r="A430" t="s">
        <v>35</v>
      </c>
      <c r="B430" t="s">
        <v>12</v>
      </c>
      <c r="C430">
        <v>32.82</v>
      </c>
      <c r="D430" t="s">
        <v>26</v>
      </c>
      <c r="E430" t="s">
        <v>14</v>
      </c>
      <c r="F430" t="s">
        <v>15</v>
      </c>
      <c r="G430" t="s">
        <v>112</v>
      </c>
      <c r="H430" t="s">
        <v>17</v>
      </c>
      <c r="I430" t="s">
        <v>17</v>
      </c>
      <c r="J430" t="s">
        <v>128</v>
      </c>
      <c r="K430" s="1">
        <v>0.47948556712962964</v>
      </c>
      <c r="L430">
        <f>YEAR(Coffe_sales[[#This Row],[Date]])</f>
        <v>2024</v>
      </c>
    </row>
    <row r="431" spans="1:12" x14ac:dyDescent="0.2">
      <c r="A431" t="s">
        <v>30</v>
      </c>
      <c r="B431" t="s">
        <v>12</v>
      </c>
      <c r="C431">
        <v>32.82</v>
      </c>
      <c r="D431" t="s">
        <v>26</v>
      </c>
      <c r="E431" t="s">
        <v>29</v>
      </c>
      <c r="F431" t="s">
        <v>15</v>
      </c>
      <c r="G431" t="s">
        <v>112</v>
      </c>
      <c r="H431" t="s">
        <v>17</v>
      </c>
      <c r="I431" t="s">
        <v>17</v>
      </c>
      <c r="J431" t="s">
        <v>128</v>
      </c>
      <c r="K431" s="1">
        <v>0.83007562499999998</v>
      </c>
      <c r="L431">
        <f>YEAR(Coffe_sales[[#This Row],[Date]])</f>
        <v>2024</v>
      </c>
    </row>
    <row r="432" spans="1:12" x14ac:dyDescent="0.2">
      <c r="A432" t="s">
        <v>30</v>
      </c>
      <c r="B432" t="s">
        <v>12</v>
      </c>
      <c r="C432">
        <v>37.72</v>
      </c>
      <c r="D432" t="s">
        <v>52</v>
      </c>
      <c r="E432" t="s">
        <v>29</v>
      </c>
      <c r="F432" t="s">
        <v>15</v>
      </c>
      <c r="G432" t="s">
        <v>112</v>
      </c>
      <c r="H432" t="s">
        <v>17</v>
      </c>
      <c r="I432" t="s">
        <v>17</v>
      </c>
      <c r="J432" t="s">
        <v>128</v>
      </c>
      <c r="K432" s="1">
        <v>0.83109665509259256</v>
      </c>
      <c r="L432">
        <f>YEAR(Coffe_sales[[#This Row],[Date]])</f>
        <v>2024</v>
      </c>
    </row>
    <row r="433" spans="1:12" x14ac:dyDescent="0.2">
      <c r="A433" t="s">
        <v>91</v>
      </c>
      <c r="B433" t="s">
        <v>12</v>
      </c>
      <c r="C433">
        <v>37.72</v>
      </c>
      <c r="D433" t="s">
        <v>52</v>
      </c>
      <c r="E433" t="s">
        <v>29</v>
      </c>
      <c r="F433" t="s">
        <v>15</v>
      </c>
      <c r="G433" t="s">
        <v>112</v>
      </c>
      <c r="H433" t="s">
        <v>17</v>
      </c>
      <c r="I433" t="s">
        <v>17</v>
      </c>
      <c r="J433" t="s">
        <v>128</v>
      </c>
      <c r="K433" s="1">
        <v>0.85964039351851851</v>
      </c>
      <c r="L433">
        <f>YEAR(Coffe_sales[[#This Row],[Date]])</f>
        <v>2024</v>
      </c>
    </row>
    <row r="434" spans="1:12" x14ac:dyDescent="0.2">
      <c r="A434" t="s">
        <v>125</v>
      </c>
      <c r="B434" t="s">
        <v>12</v>
      </c>
      <c r="C434">
        <v>27.92</v>
      </c>
      <c r="D434" t="s">
        <v>24</v>
      </c>
      <c r="E434" t="s">
        <v>29</v>
      </c>
      <c r="F434" t="s">
        <v>15</v>
      </c>
      <c r="G434" t="s">
        <v>112</v>
      </c>
      <c r="H434" t="s">
        <v>17</v>
      </c>
      <c r="I434" t="s">
        <v>17</v>
      </c>
      <c r="J434" t="s">
        <v>128</v>
      </c>
      <c r="K434" s="1">
        <v>0.94086570601851849</v>
      </c>
      <c r="L434">
        <f>YEAR(Coffe_sales[[#This Row],[Date]])</f>
        <v>2024</v>
      </c>
    </row>
    <row r="435" spans="1:12" x14ac:dyDescent="0.2">
      <c r="A435" t="s">
        <v>125</v>
      </c>
      <c r="B435" t="s">
        <v>12</v>
      </c>
      <c r="C435">
        <v>37.72</v>
      </c>
      <c r="D435" t="s">
        <v>13</v>
      </c>
      <c r="E435" t="s">
        <v>29</v>
      </c>
      <c r="F435" t="s">
        <v>15</v>
      </c>
      <c r="G435" t="s">
        <v>112</v>
      </c>
      <c r="H435" t="s">
        <v>17</v>
      </c>
      <c r="I435" t="s">
        <v>17</v>
      </c>
      <c r="J435" t="s">
        <v>128</v>
      </c>
      <c r="K435" s="1">
        <v>0.94205274305555553</v>
      </c>
      <c r="L435">
        <f>YEAR(Coffe_sales[[#This Row],[Date]])</f>
        <v>2024</v>
      </c>
    </row>
    <row r="436" spans="1:12" x14ac:dyDescent="0.2">
      <c r="A436" t="s">
        <v>125</v>
      </c>
      <c r="B436" t="s">
        <v>12</v>
      </c>
      <c r="C436">
        <v>37.72</v>
      </c>
      <c r="D436" t="s">
        <v>13</v>
      </c>
      <c r="E436" t="s">
        <v>29</v>
      </c>
      <c r="F436" t="s">
        <v>15</v>
      </c>
      <c r="G436" t="s">
        <v>112</v>
      </c>
      <c r="H436" t="s">
        <v>17</v>
      </c>
      <c r="I436" t="s">
        <v>17</v>
      </c>
      <c r="J436" t="s">
        <v>128</v>
      </c>
      <c r="K436" s="1">
        <v>0.94285672453703706</v>
      </c>
      <c r="L436">
        <f>YEAR(Coffe_sales[[#This Row],[Date]])</f>
        <v>2024</v>
      </c>
    </row>
    <row r="437" spans="1:12" x14ac:dyDescent="0.2">
      <c r="A437" t="s">
        <v>123</v>
      </c>
      <c r="B437" t="s">
        <v>12</v>
      </c>
      <c r="C437">
        <v>37.72</v>
      </c>
      <c r="D437" t="s">
        <v>52</v>
      </c>
      <c r="E437" t="s">
        <v>14</v>
      </c>
      <c r="F437" t="s">
        <v>32</v>
      </c>
      <c r="G437" t="s">
        <v>112</v>
      </c>
      <c r="H437" t="s">
        <v>33</v>
      </c>
      <c r="I437" t="s">
        <v>17</v>
      </c>
      <c r="J437" t="s">
        <v>129</v>
      </c>
      <c r="K437" s="1">
        <v>0.33446641203703703</v>
      </c>
      <c r="L437">
        <f>YEAR(Coffe_sales[[#This Row],[Date]])</f>
        <v>2024</v>
      </c>
    </row>
    <row r="438" spans="1:12" x14ac:dyDescent="0.2">
      <c r="A438" t="s">
        <v>123</v>
      </c>
      <c r="B438" t="s">
        <v>12</v>
      </c>
      <c r="C438">
        <v>37.72</v>
      </c>
      <c r="D438" t="s">
        <v>52</v>
      </c>
      <c r="E438" t="s">
        <v>14</v>
      </c>
      <c r="F438" t="s">
        <v>32</v>
      </c>
      <c r="G438" t="s">
        <v>112</v>
      </c>
      <c r="H438" t="s">
        <v>33</v>
      </c>
      <c r="I438" t="s">
        <v>17</v>
      </c>
      <c r="J438" t="s">
        <v>129</v>
      </c>
      <c r="K438" s="1">
        <v>0.33518471064814814</v>
      </c>
      <c r="L438">
        <f>YEAR(Coffe_sales[[#This Row],[Date]])</f>
        <v>2024</v>
      </c>
    </row>
    <row r="439" spans="1:12" x14ac:dyDescent="0.2">
      <c r="A439" t="s">
        <v>35</v>
      </c>
      <c r="B439" t="s">
        <v>12</v>
      </c>
      <c r="C439">
        <v>32.82</v>
      </c>
      <c r="D439" t="s">
        <v>26</v>
      </c>
      <c r="E439" t="s">
        <v>14</v>
      </c>
      <c r="F439" t="s">
        <v>32</v>
      </c>
      <c r="G439" t="s">
        <v>112</v>
      </c>
      <c r="H439" t="s">
        <v>33</v>
      </c>
      <c r="I439" t="s">
        <v>17</v>
      </c>
      <c r="J439" t="s">
        <v>129</v>
      </c>
      <c r="K439" s="1">
        <v>0.46939917824074073</v>
      </c>
      <c r="L439">
        <f>YEAR(Coffe_sales[[#This Row],[Date]])</f>
        <v>2024</v>
      </c>
    </row>
    <row r="440" spans="1:12" x14ac:dyDescent="0.2">
      <c r="A440" t="s">
        <v>27</v>
      </c>
      <c r="B440" t="s">
        <v>12</v>
      </c>
      <c r="C440">
        <v>32.82</v>
      </c>
      <c r="D440" t="s">
        <v>26</v>
      </c>
      <c r="E440" t="s">
        <v>22</v>
      </c>
      <c r="F440" t="s">
        <v>32</v>
      </c>
      <c r="G440" t="s">
        <v>112</v>
      </c>
      <c r="H440" t="s">
        <v>33</v>
      </c>
      <c r="I440" t="s">
        <v>17</v>
      </c>
      <c r="J440" t="s">
        <v>129</v>
      </c>
      <c r="K440" s="1">
        <v>0.7003399768518519</v>
      </c>
      <c r="L440">
        <f>YEAR(Coffe_sales[[#This Row],[Date]])</f>
        <v>2024</v>
      </c>
    </row>
    <row r="441" spans="1:12" x14ac:dyDescent="0.2">
      <c r="A441" t="s">
        <v>27</v>
      </c>
      <c r="B441" t="s">
        <v>12</v>
      </c>
      <c r="C441">
        <v>32.82</v>
      </c>
      <c r="D441" t="s">
        <v>26</v>
      </c>
      <c r="E441" t="s">
        <v>22</v>
      </c>
      <c r="F441" t="s">
        <v>32</v>
      </c>
      <c r="G441" t="s">
        <v>112</v>
      </c>
      <c r="H441" t="s">
        <v>33</v>
      </c>
      <c r="I441" t="s">
        <v>17</v>
      </c>
      <c r="J441" t="s">
        <v>129</v>
      </c>
      <c r="K441" s="1">
        <v>0.70100846064814815</v>
      </c>
      <c r="L441">
        <f>YEAR(Coffe_sales[[#This Row],[Date]])</f>
        <v>2024</v>
      </c>
    </row>
    <row r="442" spans="1:12" x14ac:dyDescent="0.2">
      <c r="A442" t="s">
        <v>30</v>
      </c>
      <c r="B442" t="s">
        <v>12</v>
      </c>
      <c r="C442">
        <v>32.82</v>
      </c>
      <c r="D442" t="s">
        <v>26</v>
      </c>
      <c r="E442" t="s">
        <v>29</v>
      </c>
      <c r="F442" t="s">
        <v>32</v>
      </c>
      <c r="G442" t="s">
        <v>112</v>
      </c>
      <c r="H442" t="s">
        <v>33</v>
      </c>
      <c r="I442" t="s">
        <v>17</v>
      </c>
      <c r="J442" t="s">
        <v>129</v>
      </c>
      <c r="K442" s="1">
        <v>0.83245613425925924</v>
      </c>
      <c r="L442">
        <f>YEAR(Coffe_sales[[#This Row],[Date]])</f>
        <v>2024</v>
      </c>
    </row>
    <row r="443" spans="1:12" x14ac:dyDescent="0.2">
      <c r="A443" t="s">
        <v>91</v>
      </c>
      <c r="B443" t="s">
        <v>12</v>
      </c>
      <c r="C443">
        <v>37.72</v>
      </c>
      <c r="D443" t="s">
        <v>13</v>
      </c>
      <c r="E443" t="s">
        <v>29</v>
      </c>
      <c r="F443" t="s">
        <v>32</v>
      </c>
      <c r="G443" t="s">
        <v>112</v>
      </c>
      <c r="H443" t="s">
        <v>33</v>
      </c>
      <c r="I443" t="s">
        <v>17</v>
      </c>
      <c r="J443" t="s">
        <v>129</v>
      </c>
      <c r="K443" s="1">
        <v>0.84922582175925931</v>
      </c>
      <c r="L443">
        <f>YEAR(Coffe_sales[[#This Row],[Date]])</f>
        <v>2024</v>
      </c>
    </row>
    <row r="444" spans="1:12" x14ac:dyDescent="0.2">
      <c r="A444" t="s">
        <v>39</v>
      </c>
      <c r="B444" t="s">
        <v>12</v>
      </c>
      <c r="C444">
        <v>27.92</v>
      </c>
      <c r="D444" t="s">
        <v>24</v>
      </c>
      <c r="E444" t="s">
        <v>14</v>
      </c>
      <c r="F444" t="s">
        <v>38</v>
      </c>
      <c r="G444" t="s">
        <v>112</v>
      </c>
      <c r="H444" t="s">
        <v>39</v>
      </c>
      <c r="I444" t="s">
        <v>17</v>
      </c>
      <c r="J444" t="s">
        <v>130</v>
      </c>
      <c r="K444" s="1">
        <v>0.33238787037037038</v>
      </c>
      <c r="L444">
        <f>YEAR(Coffe_sales[[#This Row],[Date]])</f>
        <v>2024</v>
      </c>
    </row>
    <row r="445" spans="1:12" x14ac:dyDescent="0.2">
      <c r="A445" t="s">
        <v>39</v>
      </c>
      <c r="B445" t="s">
        <v>12</v>
      </c>
      <c r="C445">
        <v>27.92</v>
      </c>
      <c r="D445" t="s">
        <v>24</v>
      </c>
      <c r="E445" t="s">
        <v>14</v>
      </c>
      <c r="F445" t="s">
        <v>38</v>
      </c>
      <c r="G445" t="s">
        <v>112</v>
      </c>
      <c r="H445" t="s">
        <v>39</v>
      </c>
      <c r="I445" t="s">
        <v>17</v>
      </c>
      <c r="J445" t="s">
        <v>130</v>
      </c>
      <c r="K445" s="1">
        <v>0.33302718749999999</v>
      </c>
      <c r="L445">
        <f>YEAR(Coffe_sales[[#This Row],[Date]])</f>
        <v>2024</v>
      </c>
    </row>
    <row r="446" spans="1:12" x14ac:dyDescent="0.2">
      <c r="A446" t="s">
        <v>123</v>
      </c>
      <c r="B446" t="s">
        <v>12</v>
      </c>
      <c r="C446">
        <v>37.72</v>
      </c>
      <c r="D446" t="s">
        <v>52</v>
      </c>
      <c r="E446" t="s">
        <v>14</v>
      </c>
      <c r="F446" t="s">
        <v>38</v>
      </c>
      <c r="G446" t="s">
        <v>112</v>
      </c>
      <c r="H446" t="s">
        <v>39</v>
      </c>
      <c r="I446" t="s">
        <v>17</v>
      </c>
      <c r="J446" t="s">
        <v>130</v>
      </c>
      <c r="K446" s="1">
        <v>0.33373913194444443</v>
      </c>
      <c r="L446">
        <f>YEAR(Coffe_sales[[#This Row],[Date]])</f>
        <v>2024</v>
      </c>
    </row>
    <row r="447" spans="1:12" x14ac:dyDescent="0.2">
      <c r="A447" t="s">
        <v>20</v>
      </c>
      <c r="B447" t="s">
        <v>12</v>
      </c>
      <c r="C447">
        <v>32.82</v>
      </c>
      <c r="D447" t="s">
        <v>26</v>
      </c>
      <c r="E447" t="s">
        <v>22</v>
      </c>
      <c r="F447" t="s">
        <v>38</v>
      </c>
      <c r="G447" t="s">
        <v>112</v>
      </c>
      <c r="H447" t="s">
        <v>39</v>
      </c>
      <c r="I447" t="s">
        <v>17</v>
      </c>
      <c r="J447" t="s">
        <v>130</v>
      </c>
      <c r="K447" s="1">
        <v>0.51003097222222227</v>
      </c>
      <c r="L447">
        <f>YEAR(Coffe_sales[[#This Row],[Date]])</f>
        <v>2024</v>
      </c>
    </row>
    <row r="448" spans="1:12" x14ac:dyDescent="0.2">
      <c r="A448" t="s">
        <v>36</v>
      </c>
      <c r="B448" t="s">
        <v>12</v>
      </c>
      <c r="C448">
        <v>27.92</v>
      </c>
      <c r="D448" t="s">
        <v>24</v>
      </c>
      <c r="E448" t="s">
        <v>22</v>
      </c>
      <c r="F448" t="s">
        <v>38</v>
      </c>
      <c r="G448" t="s">
        <v>112</v>
      </c>
      <c r="H448" t="s">
        <v>39</v>
      </c>
      <c r="I448" t="s">
        <v>17</v>
      </c>
      <c r="J448" t="s">
        <v>130</v>
      </c>
      <c r="K448" s="1">
        <v>0.61365797453703708</v>
      </c>
      <c r="L448">
        <f>YEAR(Coffe_sales[[#This Row],[Date]])</f>
        <v>2024</v>
      </c>
    </row>
    <row r="449" spans="1:12" x14ac:dyDescent="0.2">
      <c r="A449" t="s">
        <v>25</v>
      </c>
      <c r="B449" t="s">
        <v>12</v>
      </c>
      <c r="C449">
        <v>32.82</v>
      </c>
      <c r="D449" t="s">
        <v>26</v>
      </c>
      <c r="E449" t="s">
        <v>22</v>
      </c>
      <c r="F449" t="s">
        <v>38</v>
      </c>
      <c r="G449" t="s">
        <v>112</v>
      </c>
      <c r="H449" t="s">
        <v>39</v>
      </c>
      <c r="I449" t="s">
        <v>17</v>
      </c>
      <c r="J449" t="s">
        <v>130</v>
      </c>
      <c r="K449" s="1">
        <v>0.66595129629629635</v>
      </c>
      <c r="L449">
        <f>YEAR(Coffe_sales[[#This Row],[Date]])</f>
        <v>2024</v>
      </c>
    </row>
    <row r="450" spans="1:12" x14ac:dyDescent="0.2">
      <c r="A450" t="s">
        <v>28</v>
      </c>
      <c r="B450" t="s">
        <v>12</v>
      </c>
      <c r="C450">
        <v>32.82</v>
      </c>
      <c r="D450" t="s">
        <v>26</v>
      </c>
      <c r="E450" t="s">
        <v>29</v>
      </c>
      <c r="F450" t="s">
        <v>38</v>
      </c>
      <c r="G450" t="s">
        <v>112</v>
      </c>
      <c r="H450" t="s">
        <v>39</v>
      </c>
      <c r="I450" t="s">
        <v>17</v>
      </c>
      <c r="J450" t="s">
        <v>130</v>
      </c>
      <c r="K450" s="1">
        <v>0.75875351851851847</v>
      </c>
      <c r="L450">
        <f>YEAR(Coffe_sales[[#This Row],[Date]])</f>
        <v>2024</v>
      </c>
    </row>
    <row r="451" spans="1:12" x14ac:dyDescent="0.2">
      <c r="A451" t="s">
        <v>28</v>
      </c>
      <c r="B451" t="s">
        <v>12</v>
      </c>
      <c r="C451">
        <v>23.02</v>
      </c>
      <c r="D451" t="s">
        <v>45</v>
      </c>
      <c r="E451" t="s">
        <v>29</v>
      </c>
      <c r="F451" t="s">
        <v>38</v>
      </c>
      <c r="G451" t="s">
        <v>112</v>
      </c>
      <c r="H451" t="s">
        <v>39</v>
      </c>
      <c r="I451" t="s">
        <v>17</v>
      </c>
      <c r="J451" t="s">
        <v>130</v>
      </c>
      <c r="K451" s="1">
        <v>0.75958057870370366</v>
      </c>
      <c r="L451">
        <f>YEAR(Coffe_sales[[#This Row],[Date]])</f>
        <v>2024</v>
      </c>
    </row>
    <row r="452" spans="1:12" x14ac:dyDescent="0.2">
      <c r="A452" t="s">
        <v>28</v>
      </c>
      <c r="B452" t="s">
        <v>12</v>
      </c>
      <c r="C452">
        <v>37.72</v>
      </c>
      <c r="D452" t="s">
        <v>21</v>
      </c>
      <c r="E452" t="s">
        <v>29</v>
      </c>
      <c r="F452" t="s">
        <v>38</v>
      </c>
      <c r="G452" t="s">
        <v>112</v>
      </c>
      <c r="H452" t="s">
        <v>39</v>
      </c>
      <c r="I452" t="s">
        <v>17</v>
      </c>
      <c r="J452" t="s">
        <v>130</v>
      </c>
      <c r="K452" s="1">
        <v>0.76145858796296295</v>
      </c>
      <c r="L452">
        <f>YEAR(Coffe_sales[[#This Row],[Date]])</f>
        <v>2024</v>
      </c>
    </row>
    <row r="453" spans="1:12" x14ac:dyDescent="0.2">
      <c r="A453" t="s">
        <v>30</v>
      </c>
      <c r="B453" t="s">
        <v>12</v>
      </c>
      <c r="C453">
        <v>37.72</v>
      </c>
      <c r="D453" t="s">
        <v>52</v>
      </c>
      <c r="E453" t="s">
        <v>29</v>
      </c>
      <c r="F453" t="s">
        <v>38</v>
      </c>
      <c r="G453" t="s">
        <v>112</v>
      </c>
      <c r="H453" t="s">
        <v>39</v>
      </c>
      <c r="I453" t="s">
        <v>17</v>
      </c>
      <c r="J453" t="s">
        <v>130</v>
      </c>
      <c r="K453" s="1">
        <v>0.82716410879629632</v>
      </c>
      <c r="L453">
        <f>YEAR(Coffe_sales[[#This Row],[Date]])</f>
        <v>2024</v>
      </c>
    </row>
    <row r="454" spans="1:12" x14ac:dyDescent="0.2">
      <c r="A454" t="s">
        <v>131</v>
      </c>
      <c r="B454" t="s">
        <v>12</v>
      </c>
      <c r="C454">
        <v>37.72</v>
      </c>
      <c r="D454" t="s">
        <v>52</v>
      </c>
      <c r="E454" t="s">
        <v>29</v>
      </c>
      <c r="F454" t="s">
        <v>38</v>
      </c>
      <c r="G454" t="s">
        <v>112</v>
      </c>
      <c r="H454" t="s">
        <v>39</v>
      </c>
      <c r="I454" t="s">
        <v>17</v>
      </c>
      <c r="J454" t="s">
        <v>130</v>
      </c>
      <c r="K454" s="1">
        <v>0.88590001157407405</v>
      </c>
      <c r="L454">
        <f>YEAR(Coffe_sales[[#This Row],[Date]])</f>
        <v>2024</v>
      </c>
    </row>
    <row r="455" spans="1:12" x14ac:dyDescent="0.2">
      <c r="A455" t="s">
        <v>131</v>
      </c>
      <c r="B455" t="s">
        <v>12</v>
      </c>
      <c r="C455">
        <v>37.72</v>
      </c>
      <c r="D455" t="s">
        <v>52</v>
      </c>
      <c r="E455" t="s">
        <v>29</v>
      </c>
      <c r="F455" t="s">
        <v>38</v>
      </c>
      <c r="G455" t="s">
        <v>112</v>
      </c>
      <c r="H455" t="s">
        <v>39</v>
      </c>
      <c r="I455" t="s">
        <v>17</v>
      </c>
      <c r="J455" t="s">
        <v>130</v>
      </c>
      <c r="K455" s="1">
        <v>0.88791783564814819</v>
      </c>
      <c r="L455">
        <f>YEAR(Coffe_sales[[#This Row],[Date]])</f>
        <v>2024</v>
      </c>
    </row>
    <row r="456" spans="1:12" x14ac:dyDescent="0.2">
      <c r="A456" t="s">
        <v>11</v>
      </c>
      <c r="B456" t="s">
        <v>12</v>
      </c>
      <c r="C456">
        <v>32.82</v>
      </c>
      <c r="D456" t="s">
        <v>26</v>
      </c>
      <c r="E456" t="s">
        <v>14</v>
      </c>
      <c r="F456" t="s">
        <v>42</v>
      </c>
      <c r="G456" t="s">
        <v>112</v>
      </c>
      <c r="H456" t="s">
        <v>43</v>
      </c>
      <c r="I456" t="s">
        <v>17</v>
      </c>
      <c r="J456" t="s">
        <v>132</v>
      </c>
      <c r="K456" s="1">
        <v>0.42082364583333332</v>
      </c>
      <c r="L456">
        <f>YEAR(Coffe_sales[[#This Row],[Date]])</f>
        <v>2024</v>
      </c>
    </row>
    <row r="457" spans="1:12" x14ac:dyDescent="0.2">
      <c r="A457" t="s">
        <v>11</v>
      </c>
      <c r="B457" t="s">
        <v>12</v>
      </c>
      <c r="C457">
        <v>37.72</v>
      </c>
      <c r="D457" t="s">
        <v>13</v>
      </c>
      <c r="E457" t="s">
        <v>14</v>
      </c>
      <c r="F457" t="s">
        <v>42</v>
      </c>
      <c r="G457" t="s">
        <v>112</v>
      </c>
      <c r="H457" t="s">
        <v>43</v>
      </c>
      <c r="I457" t="s">
        <v>17</v>
      </c>
      <c r="J457" t="s">
        <v>132</v>
      </c>
      <c r="K457" s="1">
        <v>0.42907253472222223</v>
      </c>
      <c r="L457">
        <f>YEAR(Coffe_sales[[#This Row],[Date]])</f>
        <v>2024</v>
      </c>
    </row>
    <row r="458" spans="1:12" x14ac:dyDescent="0.2">
      <c r="A458" t="s">
        <v>11</v>
      </c>
      <c r="B458" t="s">
        <v>12</v>
      </c>
      <c r="C458">
        <v>37.72</v>
      </c>
      <c r="D458" t="s">
        <v>13</v>
      </c>
      <c r="E458" t="s">
        <v>14</v>
      </c>
      <c r="F458" t="s">
        <v>42</v>
      </c>
      <c r="G458" t="s">
        <v>112</v>
      </c>
      <c r="H458" t="s">
        <v>43</v>
      </c>
      <c r="I458" t="s">
        <v>17</v>
      </c>
      <c r="J458" t="s">
        <v>132</v>
      </c>
      <c r="K458" s="1">
        <v>0.45750438657407405</v>
      </c>
      <c r="L458">
        <f>YEAR(Coffe_sales[[#This Row],[Date]])</f>
        <v>2024</v>
      </c>
    </row>
    <row r="459" spans="1:12" x14ac:dyDescent="0.2">
      <c r="A459" t="s">
        <v>35</v>
      </c>
      <c r="B459" t="s">
        <v>12</v>
      </c>
      <c r="C459">
        <v>27.92</v>
      </c>
      <c r="D459" t="s">
        <v>24</v>
      </c>
      <c r="E459" t="s">
        <v>14</v>
      </c>
      <c r="F459" t="s">
        <v>42</v>
      </c>
      <c r="G459" t="s">
        <v>112</v>
      </c>
      <c r="H459" t="s">
        <v>43</v>
      </c>
      <c r="I459" t="s">
        <v>17</v>
      </c>
      <c r="J459" t="s">
        <v>132</v>
      </c>
      <c r="K459" s="1">
        <v>0.46893938657407408</v>
      </c>
      <c r="L459">
        <f>YEAR(Coffe_sales[[#This Row],[Date]])</f>
        <v>2024</v>
      </c>
    </row>
    <row r="460" spans="1:12" x14ac:dyDescent="0.2">
      <c r="A460" t="s">
        <v>35</v>
      </c>
      <c r="B460" t="s">
        <v>12</v>
      </c>
      <c r="C460">
        <v>27.92</v>
      </c>
      <c r="D460" t="s">
        <v>24</v>
      </c>
      <c r="E460" t="s">
        <v>14</v>
      </c>
      <c r="F460" t="s">
        <v>42</v>
      </c>
      <c r="G460" t="s">
        <v>112</v>
      </c>
      <c r="H460" t="s">
        <v>43</v>
      </c>
      <c r="I460" t="s">
        <v>17</v>
      </c>
      <c r="J460" t="s">
        <v>132</v>
      </c>
      <c r="K460" s="1">
        <v>0.46967172453703704</v>
      </c>
      <c r="L460">
        <f>YEAR(Coffe_sales[[#This Row],[Date]])</f>
        <v>2024</v>
      </c>
    </row>
    <row r="461" spans="1:12" x14ac:dyDescent="0.2">
      <c r="A461" t="s">
        <v>23</v>
      </c>
      <c r="B461" t="s">
        <v>12</v>
      </c>
      <c r="C461">
        <v>27.92</v>
      </c>
      <c r="D461" t="s">
        <v>24</v>
      </c>
      <c r="E461" t="s">
        <v>22</v>
      </c>
      <c r="F461" t="s">
        <v>42</v>
      </c>
      <c r="G461" t="s">
        <v>112</v>
      </c>
      <c r="H461" t="s">
        <v>43</v>
      </c>
      <c r="I461" t="s">
        <v>17</v>
      </c>
      <c r="J461" t="s">
        <v>132</v>
      </c>
      <c r="K461" s="1">
        <v>0.56057199074074071</v>
      </c>
      <c r="L461">
        <f>YEAR(Coffe_sales[[#This Row],[Date]])</f>
        <v>2024</v>
      </c>
    </row>
    <row r="462" spans="1:12" x14ac:dyDescent="0.2">
      <c r="A462" t="s">
        <v>23</v>
      </c>
      <c r="B462" t="s">
        <v>12</v>
      </c>
      <c r="C462">
        <v>27.92</v>
      </c>
      <c r="D462" t="s">
        <v>24</v>
      </c>
      <c r="E462" t="s">
        <v>22</v>
      </c>
      <c r="F462" t="s">
        <v>42</v>
      </c>
      <c r="G462" t="s">
        <v>112</v>
      </c>
      <c r="H462" t="s">
        <v>43</v>
      </c>
      <c r="I462" t="s">
        <v>17</v>
      </c>
      <c r="J462" t="s">
        <v>132</v>
      </c>
      <c r="K462" s="1">
        <v>0.56123194444444446</v>
      </c>
      <c r="L462">
        <f>YEAR(Coffe_sales[[#This Row],[Date]])</f>
        <v>2024</v>
      </c>
    </row>
    <row r="463" spans="1:12" x14ac:dyDescent="0.2">
      <c r="A463" t="s">
        <v>36</v>
      </c>
      <c r="B463" t="s">
        <v>12</v>
      </c>
      <c r="C463">
        <v>32.82</v>
      </c>
      <c r="D463" t="s">
        <v>26</v>
      </c>
      <c r="E463" t="s">
        <v>22</v>
      </c>
      <c r="F463" t="s">
        <v>42</v>
      </c>
      <c r="G463" t="s">
        <v>112</v>
      </c>
      <c r="H463" t="s">
        <v>43</v>
      </c>
      <c r="I463" t="s">
        <v>17</v>
      </c>
      <c r="J463" t="s">
        <v>132</v>
      </c>
      <c r="K463" s="1">
        <v>0.59258121527777774</v>
      </c>
      <c r="L463">
        <f>YEAR(Coffe_sales[[#This Row],[Date]])</f>
        <v>2024</v>
      </c>
    </row>
    <row r="464" spans="1:12" x14ac:dyDescent="0.2">
      <c r="A464" t="s">
        <v>36</v>
      </c>
      <c r="B464" t="s">
        <v>12</v>
      </c>
      <c r="C464">
        <v>37.72</v>
      </c>
      <c r="D464" t="s">
        <v>52</v>
      </c>
      <c r="E464" t="s">
        <v>22</v>
      </c>
      <c r="F464" t="s">
        <v>42</v>
      </c>
      <c r="G464" t="s">
        <v>112</v>
      </c>
      <c r="H464" t="s">
        <v>43</v>
      </c>
      <c r="I464" t="s">
        <v>17</v>
      </c>
      <c r="J464" t="s">
        <v>132</v>
      </c>
      <c r="K464" s="1">
        <v>0.59341844907407404</v>
      </c>
      <c r="L464">
        <f>YEAR(Coffe_sales[[#This Row],[Date]])</f>
        <v>2024</v>
      </c>
    </row>
    <row r="465" spans="1:12" x14ac:dyDescent="0.2">
      <c r="A465" t="s">
        <v>37</v>
      </c>
      <c r="B465" t="s">
        <v>12</v>
      </c>
      <c r="C465">
        <v>37.72</v>
      </c>
      <c r="D465" t="s">
        <v>13</v>
      </c>
      <c r="E465" t="s">
        <v>29</v>
      </c>
      <c r="F465" t="s">
        <v>42</v>
      </c>
      <c r="G465" t="s">
        <v>112</v>
      </c>
      <c r="H465" t="s">
        <v>43</v>
      </c>
      <c r="I465" t="s">
        <v>17</v>
      </c>
      <c r="J465" t="s">
        <v>132</v>
      </c>
      <c r="K465" s="1">
        <v>0.71725834490740736</v>
      </c>
      <c r="L465">
        <f>YEAR(Coffe_sales[[#This Row],[Date]])</f>
        <v>2024</v>
      </c>
    </row>
    <row r="466" spans="1:12" x14ac:dyDescent="0.2">
      <c r="A466" t="s">
        <v>37</v>
      </c>
      <c r="B466" t="s">
        <v>12</v>
      </c>
      <c r="C466">
        <v>37.72</v>
      </c>
      <c r="D466" t="s">
        <v>13</v>
      </c>
      <c r="E466" t="s">
        <v>29</v>
      </c>
      <c r="F466" t="s">
        <v>42</v>
      </c>
      <c r="G466" t="s">
        <v>112</v>
      </c>
      <c r="H466" t="s">
        <v>43</v>
      </c>
      <c r="I466" t="s">
        <v>17</v>
      </c>
      <c r="J466" t="s">
        <v>132</v>
      </c>
      <c r="K466" s="1">
        <v>0.71801964120370365</v>
      </c>
      <c r="L466">
        <f>YEAR(Coffe_sales[[#This Row],[Date]])</f>
        <v>2024</v>
      </c>
    </row>
    <row r="467" spans="1:12" x14ac:dyDescent="0.2">
      <c r="A467" t="s">
        <v>91</v>
      </c>
      <c r="B467" t="s">
        <v>12</v>
      </c>
      <c r="C467">
        <v>32.82</v>
      </c>
      <c r="D467" t="s">
        <v>26</v>
      </c>
      <c r="E467" t="s">
        <v>29</v>
      </c>
      <c r="F467" t="s">
        <v>42</v>
      </c>
      <c r="G467" t="s">
        <v>112</v>
      </c>
      <c r="H467" t="s">
        <v>43</v>
      </c>
      <c r="I467" t="s">
        <v>17</v>
      </c>
      <c r="J467" t="s">
        <v>132</v>
      </c>
      <c r="K467" s="1">
        <v>0.85889259259259254</v>
      </c>
      <c r="L467">
        <f>YEAR(Coffe_sales[[#This Row],[Date]])</f>
        <v>2024</v>
      </c>
    </row>
    <row r="468" spans="1:12" x14ac:dyDescent="0.2">
      <c r="A468" t="s">
        <v>91</v>
      </c>
      <c r="B468" t="s">
        <v>12</v>
      </c>
      <c r="C468">
        <v>37.72</v>
      </c>
      <c r="D468" t="s">
        <v>31</v>
      </c>
      <c r="E468" t="s">
        <v>29</v>
      </c>
      <c r="F468" t="s">
        <v>42</v>
      </c>
      <c r="G468" t="s">
        <v>112</v>
      </c>
      <c r="H468" t="s">
        <v>43</v>
      </c>
      <c r="I468" t="s">
        <v>17</v>
      </c>
      <c r="J468" t="s">
        <v>132</v>
      </c>
      <c r="K468" s="1">
        <v>0.85969115740740742</v>
      </c>
      <c r="L468">
        <f>YEAR(Coffe_sales[[#This Row],[Date]])</f>
        <v>2024</v>
      </c>
    </row>
    <row r="469" spans="1:12" x14ac:dyDescent="0.2">
      <c r="A469" t="s">
        <v>91</v>
      </c>
      <c r="B469" t="s">
        <v>12</v>
      </c>
      <c r="C469">
        <v>27.92</v>
      </c>
      <c r="D469" t="s">
        <v>41</v>
      </c>
      <c r="E469" t="s">
        <v>29</v>
      </c>
      <c r="F469" t="s">
        <v>42</v>
      </c>
      <c r="G469" t="s">
        <v>112</v>
      </c>
      <c r="H469" t="s">
        <v>43</v>
      </c>
      <c r="I469" t="s">
        <v>17</v>
      </c>
      <c r="J469" t="s">
        <v>132</v>
      </c>
      <c r="K469" s="1">
        <v>0.86588061342592593</v>
      </c>
      <c r="L469">
        <f>YEAR(Coffe_sales[[#This Row],[Date]])</f>
        <v>2024</v>
      </c>
    </row>
    <row r="470" spans="1:12" x14ac:dyDescent="0.2">
      <c r="A470" t="s">
        <v>131</v>
      </c>
      <c r="B470" t="s">
        <v>12</v>
      </c>
      <c r="C470">
        <v>32.82</v>
      </c>
      <c r="D470" t="s">
        <v>26</v>
      </c>
      <c r="E470" t="s">
        <v>29</v>
      </c>
      <c r="F470" t="s">
        <v>42</v>
      </c>
      <c r="G470" t="s">
        <v>112</v>
      </c>
      <c r="H470" t="s">
        <v>43</v>
      </c>
      <c r="I470" t="s">
        <v>17</v>
      </c>
      <c r="J470" t="s">
        <v>132</v>
      </c>
      <c r="K470" s="1">
        <v>0.900624837962963</v>
      </c>
      <c r="L470">
        <f>YEAR(Coffe_sales[[#This Row],[Date]])</f>
        <v>2024</v>
      </c>
    </row>
    <row r="471" spans="1:12" x14ac:dyDescent="0.2">
      <c r="A471" t="s">
        <v>131</v>
      </c>
      <c r="B471" t="s">
        <v>12</v>
      </c>
      <c r="C471">
        <v>32.82</v>
      </c>
      <c r="D471" t="s">
        <v>26</v>
      </c>
      <c r="E471" t="s">
        <v>29</v>
      </c>
      <c r="F471" t="s">
        <v>42</v>
      </c>
      <c r="G471" t="s">
        <v>112</v>
      </c>
      <c r="H471" t="s">
        <v>43</v>
      </c>
      <c r="I471" t="s">
        <v>17</v>
      </c>
      <c r="J471" t="s">
        <v>132</v>
      </c>
      <c r="K471" s="1">
        <v>0.90136315972222225</v>
      </c>
      <c r="L471">
        <f>YEAR(Coffe_sales[[#This Row],[Date]])</f>
        <v>2024</v>
      </c>
    </row>
    <row r="472" spans="1:12" x14ac:dyDescent="0.2">
      <c r="A472" t="s">
        <v>123</v>
      </c>
      <c r="B472" t="s">
        <v>12</v>
      </c>
      <c r="C472">
        <v>37.72</v>
      </c>
      <c r="D472" t="s">
        <v>13</v>
      </c>
      <c r="E472" t="s">
        <v>14</v>
      </c>
      <c r="F472" t="s">
        <v>47</v>
      </c>
      <c r="G472" t="s">
        <v>112</v>
      </c>
      <c r="H472" t="s">
        <v>48</v>
      </c>
      <c r="I472" t="s">
        <v>17</v>
      </c>
      <c r="J472" t="s">
        <v>133</v>
      </c>
      <c r="K472" s="1">
        <v>0.3525258101851852</v>
      </c>
      <c r="L472">
        <f>YEAR(Coffe_sales[[#This Row],[Date]])</f>
        <v>2024</v>
      </c>
    </row>
    <row r="473" spans="1:12" x14ac:dyDescent="0.2">
      <c r="A473" t="s">
        <v>27</v>
      </c>
      <c r="B473" t="s">
        <v>12</v>
      </c>
      <c r="C473">
        <v>37.72</v>
      </c>
      <c r="D473" t="s">
        <v>13</v>
      </c>
      <c r="E473" t="s">
        <v>22</v>
      </c>
      <c r="F473" t="s">
        <v>47</v>
      </c>
      <c r="G473" t="s">
        <v>112</v>
      </c>
      <c r="H473" t="s">
        <v>48</v>
      </c>
      <c r="I473" t="s">
        <v>17</v>
      </c>
      <c r="J473" t="s">
        <v>133</v>
      </c>
      <c r="K473" s="1">
        <v>0.67384208333333329</v>
      </c>
      <c r="L473">
        <f>YEAR(Coffe_sales[[#This Row],[Date]])</f>
        <v>2024</v>
      </c>
    </row>
    <row r="474" spans="1:12" x14ac:dyDescent="0.2">
      <c r="A474" t="s">
        <v>28</v>
      </c>
      <c r="B474" t="s">
        <v>12</v>
      </c>
      <c r="C474">
        <v>23.02</v>
      </c>
      <c r="D474" t="s">
        <v>45</v>
      </c>
      <c r="E474" t="s">
        <v>29</v>
      </c>
      <c r="F474" t="s">
        <v>47</v>
      </c>
      <c r="G474" t="s">
        <v>112</v>
      </c>
      <c r="H474" t="s">
        <v>48</v>
      </c>
      <c r="I474" t="s">
        <v>17</v>
      </c>
      <c r="J474" t="s">
        <v>133</v>
      </c>
      <c r="K474" s="1">
        <v>0.75930553240740739</v>
      </c>
      <c r="L474">
        <f>YEAR(Coffe_sales[[#This Row],[Date]])</f>
        <v>2024</v>
      </c>
    </row>
    <row r="475" spans="1:12" x14ac:dyDescent="0.2">
      <c r="A475" t="s">
        <v>30</v>
      </c>
      <c r="B475" t="s">
        <v>12</v>
      </c>
      <c r="C475">
        <v>37.72</v>
      </c>
      <c r="D475" t="s">
        <v>52</v>
      </c>
      <c r="E475" t="s">
        <v>29</v>
      </c>
      <c r="F475" t="s">
        <v>47</v>
      </c>
      <c r="G475" t="s">
        <v>112</v>
      </c>
      <c r="H475" t="s">
        <v>48</v>
      </c>
      <c r="I475" t="s">
        <v>17</v>
      </c>
      <c r="J475" t="s">
        <v>133</v>
      </c>
      <c r="K475" s="1">
        <v>0.79941217592592595</v>
      </c>
      <c r="L475">
        <f>YEAR(Coffe_sales[[#This Row],[Date]])</f>
        <v>2024</v>
      </c>
    </row>
    <row r="476" spans="1:12" x14ac:dyDescent="0.2">
      <c r="A476" t="s">
        <v>91</v>
      </c>
      <c r="B476" t="s">
        <v>12</v>
      </c>
      <c r="C476">
        <v>37.72</v>
      </c>
      <c r="D476" t="s">
        <v>52</v>
      </c>
      <c r="E476" t="s">
        <v>29</v>
      </c>
      <c r="F476" t="s">
        <v>47</v>
      </c>
      <c r="G476" t="s">
        <v>112</v>
      </c>
      <c r="H476" t="s">
        <v>48</v>
      </c>
      <c r="I476" t="s">
        <v>17</v>
      </c>
      <c r="J476" t="s">
        <v>133</v>
      </c>
      <c r="K476" s="1">
        <v>0.84292081018518517</v>
      </c>
      <c r="L476">
        <f>YEAR(Coffe_sales[[#This Row],[Date]])</f>
        <v>2024</v>
      </c>
    </row>
    <row r="477" spans="1:12" x14ac:dyDescent="0.2">
      <c r="A477" t="s">
        <v>46</v>
      </c>
      <c r="B477" t="s">
        <v>12</v>
      </c>
      <c r="C477">
        <v>37.72</v>
      </c>
      <c r="D477" t="s">
        <v>52</v>
      </c>
      <c r="E477" t="s">
        <v>14</v>
      </c>
      <c r="F477" t="s">
        <v>50</v>
      </c>
      <c r="G477" t="s">
        <v>112</v>
      </c>
      <c r="H477" t="s">
        <v>18</v>
      </c>
      <c r="I477" t="s">
        <v>17</v>
      </c>
      <c r="J477" t="s">
        <v>134</v>
      </c>
      <c r="K477" s="1">
        <v>0.39909511574074075</v>
      </c>
      <c r="L477">
        <f>YEAR(Coffe_sales[[#This Row],[Date]])</f>
        <v>2024</v>
      </c>
    </row>
    <row r="478" spans="1:12" x14ac:dyDescent="0.2">
      <c r="A478" t="s">
        <v>11</v>
      </c>
      <c r="B478" t="s">
        <v>12</v>
      </c>
      <c r="C478">
        <v>32.82</v>
      </c>
      <c r="D478" t="s">
        <v>26</v>
      </c>
      <c r="E478" t="s">
        <v>14</v>
      </c>
      <c r="F478" t="s">
        <v>50</v>
      </c>
      <c r="G478" t="s">
        <v>112</v>
      </c>
      <c r="H478" t="s">
        <v>18</v>
      </c>
      <c r="I478" t="s">
        <v>17</v>
      </c>
      <c r="J478" t="s">
        <v>134</v>
      </c>
      <c r="K478" s="1">
        <v>0.45123893518518521</v>
      </c>
      <c r="L478">
        <f>YEAR(Coffe_sales[[#This Row],[Date]])</f>
        <v>2024</v>
      </c>
    </row>
    <row r="479" spans="1:12" x14ac:dyDescent="0.2">
      <c r="A479" t="s">
        <v>35</v>
      </c>
      <c r="B479" t="s">
        <v>12</v>
      </c>
      <c r="C479">
        <v>27.92</v>
      </c>
      <c r="D479" t="s">
        <v>41</v>
      </c>
      <c r="E479" t="s">
        <v>14</v>
      </c>
      <c r="F479" t="s">
        <v>50</v>
      </c>
      <c r="G479" t="s">
        <v>112</v>
      </c>
      <c r="H479" t="s">
        <v>18</v>
      </c>
      <c r="I479" t="s">
        <v>17</v>
      </c>
      <c r="J479" t="s">
        <v>134</v>
      </c>
      <c r="K479" s="1">
        <v>0.47099843749999998</v>
      </c>
      <c r="L479">
        <f>YEAR(Coffe_sales[[#This Row],[Date]])</f>
        <v>2024</v>
      </c>
    </row>
    <row r="480" spans="1:12" x14ac:dyDescent="0.2">
      <c r="A480" t="s">
        <v>35</v>
      </c>
      <c r="B480" t="s">
        <v>12</v>
      </c>
      <c r="C480">
        <v>32.82</v>
      </c>
      <c r="D480" t="s">
        <v>26</v>
      </c>
      <c r="E480" t="s">
        <v>14</v>
      </c>
      <c r="F480" t="s">
        <v>50</v>
      </c>
      <c r="G480" t="s">
        <v>112</v>
      </c>
      <c r="H480" t="s">
        <v>18</v>
      </c>
      <c r="I480" t="s">
        <v>17</v>
      </c>
      <c r="J480" t="s">
        <v>134</v>
      </c>
      <c r="K480" s="1">
        <v>0.48258064814814816</v>
      </c>
      <c r="L480">
        <f>YEAR(Coffe_sales[[#This Row],[Date]])</f>
        <v>2024</v>
      </c>
    </row>
    <row r="481" spans="1:12" x14ac:dyDescent="0.2">
      <c r="A481" t="s">
        <v>20</v>
      </c>
      <c r="B481" t="s">
        <v>12</v>
      </c>
      <c r="C481">
        <v>27.92</v>
      </c>
      <c r="D481" t="s">
        <v>24</v>
      </c>
      <c r="E481" t="s">
        <v>22</v>
      </c>
      <c r="F481" t="s">
        <v>50</v>
      </c>
      <c r="G481" t="s">
        <v>112</v>
      </c>
      <c r="H481" t="s">
        <v>18</v>
      </c>
      <c r="I481" t="s">
        <v>17</v>
      </c>
      <c r="J481" t="s">
        <v>134</v>
      </c>
      <c r="K481" s="1">
        <v>0.52072732638888886</v>
      </c>
      <c r="L481">
        <f>YEAR(Coffe_sales[[#This Row],[Date]])</f>
        <v>2024</v>
      </c>
    </row>
    <row r="482" spans="1:12" x14ac:dyDescent="0.2">
      <c r="A482" t="s">
        <v>20</v>
      </c>
      <c r="B482" t="s">
        <v>12</v>
      </c>
      <c r="C482">
        <v>27.92</v>
      </c>
      <c r="D482" t="s">
        <v>24</v>
      </c>
      <c r="E482" t="s">
        <v>22</v>
      </c>
      <c r="F482" t="s">
        <v>50</v>
      </c>
      <c r="G482" t="s">
        <v>112</v>
      </c>
      <c r="H482" t="s">
        <v>18</v>
      </c>
      <c r="I482" t="s">
        <v>17</v>
      </c>
      <c r="J482" t="s">
        <v>134</v>
      </c>
      <c r="K482" s="1">
        <v>0.5213350347222222</v>
      </c>
      <c r="L482">
        <f>YEAR(Coffe_sales[[#This Row],[Date]])</f>
        <v>2024</v>
      </c>
    </row>
    <row r="483" spans="1:12" x14ac:dyDescent="0.2">
      <c r="A483" t="s">
        <v>36</v>
      </c>
      <c r="B483" t="s">
        <v>12</v>
      </c>
      <c r="C483">
        <v>32.82</v>
      </c>
      <c r="D483" t="s">
        <v>26</v>
      </c>
      <c r="E483" t="s">
        <v>22</v>
      </c>
      <c r="F483" t="s">
        <v>50</v>
      </c>
      <c r="G483" t="s">
        <v>112</v>
      </c>
      <c r="H483" t="s">
        <v>18</v>
      </c>
      <c r="I483" t="s">
        <v>17</v>
      </c>
      <c r="J483" t="s">
        <v>134</v>
      </c>
      <c r="K483" s="1">
        <v>0.5835705902777778</v>
      </c>
      <c r="L483">
        <f>YEAR(Coffe_sales[[#This Row],[Date]])</f>
        <v>2024</v>
      </c>
    </row>
    <row r="484" spans="1:12" x14ac:dyDescent="0.2">
      <c r="A484" t="s">
        <v>30</v>
      </c>
      <c r="B484" t="s">
        <v>12</v>
      </c>
      <c r="C484">
        <v>37.72</v>
      </c>
      <c r="D484" t="s">
        <v>52</v>
      </c>
      <c r="E484" t="s">
        <v>29</v>
      </c>
      <c r="F484" t="s">
        <v>50</v>
      </c>
      <c r="G484" t="s">
        <v>112</v>
      </c>
      <c r="H484" t="s">
        <v>18</v>
      </c>
      <c r="I484" t="s">
        <v>17</v>
      </c>
      <c r="J484" t="s">
        <v>134</v>
      </c>
      <c r="K484" s="1">
        <v>0.8090057638888889</v>
      </c>
      <c r="L484">
        <f>YEAR(Coffe_sales[[#This Row],[Date]])</f>
        <v>2024</v>
      </c>
    </row>
    <row r="485" spans="1:12" x14ac:dyDescent="0.2">
      <c r="A485" t="s">
        <v>30</v>
      </c>
      <c r="B485" t="s">
        <v>12</v>
      </c>
      <c r="C485">
        <v>37.72</v>
      </c>
      <c r="D485" t="s">
        <v>52</v>
      </c>
      <c r="E485" t="s">
        <v>29</v>
      </c>
      <c r="F485" t="s">
        <v>50</v>
      </c>
      <c r="G485" t="s">
        <v>112</v>
      </c>
      <c r="H485" t="s">
        <v>18</v>
      </c>
      <c r="I485" t="s">
        <v>17</v>
      </c>
      <c r="J485" t="s">
        <v>134</v>
      </c>
      <c r="K485" s="1">
        <v>0.80970571759259258</v>
      </c>
      <c r="L485">
        <f>YEAR(Coffe_sales[[#This Row],[Date]])</f>
        <v>2024</v>
      </c>
    </row>
    <row r="486" spans="1:12" x14ac:dyDescent="0.2">
      <c r="A486" t="s">
        <v>131</v>
      </c>
      <c r="B486" t="s">
        <v>12</v>
      </c>
      <c r="C486">
        <v>37.72</v>
      </c>
      <c r="D486" t="s">
        <v>21</v>
      </c>
      <c r="E486" t="s">
        <v>29</v>
      </c>
      <c r="F486" t="s">
        <v>50</v>
      </c>
      <c r="G486" t="s">
        <v>112</v>
      </c>
      <c r="H486" t="s">
        <v>18</v>
      </c>
      <c r="I486" t="s">
        <v>17</v>
      </c>
      <c r="J486" t="s">
        <v>134</v>
      </c>
      <c r="K486" s="1">
        <v>0.89158564814814811</v>
      </c>
      <c r="L486">
        <f>YEAR(Coffe_sales[[#This Row],[Date]])</f>
        <v>2024</v>
      </c>
    </row>
    <row r="487" spans="1:12" x14ac:dyDescent="0.2">
      <c r="A487" t="s">
        <v>131</v>
      </c>
      <c r="B487" t="s">
        <v>12</v>
      </c>
      <c r="C487">
        <v>37.72</v>
      </c>
      <c r="D487" t="s">
        <v>52</v>
      </c>
      <c r="E487" t="s">
        <v>29</v>
      </c>
      <c r="F487" t="s">
        <v>50</v>
      </c>
      <c r="G487" t="s">
        <v>112</v>
      </c>
      <c r="H487" t="s">
        <v>18</v>
      </c>
      <c r="I487" t="s">
        <v>17</v>
      </c>
      <c r="J487" t="s">
        <v>134</v>
      </c>
      <c r="K487" s="1">
        <v>0.89224055555555559</v>
      </c>
      <c r="L487">
        <f>YEAR(Coffe_sales[[#This Row],[Date]])</f>
        <v>2024</v>
      </c>
    </row>
    <row r="488" spans="1:12" x14ac:dyDescent="0.2">
      <c r="A488" t="s">
        <v>11</v>
      </c>
      <c r="B488" t="s">
        <v>12</v>
      </c>
      <c r="C488">
        <v>37.72</v>
      </c>
      <c r="D488" t="s">
        <v>52</v>
      </c>
      <c r="E488" t="s">
        <v>14</v>
      </c>
      <c r="F488" t="s">
        <v>53</v>
      </c>
      <c r="G488" t="s">
        <v>112</v>
      </c>
      <c r="H488" t="s">
        <v>54</v>
      </c>
      <c r="I488" t="s">
        <v>17</v>
      </c>
      <c r="J488" t="s">
        <v>135</v>
      </c>
      <c r="K488" s="1">
        <v>0.42383842592592591</v>
      </c>
      <c r="L488">
        <f>YEAR(Coffe_sales[[#This Row],[Date]])</f>
        <v>2024</v>
      </c>
    </row>
    <row r="489" spans="1:12" x14ac:dyDescent="0.2">
      <c r="A489" t="s">
        <v>20</v>
      </c>
      <c r="B489" t="s">
        <v>12</v>
      </c>
      <c r="C489">
        <v>23.02</v>
      </c>
      <c r="D489" t="s">
        <v>45</v>
      </c>
      <c r="E489" t="s">
        <v>22</v>
      </c>
      <c r="F489" t="s">
        <v>53</v>
      </c>
      <c r="G489" t="s">
        <v>112</v>
      </c>
      <c r="H489" t="s">
        <v>54</v>
      </c>
      <c r="I489" t="s">
        <v>17</v>
      </c>
      <c r="J489" t="s">
        <v>135</v>
      </c>
      <c r="K489" s="1">
        <v>0.51535422453703705</v>
      </c>
      <c r="L489">
        <f>YEAR(Coffe_sales[[#This Row],[Date]])</f>
        <v>2024</v>
      </c>
    </row>
    <row r="490" spans="1:12" x14ac:dyDescent="0.2">
      <c r="A490" t="s">
        <v>25</v>
      </c>
      <c r="B490" t="s">
        <v>12</v>
      </c>
      <c r="C490">
        <v>37.72</v>
      </c>
      <c r="D490" t="s">
        <v>52</v>
      </c>
      <c r="E490" t="s">
        <v>22</v>
      </c>
      <c r="F490" t="s">
        <v>53</v>
      </c>
      <c r="G490" t="s">
        <v>112</v>
      </c>
      <c r="H490" t="s">
        <v>54</v>
      </c>
      <c r="I490" t="s">
        <v>17</v>
      </c>
      <c r="J490" t="s">
        <v>135</v>
      </c>
      <c r="K490" s="1">
        <v>0.66338689814814811</v>
      </c>
      <c r="L490">
        <f>YEAR(Coffe_sales[[#This Row],[Date]])</f>
        <v>2024</v>
      </c>
    </row>
    <row r="491" spans="1:12" x14ac:dyDescent="0.2">
      <c r="A491" t="s">
        <v>25</v>
      </c>
      <c r="B491" t="s">
        <v>12</v>
      </c>
      <c r="C491">
        <v>37.72</v>
      </c>
      <c r="D491" t="s">
        <v>52</v>
      </c>
      <c r="E491" t="s">
        <v>22</v>
      </c>
      <c r="F491" t="s">
        <v>53</v>
      </c>
      <c r="G491" t="s">
        <v>112</v>
      </c>
      <c r="H491" t="s">
        <v>54</v>
      </c>
      <c r="I491" t="s">
        <v>17</v>
      </c>
      <c r="J491" t="s">
        <v>135</v>
      </c>
      <c r="K491" s="1">
        <v>0.6642041319444445</v>
      </c>
      <c r="L491">
        <f>YEAR(Coffe_sales[[#This Row],[Date]])</f>
        <v>2024</v>
      </c>
    </row>
    <row r="492" spans="1:12" x14ac:dyDescent="0.2">
      <c r="A492" t="s">
        <v>27</v>
      </c>
      <c r="B492" t="s">
        <v>12</v>
      </c>
      <c r="C492">
        <v>37.72</v>
      </c>
      <c r="D492" t="s">
        <v>52</v>
      </c>
      <c r="E492" t="s">
        <v>22</v>
      </c>
      <c r="F492" t="s">
        <v>53</v>
      </c>
      <c r="G492" t="s">
        <v>112</v>
      </c>
      <c r="H492" t="s">
        <v>54</v>
      </c>
      <c r="I492" t="s">
        <v>17</v>
      </c>
      <c r="J492" t="s">
        <v>135</v>
      </c>
      <c r="K492" s="1">
        <v>0.67932931712962963</v>
      </c>
      <c r="L492">
        <f>YEAR(Coffe_sales[[#This Row],[Date]])</f>
        <v>2024</v>
      </c>
    </row>
    <row r="493" spans="1:12" x14ac:dyDescent="0.2">
      <c r="A493" t="s">
        <v>27</v>
      </c>
      <c r="B493" t="s">
        <v>12</v>
      </c>
      <c r="C493">
        <v>37.72</v>
      </c>
      <c r="D493" t="s">
        <v>13</v>
      </c>
      <c r="E493" t="s">
        <v>22</v>
      </c>
      <c r="F493" t="s">
        <v>53</v>
      </c>
      <c r="G493" t="s">
        <v>112</v>
      </c>
      <c r="H493" t="s">
        <v>54</v>
      </c>
      <c r="I493" t="s">
        <v>17</v>
      </c>
      <c r="J493" t="s">
        <v>135</v>
      </c>
      <c r="K493" s="1">
        <v>0.69513938657407404</v>
      </c>
      <c r="L493">
        <f>YEAR(Coffe_sales[[#This Row],[Date]])</f>
        <v>2024</v>
      </c>
    </row>
    <row r="494" spans="1:12" x14ac:dyDescent="0.2">
      <c r="A494" t="s">
        <v>37</v>
      </c>
      <c r="B494" t="s">
        <v>12</v>
      </c>
      <c r="C494">
        <v>37.72</v>
      </c>
      <c r="D494" t="s">
        <v>52</v>
      </c>
      <c r="E494" t="s">
        <v>29</v>
      </c>
      <c r="F494" t="s">
        <v>53</v>
      </c>
      <c r="G494" t="s">
        <v>112</v>
      </c>
      <c r="H494" t="s">
        <v>54</v>
      </c>
      <c r="I494" t="s">
        <v>17</v>
      </c>
      <c r="J494" t="s">
        <v>135</v>
      </c>
      <c r="K494" s="1">
        <v>0.71844024305555554</v>
      </c>
      <c r="L494">
        <f>YEAR(Coffe_sales[[#This Row],[Date]])</f>
        <v>2024</v>
      </c>
    </row>
    <row r="495" spans="1:12" x14ac:dyDescent="0.2">
      <c r="A495" t="s">
        <v>37</v>
      </c>
      <c r="B495" t="s">
        <v>12</v>
      </c>
      <c r="C495">
        <v>37.72</v>
      </c>
      <c r="D495" t="s">
        <v>13</v>
      </c>
      <c r="E495" t="s">
        <v>29</v>
      </c>
      <c r="F495" t="s">
        <v>53</v>
      </c>
      <c r="G495" t="s">
        <v>112</v>
      </c>
      <c r="H495" t="s">
        <v>54</v>
      </c>
      <c r="I495" t="s">
        <v>17</v>
      </c>
      <c r="J495" t="s">
        <v>135</v>
      </c>
      <c r="K495" s="1">
        <v>0.71926922453703701</v>
      </c>
      <c r="L495">
        <f>YEAR(Coffe_sales[[#This Row],[Date]])</f>
        <v>2024</v>
      </c>
    </row>
    <row r="496" spans="1:12" x14ac:dyDescent="0.2">
      <c r="A496" t="s">
        <v>30</v>
      </c>
      <c r="B496" t="s">
        <v>12</v>
      </c>
      <c r="C496">
        <v>27.92</v>
      </c>
      <c r="D496" t="s">
        <v>41</v>
      </c>
      <c r="E496" t="s">
        <v>29</v>
      </c>
      <c r="F496" t="s">
        <v>53</v>
      </c>
      <c r="G496" t="s">
        <v>112</v>
      </c>
      <c r="H496" t="s">
        <v>54</v>
      </c>
      <c r="I496" t="s">
        <v>17</v>
      </c>
      <c r="J496" t="s">
        <v>135</v>
      </c>
      <c r="K496" s="1">
        <v>0.79437333333333338</v>
      </c>
      <c r="L496">
        <f>YEAR(Coffe_sales[[#This Row],[Date]])</f>
        <v>2024</v>
      </c>
    </row>
    <row r="497" spans="1:12" x14ac:dyDescent="0.2">
      <c r="A497" t="s">
        <v>30</v>
      </c>
      <c r="B497" t="s">
        <v>12</v>
      </c>
      <c r="C497">
        <v>37.72</v>
      </c>
      <c r="D497" t="s">
        <v>52</v>
      </c>
      <c r="E497" t="s">
        <v>29</v>
      </c>
      <c r="F497" t="s">
        <v>53</v>
      </c>
      <c r="G497" t="s">
        <v>112</v>
      </c>
      <c r="H497" t="s">
        <v>54</v>
      </c>
      <c r="I497" t="s">
        <v>17</v>
      </c>
      <c r="J497" t="s">
        <v>135</v>
      </c>
      <c r="K497" s="1">
        <v>0.80380128472222223</v>
      </c>
      <c r="L497">
        <f>YEAR(Coffe_sales[[#This Row],[Date]])</f>
        <v>2024</v>
      </c>
    </row>
    <row r="498" spans="1:12" x14ac:dyDescent="0.2">
      <c r="A498" t="s">
        <v>30</v>
      </c>
      <c r="B498" t="s">
        <v>12</v>
      </c>
      <c r="C498">
        <v>37.72</v>
      </c>
      <c r="D498" t="s">
        <v>52</v>
      </c>
      <c r="E498" t="s">
        <v>29</v>
      </c>
      <c r="F498" t="s">
        <v>53</v>
      </c>
      <c r="G498" t="s">
        <v>112</v>
      </c>
      <c r="H498" t="s">
        <v>54</v>
      </c>
      <c r="I498" t="s">
        <v>17</v>
      </c>
      <c r="J498" t="s">
        <v>135</v>
      </c>
      <c r="K498" s="1">
        <v>0.80447243055555551</v>
      </c>
      <c r="L498">
        <f>YEAR(Coffe_sales[[#This Row],[Date]])</f>
        <v>2024</v>
      </c>
    </row>
    <row r="499" spans="1:12" x14ac:dyDescent="0.2">
      <c r="A499" t="s">
        <v>30</v>
      </c>
      <c r="B499" t="s">
        <v>12</v>
      </c>
      <c r="C499">
        <v>37.72</v>
      </c>
      <c r="D499" t="s">
        <v>52</v>
      </c>
      <c r="E499" t="s">
        <v>29</v>
      </c>
      <c r="F499" t="s">
        <v>53</v>
      </c>
      <c r="G499" t="s">
        <v>112</v>
      </c>
      <c r="H499" t="s">
        <v>54</v>
      </c>
      <c r="I499" t="s">
        <v>17</v>
      </c>
      <c r="J499" t="s">
        <v>135</v>
      </c>
      <c r="K499" s="1">
        <v>0.82119844907407402</v>
      </c>
      <c r="L499">
        <f>YEAR(Coffe_sales[[#This Row],[Date]])</f>
        <v>2024</v>
      </c>
    </row>
    <row r="500" spans="1:12" x14ac:dyDescent="0.2">
      <c r="A500" t="s">
        <v>91</v>
      </c>
      <c r="B500" t="s">
        <v>12</v>
      </c>
      <c r="C500">
        <v>37.72</v>
      </c>
      <c r="D500" t="s">
        <v>52</v>
      </c>
      <c r="E500" t="s">
        <v>29</v>
      </c>
      <c r="F500" t="s">
        <v>53</v>
      </c>
      <c r="G500" t="s">
        <v>112</v>
      </c>
      <c r="H500" t="s">
        <v>54</v>
      </c>
      <c r="I500" t="s">
        <v>17</v>
      </c>
      <c r="J500" t="s">
        <v>135</v>
      </c>
      <c r="K500" s="1">
        <v>0.84376653935185186</v>
      </c>
      <c r="L500">
        <f>YEAR(Coffe_sales[[#This Row],[Date]])</f>
        <v>2024</v>
      </c>
    </row>
    <row r="501" spans="1:12" x14ac:dyDescent="0.2">
      <c r="A501" t="s">
        <v>91</v>
      </c>
      <c r="B501" t="s">
        <v>12</v>
      </c>
      <c r="C501">
        <v>37.72</v>
      </c>
      <c r="D501" t="s">
        <v>13</v>
      </c>
      <c r="E501" t="s">
        <v>29</v>
      </c>
      <c r="F501" t="s">
        <v>53</v>
      </c>
      <c r="G501" t="s">
        <v>112</v>
      </c>
      <c r="H501" t="s">
        <v>54</v>
      </c>
      <c r="I501" t="s">
        <v>17</v>
      </c>
      <c r="J501" t="s">
        <v>135</v>
      </c>
      <c r="K501" s="1">
        <v>0.84472459490740737</v>
      </c>
      <c r="L501">
        <f>YEAR(Coffe_sales[[#This Row],[Date]])</f>
        <v>2024</v>
      </c>
    </row>
    <row r="502" spans="1:12" x14ac:dyDescent="0.2">
      <c r="A502" t="s">
        <v>125</v>
      </c>
      <c r="B502" t="s">
        <v>12</v>
      </c>
      <c r="C502">
        <v>32.82</v>
      </c>
      <c r="D502" t="s">
        <v>26</v>
      </c>
      <c r="E502" t="s">
        <v>29</v>
      </c>
      <c r="F502" t="s">
        <v>53</v>
      </c>
      <c r="G502" t="s">
        <v>112</v>
      </c>
      <c r="H502" t="s">
        <v>54</v>
      </c>
      <c r="I502" t="s">
        <v>17</v>
      </c>
      <c r="J502" t="s">
        <v>135</v>
      </c>
      <c r="K502" s="1">
        <v>0.95012515046296298</v>
      </c>
      <c r="L502">
        <f>YEAR(Coffe_sales[[#This Row],[Date]])</f>
        <v>2024</v>
      </c>
    </row>
    <row r="503" spans="1:12" x14ac:dyDescent="0.2">
      <c r="A503" t="s">
        <v>35</v>
      </c>
      <c r="B503" t="s">
        <v>12</v>
      </c>
      <c r="C503">
        <v>27.92</v>
      </c>
      <c r="D503" t="s">
        <v>41</v>
      </c>
      <c r="E503" t="s">
        <v>14</v>
      </c>
      <c r="F503" t="s">
        <v>15</v>
      </c>
      <c r="G503" t="s">
        <v>112</v>
      </c>
      <c r="H503" t="s">
        <v>17</v>
      </c>
      <c r="I503" t="s">
        <v>17</v>
      </c>
      <c r="J503" t="s">
        <v>136</v>
      </c>
      <c r="K503" s="1">
        <v>0.46665719907407405</v>
      </c>
      <c r="L503">
        <f>YEAR(Coffe_sales[[#This Row],[Date]])</f>
        <v>2024</v>
      </c>
    </row>
    <row r="504" spans="1:12" x14ac:dyDescent="0.2">
      <c r="A504" t="s">
        <v>35</v>
      </c>
      <c r="B504" t="s">
        <v>12</v>
      </c>
      <c r="C504">
        <v>27.92</v>
      </c>
      <c r="D504" t="s">
        <v>24</v>
      </c>
      <c r="E504" t="s">
        <v>14</v>
      </c>
      <c r="F504" t="s">
        <v>15</v>
      </c>
      <c r="G504" t="s">
        <v>112</v>
      </c>
      <c r="H504" t="s">
        <v>17</v>
      </c>
      <c r="I504" t="s">
        <v>17</v>
      </c>
      <c r="J504" t="s">
        <v>136</v>
      </c>
      <c r="K504" s="1">
        <v>0.46884653935185183</v>
      </c>
      <c r="L504">
        <f>YEAR(Coffe_sales[[#This Row],[Date]])</f>
        <v>2024</v>
      </c>
    </row>
    <row r="505" spans="1:12" x14ac:dyDescent="0.2">
      <c r="A505" t="s">
        <v>35</v>
      </c>
      <c r="B505" t="s">
        <v>12</v>
      </c>
      <c r="C505">
        <v>27.92</v>
      </c>
      <c r="D505" t="s">
        <v>24</v>
      </c>
      <c r="E505" t="s">
        <v>14</v>
      </c>
      <c r="F505" t="s">
        <v>15</v>
      </c>
      <c r="G505" t="s">
        <v>112</v>
      </c>
      <c r="H505" t="s">
        <v>17</v>
      </c>
      <c r="I505" t="s">
        <v>17</v>
      </c>
      <c r="J505" t="s">
        <v>136</v>
      </c>
      <c r="K505" s="1">
        <v>0.46959509259259258</v>
      </c>
      <c r="L505">
        <f>YEAR(Coffe_sales[[#This Row],[Date]])</f>
        <v>2024</v>
      </c>
    </row>
    <row r="506" spans="1:12" x14ac:dyDescent="0.2">
      <c r="A506" t="s">
        <v>27</v>
      </c>
      <c r="B506" t="s">
        <v>12</v>
      </c>
      <c r="C506">
        <v>37.72</v>
      </c>
      <c r="D506" t="s">
        <v>21</v>
      </c>
      <c r="E506" t="s">
        <v>22</v>
      </c>
      <c r="F506" t="s">
        <v>15</v>
      </c>
      <c r="G506" t="s">
        <v>112</v>
      </c>
      <c r="H506" t="s">
        <v>17</v>
      </c>
      <c r="I506" t="s">
        <v>17</v>
      </c>
      <c r="J506" t="s">
        <v>136</v>
      </c>
      <c r="K506" s="1">
        <v>0.67175712962962963</v>
      </c>
      <c r="L506">
        <f>YEAR(Coffe_sales[[#This Row],[Date]])</f>
        <v>2024</v>
      </c>
    </row>
    <row r="507" spans="1:12" x14ac:dyDescent="0.2">
      <c r="A507" t="s">
        <v>28</v>
      </c>
      <c r="B507" t="s">
        <v>12</v>
      </c>
      <c r="C507">
        <v>27.92</v>
      </c>
      <c r="D507" t="s">
        <v>41</v>
      </c>
      <c r="E507" t="s">
        <v>29</v>
      </c>
      <c r="F507" t="s">
        <v>15</v>
      </c>
      <c r="G507" t="s">
        <v>112</v>
      </c>
      <c r="H507" t="s">
        <v>17</v>
      </c>
      <c r="I507" t="s">
        <v>17</v>
      </c>
      <c r="J507" t="s">
        <v>136</v>
      </c>
      <c r="K507" s="1">
        <v>0.76227233796296301</v>
      </c>
      <c r="L507">
        <f>YEAR(Coffe_sales[[#This Row],[Date]])</f>
        <v>2024</v>
      </c>
    </row>
    <row r="508" spans="1:12" x14ac:dyDescent="0.2">
      <c r="A508" t="s">
        <v>28</v>
      </c>
      <c r="B508" t="s">
        <v>12</v>
      </c>
      <c r="C508">
        <v>27.92</v>
      </c>
      <c r="D508" t="s">
        <v>41</v>
      </c>
      <c r="E508" t="s">
        <v>29</v>
      </c>
      <c r="F508" t="s">
        <v>15</v>
      </c>
      <c r="G508" t="s">
        <v>112</v>
      </c>
      <c r="H508" t="s">
        <v>17</v>
      </c>
      <c r="I508" t="s">
        <v>17</v>
      </c>
      <c r="J508" t="s">
        <v>136</v>
      </c>
      <c r="K508" s="1">
        <v>0.76292474537037036</v>
      </c>
      <c r="L508">
        <f>YEAR(Coffe_sales[[#This Row],[Date]])</f>
        <v>2024</v>
      </c>
    </row>
    <row r="509" spans="1:12" x14ac:dyDescent="0.2">
      <c r="A509" t="s">
        <v>125</v>
      </c>
      <c r="B509" t="s">
        <v>12</v>
      </c>
      <c r="C509">
        <v>32.82</v>
      </c>
      <c r="D509" t="s">
        <v>26</v>
      </c>
      <c r="E509" t="s">
        <v>29</v>
      </c>
      <c r="F509" t="s">
        <v>15</v>
      </c>
      <c r="G509" t="s">
        <v>112</v>
      </c>
      <c r="H509" t="s">
        <v>17</v>
      </c>
      <c r="I509" t="s">
        <v>17</v>
      </c>
      <c r="J509" t="s">
        <v>136</v>
      </c>
      <c r="K509" s="1">
        <v>0.93796525462962965</v>
      </c>
      <c r="L509">
        <f>YEAR(Coffe_sales[[#This Row],[Date]])</f>
        <v>2024</v>
      </c>
    </row>
    <row r="510" spans="1:12" x14ac:dyDescent="0.2">
      <c r="A510" t="s">
        <v>20</v>
      </c>
      <c r="B510" t="s">
        <v>12</v>
      </c>
      <c r="C510">
        <v>37.72</v>
      </c>
      <c r="D510" t="s">
        <v>13</v>
      </c>
      <c r="E510" t="s">
        <v>22</v>
      </c>
      <c r="F510" t="s">
        <v>32</v>
      </c>
      <c r="G510" t="s">
        <v>112</v>
      </c>
      <c r="H510" t="s">
        <v>33</v>
      </c>
      <c r="I510" t="s">
        <v>17</v>
      </c>
      <c r="J510" t="s">
        <v>137</v>
      </c>
      <c r="K510" s="1">
        <v>0.50964569444444441</v>
      </c>
      <c r="L510">
        <f>YEAR(Coffe_sales[[#This Row],[Date]])</f>
        <v>2024</v>
      </c>
    </row>
    <row r="511" spans="1:12" x14ac:dyDescent="0.2">
      <c r="A511" t="s">
        <v>20</v>
      </c>
      <c r="B511" t="s">
        <v>12</v>
      </c>
      <c r="C511">
        <v>32.82</v>
      </c>
      <c r="D511" t="s">
        <v>26</v>
      </c>
      <c r="E511" t="s">
        <v>22</v>
      </c>
      <c r="F511" t="s">
        <v>32</v>
      </c>
      <c r="G511" t="s">
        <v>112</v>
      </c>
      <c r="H511" t="s">
        <v>33</v>
      </c>
      <c r="I511" t="s">
        <v>17</v>
      </c>
      <c r="J511" t="s">
        <v>137</v>
      </c>
      <c r="K511" s="1">
        <v>0.52928539351851855</v>
      </c>
      <c r="L511">
        <f>YEAR(Coffe_sales[[#This Row],[Date]])</f>
        <v>2024</v>
      </c>
    </row>
    <row r="512" spans="1:12" x14ac:dyDescent="0.2">
      <c r="A512" t="s">
        <v>20</v>
      </c>
      <c r="B512" t="s">
        <v>12</v>
      </c>
      <c r="C512">
        <v>32.82</v>
      </c>
      <c r="D512" t="s">
        <v>26</v>
      </c>
      <c r="E512" t="s">
        <v>22</v>
      </c>
      <c r="F512" t="s">
        <v>32</v>
      </c>
      <c r="G512" t="s">
        <v>112</v>
      </c>
      <c r="H512" t="s">
        <v>33</v>
      </c>
      <c r="I512" t="s">
        <v>17</v>
      </c>
      <c r="J512" t="s">
        <v>137</v>
      </c>
      <c r="K512" s="1">
        <v>0.53001475694444444</v>
      </c>
      <c r="L512">
        <f>YEAR(Coffe_sales[[#This Row],[Date]])</f>
        <v>2024</v>
      </c>
    </row>
    <row r="513" spans="1:12" x14ac:dyDescent="0.2">
      <c r="A513" t="s">
        <v>20</v>
      </c>
      <c r="B513" t="s">
        <v>12</v>
      </c>
      <c r="C513">
        <v>32.82</v>
      </c>
      <c r="D513" t="s">
        <v>26</v>
      </c>
      <c r="E513" t="s">
        <v>22</v>
      </c>
      <c r="F513" t="s">
        <v>32</v>
      </c>
      <c r="G513" t="s">
        <v>112</v>
      </c>
      <c r="H513" t="s">
        <v>33</v>
      </c>
      <c r="I513" t="s">
        <v>17</v>
      </c>
      <c r="J513" t="s">
        <v>137</v>
      </c>
      <c r="K513" s="1">
        <v>0.54041723379629625</v>
      </c>
      <c r="L513">
        <f>YEAR(Coffe_sales[[#This Row],[Date]])</f>
        <v>2024</v>
      </c>
    </row>
    <row r="514" spans="1:12" x14ac:dyDescent="0.2">
      <c r="A514" t="s">
        <v>27</v>
      </c>
      <c r="B514" t="s">
        <v>12</v>
      </c>
      <c r="C514">
        <v>32.82</v>
      </c>
      <c r="D514" t="s">
        <v>26</v>
      </c>
      <c r="E514" t="s">
        <v>22</v>
      </c>
      <c r="F514" t="s">
        <v>32</v>
      </c>
      <c r="G514" t="s">
        <v>112</v>
      </c>
      <c r="H514" t="s">
        <v>33</v>
      </c>
      <c r="I514" t="s">
        <v>17</v>
      </c>
      <c r="J514" t="s">
        <v>137</v>
      </c>
      <c r="K514" s="1">
        <v>0.69941616898148151</v>
      </c>
      <c r="L514">
        <f>YEAR(Coffe_sales[[#This Row],[Date]])</f>
        <v>2024</v>
      </c>
    </row>
    <row r="515" spans="1:12" x14ac:dyDescent="0.2">
      <c r="A515" t="s">
        <v>27</v>
      </c>
      <c r="B515" t="s">
        <v>12</v>
      </c>
      <c r="C515">
        <v>27.92</v>
      </c>
      <c r="D515" t="s">
        <v>24</v>
      </c>
      <c r="E515" t="s">
        <v>22</v>
      </c>
      <c r="F515" t="s">
        <v>32</v>
      </c>
      <c r="G515" t="s">
        <v>112</v>
      </c>
      <c r="H515" t="s">
        <v>33</v>
      </c>
      <c r="I515" t="s">
        <v>17</v>
      </c>
      <c r="J515" t="s">
        <v>137</v>
      </c>
      <c r="K515" s="1">
        <v>0.700194837962963</v>
      </c>
      <c r="L515">
        <f>YEAR(Coffe_sales[[#This Row],[Date]])</f>
        <v>2024</v>
      </c>
    </row>
    <row r="516" spans="1:12" x14ac:dyDescent="0.2">
      <c r="A516" t="s">
        <v>11</v>
      </c>
      <c r="B516" t="s">
        <v>12</v>
      </c>
      <c r="C516">
        <v>37.72</v>
      </c>
      <c r="D516" t="s">
        <v>13</v>
      </c>
      <c r="E516" t="s">
        <v>14</v>
      </c>
      <c r="F516" t="s">
        <v>38</v>
      </c>
      <c r="G516" t="s">
        <v>112</v>
      </c>
      <c r="H516" t="s">
        <v>39</v>
      </c>
      <c r="I516" t="s">
        <v>17</v>
      </c>
      <c r="J516" t="s">
        <v>138</v>
      </c>
      <c r="K516" s="1">
        <v>0.43058140046296295</v>
      </c>
      <c r="L516">
        <f>YEAR(Coffe_sales[[#This Row],[Date]])</f>
        <v>2024</v>
      </c>
    </row>
    <row r="517" spans="1:12" x14ac:dyDescent="0.2">
      <c r="A517" t="s">
        <v>36</v>
      </c>
      <c r="B517" t="s">
        <v>12</v>
      </c>
      <c r="C517">
        <v>32.82</v>
      </c>
      <c r="D517" t="s">
        <v>26</v>
      </c>
      <c r="E517" t="s">
        <v>22</v>
      </c>
      <c r="F517" t="s">
        <v>38</v>
      </c>
      <c r="G517" t="s">
        <v>112</v>
      </c>
      <c r="H517" t="s">
        <v>39</v>
      </c>
      <c r="I517" t="s">
        <v>17</v>
      </c>
      <c r="J517" t="s">
        <v>138</v>
      </c>
      <c r="K517" s="1">
        <v>0.60057652777777781</v>
      </c>
      <c r="L517">
        <f>YEAR(Coffe_sales[[#This Row],[Date]])</f>
        <v>2024</v>
      </c>
    </row>
    <row r="518" spans="1:12" x14ac:dyDescent="0.2">
      <c r="A518" t="s">
        <v>36</v>
      </c>
      <c r="B518" t="s">
        <v>12</v>
      </c>
      <c r="C518">
        <v>27.92</v>
      </c>
      <c r="D518" t="s">
        <v>41</v>
      </c>
      <c r="E518" t="s">
        <v>22</v>
      </c>
      <c r="F518" t="s">
        <v>38</v>
      </c>
      <c r="G518" t="s">
        <v>112</v>
      </c>
      <c r="H518" t="s">
        <v>39</v>
      </c>
      <c r="I518" t="s">
        <v>17</v>
      </c>
      <c r="J518" t="s">
        <v>138</v>
      </c>
      <c r="K518" s="1">
        <v>0.60144962962962967</v>
      </c>
      <c r="L518">
        <f>YEAR(Coffe_sales[[#This Row],[Date]])</f>
        <v>2024</v>
      </c>
    </row>
    <row r="519" spans="1:12" x14ac:dyDescent="0.2">
      <c r="A519" t="s">
        <v>36</v>
      </c>
      <c r="B519" t="s">
        <v>12</v>
      </c>
      <c r="C519">
        <v>32.82</v>
      </c>
      <c r="D519" t="s">
        <v>26</v>
      </c>
      <c r="E519" t="s">
        <v>22</v>
      </c>
      <c r="F519" t="s">
        <v>38</v>
      </c>
      <c r="G519" t="s">
        <v>112</v>
      </c>
      <c r="H519" t="s">
        <v>39</v>
      </c>
      <c r="I519" t="s">
        <v>17</v>
      </c>
      <c r="J519" t="s">
        <v>138</v>
      </c>
      <c r="K519" s="1">
        <v>0.61179261574074073</v>
      </c>
      <c r="L519">
        <f>YEAR(Coffe_sales[[#This Row],[Date]])</f>
        <v>2024</v>
      </c>
    </row>
    <row r="520" spans="1:12" x14ac:dyDescent="0.2">
      <c r="A520" t="s">
        <v>37</v>
      </c>
      <c r="B520" t="s">
        <v>12</v>
      </c>
      <c r="C520">
        <v>37.72</v>
      </c>
      <c r="D520" t="s">
        <v>52</v>
      </c>
      <c r="E520" t="s">
        <v>29</v>
      </c>
      <c r="F520" t="s">
        <v>38</v>
      </c>
      <c r="G520" t="s">
        <v>112</v>
      </c>
      <c r="H520" t="s">
        <v>39</v>
      </c>
      <c r="I520" t="s">
        <v>17</v>
      </c>
      <c r="J520" t="s">
        <v>138</v>
      </c>
      <c r="K520" s="1">
        <v>0.7217074189814815</v>
      </c>
      <c r="L520">
        <f>YEAR(Coffe_sales[[#This Row],[Date]])</f>
        <v>2024</v>
      </c>
    </row>
    <row r="521" spans="1:12" x14ac:dyDescent="0.2">
      <c r="A521" t="s">
        <v>28</v>
      </c>
      <c r="B521" t="s">
        <v>12</v>
      </c>
      <c r="C521">
        <v>37.72</v>
      </c>
      <c r="D521" t="s">
        <v>21</v>
      </c>
      <c r="E521" t="s">
        <v>29</v>
      </c>
      <c r="F521" t="s">
        <v>38</v>
      </c>
      <c r="G521" t="s">
        <v>112</v>
      </c>
      <c r="H521" t="s">
        <v>39</v>
      </c>
      <c r="I521" t="s">
        <v>17</v>
      </c>
      <c r="J521" t="s">
        <v>138</v>
      </c>
      <c r="K521" s="1">
        <v>0.75686160879629627</v>
      </c>
      <c r="L521">
        <f>YEAR(Coffe_sales[[#This Row],[Date]])</f>
        <v>2024</v>
      </c>
    </row>
    <row r="522" spans="1:12" x14ac:dyDescent="0.2">
      <c r="A522" t="s">
        <v>28</v>
      </c>
      <c r="B522" t="s">
        <v>12</v>
      </c>
      <c r="C522">
        <v>37.72</v>
      </c>
      <c r="D522" t="s">
        <v>21</v>
      </c>
      <c r="E522" t="s">
        <v>29</v>
      </c>
      <c r="F522" t="s">
        <v>38</v>
      </c>
      <c r="G522" t="s">
        <v>112</v>
      </c>
      <c r="H522" t="s">
        <v>39</v>
      </c>
      <c r="I522" t="s">
        <v>17</v>
      </c>
      <c r="J522" t="s">
        <v>138</v>
      </c>
      <c r="K522" s="1">
        <v>0.75766439814814812</v>
      </c>
      <c r="L522">
        <f>YEAR(Coffe_sales[[#This Row],[Date]])</f>
        <v>2024</v>
      </c>
    </row>
    <row r="523" spans="1:12" x14ac:dyDescent="0.2">
      <c r="A523" t="s">
        <v>28</v>
      </c>
      <c r="B523" t="s">
        <v>12</v>
      </c>
      <c r="C523">
        <v>27.92</v>
      </c>
      <c r="D523" t="s">
        <v>24</v>
      </c>
      <c r="E523" t="s">
        <v>29</v>
      </c>
      <c r="F523" t="s">
        <v>38</v>
      </c>
      <c r="G523" t="s">
        <v>112</v>
      </c>
      <c r="H523" t="s">
        <v>39</v>
      </c>
      <c r="I523" t="s">
        <v>17</v>
      </c>
      <c r="J523" t="s">
        <v>138</v>
      </c>
      <c r="K523" s="1">
        <v>0.759193275462963</v>
      </c>
      <c r="L523">
        <f>YEAR(Coffe_sales[[#This Row],[Date]])</f>
        <v>2024</v>
      </c>
    </row>
    <row r="524" spans="1:12" x14ac:dyDescent="0.2">
      <c r="A524" t="s">
        <v>28</v>
      </c>
      <c r="B524" t="s">
        <v>12</v>
      </c>
      <c r="C524">
        <v>37.72</v>
      </c>
      <c r="D524" t="s">
        <v>13</v>
      </c>
      <c r="E524" t="s">
        <v>29</v>
      </c>
      <c r="F524" t="s">
        <v>38</v>
      </c>
      <c r="G524" t="s">
        <v>112</v>
      </c>
      <c r="H524" t="s">
        <v>39</v>
      </c>
      <c r="I524" t="s">
        <v>17</v>
      </c>
      <c r="J524" t="s">
        <v>138</v>
      </c>
      <c r="K524" s="1">
        <v>0.77730085648148151</v>
      </c>
      <c r="L524">
        <f>YEAR(Coffe_sales[[#This Row],[Date]])</f>
        <v>2024</v>
      </c>
    </row>
    <row r="525" spans="1:12" x14ac:dyDescent="0.2">
      <c r="A525" t="s">
        <v>91</v>
      </c>
      <c r="B525" t="s">
        <v>12</v>
      </c>
      <c r="C525">
        <v>37.72</v>
      </c>
      <c r="D525" t="s">
        <v>21</v>
      </c>
      <c r="E525" t="s">
        <v>29</v>
      </c>
      <c r="F525" t="s">
        <v>38</v>
      </c>
      <c r="G525" t="s">
        <v>112</v>
      </c>
      <c r="H525" t="s">
        <v>39</v>
      </c>
      <c r="I525" t="s">
        <v>17</v>
      </c>
      <c r="J525" t="s">
        <v>138</v>
      </c>
      <c r="K525" s="1">
        <v>0.87447863425925931</v>
      </c>
      <c r="L525">
        <f>YEAR(Coffe_sales[[#This Row],[Date]])</f>
        <v>2024</v>
      </c>
    </row>
    <row r="526" spans="1:12" x14ac:dyDescent="0.2">
      <c r="A526" t="s">
        <v>131</v>
      </c>
      <c r="B526" t="s">
        <v>12</v>
      </c>
      <c r="C526">
        <v>37.72</v>
      </c>
      <c r="D526" t="s">
        <v>52</v>
      </c>
      <c r="E526" t="s">
        <v>29</v>
      </c>
      <c r="F526" t="s">
        <v>38</v>
      </c>
      <c r="G526" t="s">
        <v>112</v>
      </c>
      <c r="H526" t="s">
        <v>39</v>
      </c>
      <c r="I526" t="s">
        <v>17</v>
      </c>
      <c r="J526" t="s">
        <v>138</v>
      </c>
      <c r="K526" s="1">
        <v>0.87506444444444442</v>
      </c>
      <c r="L526">
        <f>YEAR(Coffe_sales[[#This Row],[Date]])</f>
        <v>2024</v>
      </c>
    </row>
    <row r="527" spans="1:12" x14ac:dyDescent="0.2">
      <c r="A527" t="s">
        <v>131</v>
      </c>
      <c r="B527" t="s">
        <v>12</v>
      </c>
      <c r="C527">
        <v>27.92</v>
      </c>
      <c r="D527" t="s">
        <v>41</v>
      </c>
      <c r="E527" t="s">
        <v>29</v>
      </c>
      <c r="F527" t="s">
        <v>38</v>
      </c>
      <c r="G527" t="s">
        <v>112</v>
      </c>
      <c r="H527" t="s">
        <v>39</v>
      </c>
      <c r="I527" t="s">
        <v>17</v>
      </c>
      <c r="J527" t="s">
        <v>138</v>
      </c>
      <c r="K527" s="1">
        <v>0.87681637731481477</v>
      </c>
      <c r="L527">
        <f>YEAR(Coffe_sales[[#This Row],[Date]])</f>
        <v>2024</v>
      </c>
    </row>
    <row r="528" spans="1:12" x14ac:dyDescent="0.2">
      <c r="A528" t="s">
        <v>131</v>
      </c>
      <c r="B528" t="s">
        <v>12</v>
      </c>
      <c r="C528">
        <v>37.72</v>
      </c>
      <c r="D528" t="s">
        <v>52</v>
      </c>
      <c r="E528" t="s">
        <v>29</v>
      </c>
      <c r="F528" t="s">
        <v>38</v>
      </c>
      <c r="G528" t="s">
        <v>112</v>
      </c>
      <c r="H528" t="s">
        <v>39</v>
      </c>
      <c r="I528" t="s">
        <v>17</v>
      </c>
      <c r="J528" t="s">
        <v>138</v>
      </c>
      <c r="K528" s="1">
        <v>0.87768254629629627</v>
      </c>
      <c r="L528">
        <f>YEAR(Coffe_sales[[#This Row],[Date]])</f>
        <v>2024</v>
      </c>
    </row>
    <row r="529" spans="1:12" x14ac:dyDescent="0.2">
      <c r="A529" t="s">
        <v>131</v>
      </c>
      <c r="B529" t="s">
        <v>12</v>
      </c>
      <c r="C529">
        <v>37.72</v>
      </c>
      <c r="D529" t="s">
        <v>13</v>
      </c>
      <c r="E529" t="s">
        <v>29</v>
      </c>
      <c r="F529" t="s">
        <v>38</v>
      </c>
      <c r="G529" t="s">
        <v>112</v>
      </c>
      <c r="H529" t="s">
        <v>39</v>
      </c>
      <c r="I529" t="s">
        <v>17</v>
      </c>
      <c r="J529" t="s">
        <v>138</v>
      </c>
      <c r="K529" s="1">
        <v>0.87845861111111112</v>
      </c>
      <c r="L529">
        <f>YEAR(Coffe_sales[[#This Row],[Date]])</f>
        <v>2024</v>
      </c>
    </row>
    <row r="530" spans="1:12" x14ac:dyDescent="0.2">
      <c r="A530" t="s">
        <v>131</v>
      </c>
      <c r="B530" t="s">
        <v>12</v>
      </c>
      <c r="C530">
        <v>37.72</v>
      </c>
      <c r="D530" t="s">
        <v>52</v>
      </c>
      <c r="E530" t="s">
        <v>29</v>
      </c>
      <c r="F530" t="s">
        <v>38</v>
      </c>
      <c r="G530" t="s">
        <v>112</v>
      </c>
      <c r="H530" t="s">
        <v>39</v>
      </c>
      <c r="I530" t="s">
        <v>17</v>
      </c>
      <c r="J530" t="s">
        <v>138</v>
      </c>
      <c r="K530" s="1">
        <v>0.87919700231481479</v>
      </c>
      <c r="L530">
        <f>YEAR(Coffe_sales[[#This Row],[Date]])</f>
        <v>2024</v>
      </c>
    </row>
    <row r="531" spans="1:12" x14ac:dyDescent="0.2">
      <c r="A531" t="s">
        <v>35</v>
      </c>
      <c r="B531" t="s">
        <v>12</v>
      </c>
      <c r="C531">
        <v>27.92</v>
      </c>
      <c r="D531" t="s">
        <v>24</v>
      </c>
      <c r="E531" t="s">
        <v>14</v>
      </c>
      <c r="F531" t="s">
        <v>42</v>
      </c>
      <c r="G531" t="s">
        <v>112</v>
      </c>
      <c r="H531" t="s">
        <v>43</v>
      </c>
      <c r="I531" t="s">
        <v>17</v>
      </c>
      <c r="J531" t="s">
        <v>139</v>
      </c>
      <c r="K531" s="1">
        <v>0.48258393518518516</v>
      </c>
      <c r="L531">
        <f>YEAR(Coffe_sales[[#This Row],[Date]])</f>
        <v>2024</v>
      </c>
    </row>
    <row r="532" spans="1:12" x14ac:dyDescent="0.2">
      <c r="A532" t="s">
        <v>36</v>
      </c>
      <c r="B532" t="s">
        <v>12</v>
      </c>
      <c r="C532">
        <v>32.82</v>
      </c>
      <c r="D532" t="s">
        <v>26</v>
      </c>
      <c r="E532" t="s">
        <v>22</v>
      </c>
      <c r="F532" t="s">
        <v>42</v>
      </c>
      <c r="G532" t="s">
        <v>112</v>
      </c>
      <c r="H532" t="s">
        <v>43</v>
      </c>
      <c r="I532" t="s">
        <v>17</v>
      </c>
      <c r="J532" t="s">
        <v>139</v>
      </c>
      <c r="K532" s="1">
        <v>0.58705657407407408</v>
      </c>
      <c r="L532">
        <f>YEAR(Coffe_sales[[#This Row],[Date]])</f>
        <v>2024</v>
      </c>
    </row>
    <row r="533" spans="1:12" x14ac:dyDescent="0.2">
      <c r="A533" t="s">
        <v>36</v>
      </c>
      <c r="B533" t="s">
        <v>12</v>
      </c>
      <c r="C533">
        <v>37.72</v>
      </c>
      <c r="D533" t="s">
        <v>31</v>
      </c>
      <c r="E533" t="s">
        <v>22</v>
      </c>
      <c r="F533" t="s">
        <v>42</v>
      </c>
      <c r="G533" t="s">
        <v>112</v>
      </c>
      <c r="H533" t="s">
        <v>43</v>
      </c>
      <c r="I533" t="s">
        <v>17</v>
      </c>
      <c r="J533" t="s">
        <v>139</v>
      </c>
      <c r="K533" s="1">
        <v>0.58800421296296301</v>
      </c>
      <c r="L533">
        <f>YEAR(Coffe_sales[[#This Row],[Date]])</f>
        <v>2024</v>
      </c>
    </row>
    <row r="534" spans="1:12" x14ac:dyDescent="0.2">
      <c r="A534" t="s">
        <v>25</v>
      </c>
      <c r="B534" t="s">
        <v>12</v>
      </c>
      <c r="C534">
        <v>27.92</v>
      </c>
      <c r="D534" t="s">
        <v>24</v>
      </c>
      <c r="E534" t="s">
        <v>22</v>
      </c>
      <c r="F534" t="s">
        <v>42</v>
      </c>
      <c r="G534" t="s">
        <v>112</v>
      </c>
      <c r="H534" t="s">
        <v>43</v>
      </c>
      <c r="I534" t="s">
        <v>17</v>
      </c>
      <c r="J534" t="s">
        <v>139</v>
      </c>
      <c r="K534" s="1">
        <v>0.63303311342592594</v>
      </c>
      <c r="L534">
        <f>YEAR(Coffe_sales[[#This Row],[Date]])</f>
        <v>2024</v>
      </c>
    </row>
    <row r="535" spans="1:12" x14ac:dyDescent="0.2">
      <c r="A535" t="s">
        <v>25</v>
      </c>
      <c r="B535" t="s">
        <v>12</v>
      </c>
      <c r="C535">
        <v>27.92</v>
      </c>
      <c r="D535" t="s">
        <v>24</v>
      </c>
      <c r="E535" t="s">
        <v>22</v>
      </c>
      <c r="F535" t="s">
        <v>42</v>
      </c>
      <c r="G535" t="s">
        <v>112</v>
      </c>
      <c r="H535" t="s">
        <v>43</v>
      </c>
      <c r="I535" t="s">
        <v>17</v>
      </c>
      <c r="J535" t="s">
        <v>139</v>
      </c>
      <c r="K535" s="1">
        <v>0.63478921296296298</v>
      </c>
      <c r="L535">
        <f>YEAR(Coffe_sales[[#This Row],[Date]])</f>
        <v>2024</v>
      </c>
    </row>
    <row r="536" spans="1:12" x14ac:dyDescent="0.2">
      <c r="A536" t="s">
        <v>37</v>
      </c>
      <c r="B536" t="s">
        <v>12</v>
      </c>
      <c r="C536">
        <v>37.72</v>
      </c>
      <c r="D536" t="s">
        <v>13</v>
      </c>
      <c r="E536" t="s">
        <v>29</v>
      </c>
      <c r="F536" t="s">
        <v>42</v>
      </c>
      <c r="G536" t="s">
        <v>112</v>
      </c>
      <c r="H536" t="s">
        <v>43</v>
      </c>
      <c r="I536" t="s">
        <v>17</v>
      </c>
      <c r="J536" t="s">
        <v>139</v>
      </c>
      <c r="K536" s="1">
        <v>0.74370096064814817</v>
      </c>
      <c r="L536">
        <f>YEAR(Coffe_sales[[#This Row],[Date]])</f>
        <v>2024</v>
      </c>
    </row>
    <row r="537" spans="1:12" x14ac:dyDescent="0.2">
      <c r="A537" t="s">
        <v>28</v>
      </c>
      <c r="B537" t="s">
        <v>12</v>
      </c>
      <c r="C537">
        <v>27.92</v>
      </c>
      <c r="D537" t="s">
        <v>24</v>
      </c>
      <c r="E537" t="s">
        <v>29</v>
      </c>
      <c r="F537" t="s">
        <v>42</v>
      </c>
      <c r="G537" t="s">
        <v>112</v>
      </c>
      <c r="H537" t="s">
        <v>43</v>
      </c>
      <c r="I537" t="s">
        <v>17</v>
      </c>
      <c r="J537" t="s">
        <v>139</v>
      </c>
      <c r="K537" s="1">
        <v>0.75059008101851854</v>
      </c>
      <c r="L537">
        <f>YEAR(Coffe_sales[[#This Row],[Date]])</f>
        <v>2024</v>
      </c>
    </row>
    <row r="538" spans="1:12" x14ac:dyDescent="0.2">
      <c r="A538" t="s">
        <v>30</v>
      </c>
      <c r="B538" t="s">
        <v>12</v>
      </c>
      <c r="C538">
        <v>37.72</v>
      </c>
      <c r="D538" t="s">
        <v>13</v>
      </c>
      <c r="E538" t="s">
        <v>29</v>
      </c>
      <c r="F538" t="s">
        <v>42</v>
      </c>
      <c r="G538" t="s">
        <v>112</v>
      </c>
      <c r="H538" t="s">
        <v>43</v>
      </c>
      <c r="I538" t="s">
        <v>17</v>
      </c>
      <c r="J538" t="s">
        <v>139</v>
      </c>
      <c r="K538" s="1">
        <v>0.80309495370370365</v>
      </c>
      <c r="L538">
        <f>YEAR(Coffe_sales[[#This Row],[Date]])</f>
        <v>2024</v>
      </c>
    </row>
    <row r="539" spans="1:12" x14ac:dyDescent="0.2">
      <c r="A539" t="s">
        <v>30</v>
      </c>
      <c r="B539" t="s">
        <v>12</v>
      </c>
      <c r="C539">
        <v>37.72</v>
      </c>
      <c r="D539" t="s">
        <v>13</v>
      </c>
      <c r="E539" t="s">
        <v>29</v>
      </c>
      <c r="F539" t="s">
        <v>42</v>
      </c>
      <c r="G539" t="s">
        <v>112</v>
      </c>
      <c r="H539" t="s">
        <v>43</v>
      </c>
      <c r="I539" t="s">
        <v>17</v>
      </c>
      <c r="J539" t="s">
        <v>139</v>
      </c>
      <c r="K539" s="1">
        <v>0.80392047453703708</v>
      </c>
      <c r="L539">
        <f>YEAR(Coffe_sales[[#This Row],[Date]])</f>
        <v>2024</v>
      </c>
    </row>
    <row r="540" spans="1:12" x14ac:dyDescent="0.2">
      <c r="A540" t="s">
        <v>131</v>
      </c>
      <c r="B540" t="s">
        <v>12</v>
      </c>
      <c r="C540">
        <v>32.82</v>
      </c>
      <c r="D540" t="s">
        <v>26</v>
      </c>
      <c r="E540" t="s">
        <v>29</v>
      </c>
      <c r="F540" t="s">
        <v>42</v>
      </c>
      <c r="G540" t="s">
        <v>112</v>
      </c>
      <c r="H540" t="s">
        <v>43</v>
      </c>
      <c r="I540" t="s">
        <v>17</v>
      </c>
      <c r="J540" t="s">
        <v>139</v>
      </c>
      <c r="K540" s="1">
        <v>0.89522089120370374</v>
      </c>
      <c r="L540">
        <f>YEAR(Coffe_sales[[#This Row],[Date]])</f>
        <v>2024</v>
      </c>
    </row>
    <row r="541" spans="1:12" x14ac:dyDescent="0.2">
      <c r="A541" t="s">
        <v>131</v>
      </c>
      <c r="B541" t="s">
        <v>12</v>
      </c>
      <c r="C541">
        <v>37.72</v>
      </c>
      <c r="D541" t="s">
        <v>52</v>
      </c>
      <c r="E541" t="s">
        <v>29</v>
      </c>
      <c r="F541" t="s">
        <v>42</v>
      </c>
      <c r="G541" t="s">
        <v>112</v>
      </c>
      <c r="H541" t="s">
        <v>43</v>
      </c>
      <c r="I541" t="s">
        <v>17</v>
      </c>
      <c r="J541" t="s">
        <v>139</v>
      </c>
      <c r="K541" s="1">
        <v>0.89606217592592596</v>
      </c>
      <c r="L541">
        <f>YEAR(Coffe_sales[[#This Row],[Date]])</f>
        <v>2024</v>
      </c>
    </row>
    <row r="542" spans="1:12" x14ac:dyDescent="0.2">
      <c r="A542" t="s">
        <v>123</v>
      </c>
      <c r="B542" t="s">
        <v>12</v>
      </c>
      <c r="C542">
        <v>32.82</v>
      </c>
      <c r="D542" t="s">
        <v>26</v>
      </c>
      <c r="E542" t="s">
        <v>14</v>
      </c>
      <c r="F542" t="s">
        <v>47</v>
      </c>
      <c r="G542" t="s">
        <v>112</v>
      </c>
      <c r="H542" t="s">
        <v>48</v>
      </c>
      <c r="I542" t="s">
        <v>17</v>
      </c>
      <c r="J542" t="s">
        <v>140</v>
      </c>
      <c r="K542" s="1">
        <v>0.35913226851851854</v>
      </c>
      <c r="L542">
        <f>YEAR(Coffe_sales[[#This Row],[Date]])</f>
        <v>2024</v>
      </c>
    </row>
    <row r="543" spans="1:12" x14ac:dyDescent="0.2">
      <c r="A543" t="s">
        <v>46</v>
      </c>
      <c r="B543" t="s">
        <v>12</v>
      </c>
      <c r="C543">
        <v>32.82</v>
      </c>
      <c r="D543" t="s">
        <v>26</v>
      </c>
      <c r="E543" t="s">
        <v>14</v>
      </c>
      <c r="F543" t="s">
        <v>47</v>
      </c>
      <c r="G543" t="s">
        <v>112</v>
      </c>
      <c r="H543" t="s">
        <v>48</v>
      </c>
      <c r="I543" t="s">
        <v>17</v>
      </c>
      <c r="J543" t="s">
        <v>140</v>
      </c>
      <c r="K543" s="1">
        <v>0.38901314814814814</v>
      </c>
      <c r="L543">
        <f>YEAR(Coffe_sales[[#This Row],[Date]])</f>
        <v>2024</v>
      </c>
    </row>
    <row r="544" spans="1:12" x14ac:dyDescent="0.2">
      <c r="A544" t="s">
        <v>35</v>
      </c>
      <c r="B544" t="s">
        <v>12</v>
      </c>
      <c r="C544">
        <v>37.72</v>
      </c>
      <c r="D544" t="s">
        <v>52</v>
      </c>
      <c r="E544" t="s">
        <v>14</v>
      </c>
      <c r="F544" t="s">
        <v>47</v>
      </c>
      <c r="G544" t="s">
        <v>112</v>
      </c>
      <c r="H544" t="s">
        <v>48</v>
      </c>
      <c r="I544" t="s">
        <v>17</v>
      </c>
      <c r="J544" t="s">
        <v>140</v>
      </c>
      <c r="K544" s="1">
        <v>0.49188071759259261</v>
      </c>
      <c r="L544">
        <f>YEAR(Coffe_sales[[#This Row],[Date]])</f>
        <v>2024</v>
      </c>
    </row>
    <row r="545" spans="1:12" x14ac:dyDescent="0.2">
      <c r="A545" t="s">
        <v>23</v>
      </c>
      <c r="B545" t="s">
        <v>12</v>
      </c>
      <c r="C545">
        <v>37.72</v>
      </c>
      <c r="D545" t="s">
        <v>52</v>
      </c>
      <c r="E545" t="s">
        <v>22</v>
      </c>
      <c r="F545" t="s">
        <v>47</v>
      </c>
      <c r="G545" t="s">
        <v>112</v>
      </c>
      <c r="H545" t="s">
        <v>48</v>
      </c>
      <c r="I545" t="s">
        <v>17</v>
      </c>
      <c r="J545" t="s">
        <v>140</v>
      </c>
      <c r="K545" s="1">
        <v>0.55185688657407406</v>
      </c>
      <c r="L545">
        <f>YEAR(Coffe_sales[[#This Row],[Date]])</f>
        <v>2024</v>
      </c>
    </row>
    <row r="546" spans="1:12" x14ac:dyDescent="0.2">
      <c r="A546" t="s">
        <v>36</v>
      </c>
      <c r="B546" t="s">
        <v>12</v>
      </c>
      <c r="C546">
        <v>37.72</v>
      </c>
      <c r="D546" t="s">
        <v>31</v>
      </c>
      <c r="E546" t="s">
        <v>22</v>
      </c>
      <c r="F546" t="s">
        <v>47</v>
      </c>
      <c r="G546" t="s">
        <v>112</v>
      </c>
      <c r="H546" t="s">
        <v>48</v>
      </c>
      <c r="I546" t="s">
        <v>17</v>
      </c>
      <c r="J546" t="s">
        <v>140</v>
      </c>
      <c r="K546" s="1">
        <v>0.59089920138888885</v>
      </c>
      <c r="L546">
        <f>YEAR(Coffe_sales[[#This Row],[Date]])</f>
        <v>2024</v>
      </c>
    </row>
    <row r="547" spans="1:12" x14ac:dyDescent="0.2">
      <c r="A547" t="s">
        <v>27</v>
      </c>
      <c r="B547" t="s">
        <v>12</v>
      </c>
      <c r="C547">
        <v>27.92</v>
      </c>
      <c r="D547" t="s">
        <v>41</v>
      </c>
      <c r="E547" t="s">
        <v>22</v>
      </c>
      <c r="F547" t="s">
        <v>47</v>
      </c>
      <c r="G547" t="s">
        <v>112</v>
      </c>
      <c r="H547" t="s">
        <v>48</v>
      </c>
      <c r="I547" t="s">
        <v>17</v>
      </c>
      <c r="J547" t="s">
        <v>140</v>
      </c>
      <c r="K547" s="1">
        <v>0.68448298611111114</v>
      </c>
      <c r="L547">
        <f>YEAR(Coffe_sales[[#This Row],[Date]])</f>
        <v>2024</v>
      </c>
    </row>
    <row r="548" spans="1:12" x14ac:dyDescent="0.2">
      <c r="A548" t="s">
        <v>30</v>
      </c>
      <c r="B548" t="s">
        <v>12</v>
      </c>
      <c r="C548">
        <v>27.92</v>
      </c>
      <c r="D548" t="s">
        <v>24</v>
      </c>
      <c r="E548" t="s">
        <v>29</v>
      </c>
      <c r="F548" t="s">
        <v>47</v>
      </c>
      <c r="G548" t="s">
        <v>112</v>
      </c>
      <c r="H548" t="s">
        <v>48</v>
      </c>
      <c r="I548" t="s">
        <v>17</v>
      </c>
      <c r="J548" t="s">
        <v>140</v>
      </c>
      <c r="K548" s="1">
        <v>0.79825311342592598</v>
      </c>
      <c r="L548">
        <f>YEAR(Coffe_sales[[#This Row],[Date]])</f>
        <v>2024</v>
      </c>
    </row>
    <row r="549" spans="1:12" x14ac:dyDescent="0.2">
      <c r="A549" t="s">
        <v>30</v>
      </c>
      <c r="B549" t="s">
        <v>12</v>
      </c>
      <c r="C549">
        <v>37.72</v>
      </c>
      <c r="D549" t="s">
        <v>13</v>
      </c>
      <c r="E549" t="s">
        <v>29</v>
      </c>
      <c r="F549" t="s">
        <v>47</v>
      </c>
      <c r="G549" t="s">
        <v>112</v>
      </c>
      <c r="H549" t="s">
        <v>48</v>
      </c>
      <c r="I549" t="s">
        <v>17</v>
      </c>
      <c r="J549" t="s">
        <v>140</v>
      </c>
      <c r="K549" s="1">
        <v>0.79897071759259264</v>
      </c>
      <c r="L549">
        <f>YEAR(Coffe_sales[[#This Row],[Date]])</f>
        <v>2024</v>
      </c>
    </row>
    <row r="550" spans="1:12" x14ac:dyDescent="0.2">
      <c r="A550" t="s">
        <v>91</v>
      </c>
      <c r="B550" t="s">
        <v>12</v>
      </c>
      <c r="C550">
        <v>32.82</v>
      </c>
      <c r="D550" t="s">
        <v>26</v>
      </c>
      <c r="E550" t="s">
        <v>29</v>
      </c>
      <c r="F550" t="s">
        <v>47</v>
      </c>
      <c r="G550" t="s">
        <v>112</v>
      </c>
      <c r="H550" t="s">
        <v>48</v>
      </c>
      <c r="I550" t="s">
        <v>17</v>
      </c>
      <c r="J550" t="s">
        <v>140</v>
      </c>
      <c r="K550" s="1">
        <v>0.85037274305555555</v>
      </c>
      <c r="L550">
        <f>YEAR(Coffe_sales[[#This Row],[Date]])</f>
        <v>2024</v>
      </c>
    </row>
    <row r="551" spans="1:12" x14ac:dyDescent="0.2">
      <c r="A551" t="s">
        <v>91</v>
      </c>
      <c r="B551" t="s">
        <v>12</v>
      </c>
      <c r="C551">
        <v>27.92</v>
      </c>
      <c r="D551" t="s">
        <v>24</v>
      </c>
      <c r="E551" t="s">
        <v>29</v>
      </c>
      <c r="F551" t="s">
        <v>47</v>
      </c>
      <c r="G551" t="s">
        <v>112</v>
      </c>
      <c r="H551" t="s">
        <v>48</v>
      </c>
      <c r="I551" t="s">
        <v>17</v>
      </c>
      <c r="J551" t="s">
        <v>140</v>
      </c>
      <c r="K551" s="1">
        <v>0.86828065972222224</v>
      </c>
      <c r="L551">
        <f>YEAR(Coffe_sales[[#This Row],[Date]])</f>
        <v>2024</v>
      </c>
    </row>
    <row r="552" spans="1:12" x14ac:dyDescent="0.2">
      <c r="A552" t="s">
        <v>46</v>
      </c>
      <c r="B552" t="s">
        <v>12</v>
      </c>
      <c r="C552">
        <v>37.72</v>
      </c>
      <c r="D552" t="s">
        <v>13</v>
      </c>
      <c r="E552" t="s">
        <v>14</v>
      </c>
      <c r="F552" t="s">
        <v>50</v>
      </c>
      <c r="G552" t="s">
        <v>112</v>
      </c>
      <c r="H552" t="s">
        <v>18</v>
      </c>
      <c r="I552" t="s">
        <v>17</v>
      </c>
      <c r="J552" t="s">
        <v>141</v>
      </c>
      <c r="K552" s="1">
        <v>0.38522805555555556</v>
      </c>
      <c r="L552">
        <f>YEAR(Coffe_sales[[#This Row],[Date]])</f>
        <v>2024</v>
      </c>
    </row>
    <row r="553" spans="1:12" x14ac:dyDescent="0.2">
      <c r="A553" t="s">
        <v>35</v>
      </c>
      <c r="B553" t="s">
        <v>12</v>
      </c>
      <c r="C553">
        <v>37.72</v>
      </c>
      <c r="D553" t="s">
        <v>21</v>
      </c>
      <c r="E553" t="s">
        <v>14</v>
      </c>
      <c r="F553" t="s">
        <v>50</v>
      </c>
      <c r="G553" t="s">
        <v>112</v>
      </c>
      <c r="H553" t="s">
        <v>18</v>
      </c>
      <c r="I553" t="s">
        <v>17</v>
      </c>
      <c r="J553" t="s">
        <v>141</v>
      </c>
      <c r="K553" s="1">
        <v>0.46808859953703702</v>
      </c>
      <c r="L553">
        <f>YEAR(Coffe_sales[[#This Row],[Date]])</f>
        <v>2024</v>
      </c>
    </row>
    <row r="554" spans="1:12" x14ac:dyDescent="0.2">
      <c r="A554" t="s">
        <v>25</v>
      </c>
      <c r="B554" t="s">
        <v>12</v>
      </c>
      <c r="C554">
        <v>27.92</v>
      </c>
      <c r="D554" t="s">
        <v>24</v>
      </c>
      <c r="E554" t="s">
        <v>22</v>
      </c>
      <c r="F554" t="s">
        <v>50</v>
      </c>
      <c r="G554" t="s">
        <v>112</v>
      </c>
      <c r="H554" t="s">
        <v>18</v>
      </c>
      <c r="I554" t="s">
        <v>17</v>
      </c>
      <c r="J554" t="s">
        <v>141</v>
      </c>
      <c r="K554" s="1">
        <v>0.63250630787037032</v>
      </c>
      <c r="L554">
        <f>YEAR(Coffe_sales[[#This Row],[Date]])</f>
        <v>2024</v>
      </c>
    </row>
    <row r="555" spans="1:12" x14ac:dyDescent="0.2">
      <c r="A555" t="s">
        <v>25</v>
      </c>
      <c r="B555" t="s">
        <v>12</v>
      </c>
      <c r="C555">
        <v>37.72</v>
      </c>
      <c r="D555" t="s">
        <v>13</v>
      </c>
      <c r="E555" t="s">
        <v>22</v>
      </c>
      <c r="F555" t="s">
        <v>50</v>
      </c>
      <c r="G555" t="s">
        <v>112</v>
      </c>
      <c r="H555" t="s">
        <v>18</v>
      </c>
      <c r="I555" t="s">
        <v>17</v>
      </c>
      <c r="J555" t="s">
        <v>141</v>
      </c>
      <c r="K555" s="1">
        <v>0.64092964120370366</v>
      </c>
      <c r="L555">
        <f>YEAR(Coffe_sales[[#This Row],[Date]])</f>
        <v>2024</v>
      </c>
    </row>
    <row r="556" spans="1:12" x14ac:dyDescent="0.2">
      <c r="A556" t="s">
        <v>25</v>
      </c>
      <c r="B556" t="s">
        <v>12</v>
      </c>
      <c r="C556">
        <v>37.72</v>
      </c>
      <c r="D556" t="s">
        <v>52</v>
      </c>
      <c r="E556" t="s">
        <v>22</v>
      </c>
      <c r="F556" t="s">
        <v>50</v>
      </c>
      <c r="G556" t="s">
        <v>112</v>
      </c>
      <c r="H556" t="s">
        <v>18</v>
      </c>
      <c r="I556" t="s">
        <v>17</v>
      </c>
      <c r="J556" t="s">
        <v>141</v>
      </c>
      <c r="K556" s="1">
        <v>0.65639743055555555</v>
      </c>
      <c r="L556">
        <f>YEAR(Coffe_sales[[#This Row],[Date]])</f>
        <v>2024</v>
      </c>
    </row>
    <row r="557" spans="1:12" x14ac:dyDescent="0.2">
      <c r="A557" t="s">
        <v>27</v>
      </c>
      <c r="B557" t="s">
        <v>12</v>
      </c>
      <c r="C557">
        <v>37.72</v>
      </c>
      <c r="D557" t="s">
        <v>13</v>
      </c>
      <c r="E557" t="s">
        <v>22</v>
      </c>
      <c r="F557" t="s">
        <v>50</v>
      </c>
      <c r="G557" t="s">
        <v>112</v>
      </c>
      <c r="H557" t="s">
        <v>18</v>
      </c>
      <c r="I557" t="s">
        <v>17</v>
      </c>
      <c r="J557" t="s">
        <v>141</v>
      </c>
      <c r="K557" s="1">
        <v>0.69796238425925927</v>
      </c>
      <c r="L557">
        <f>YEAR(Coffe_sales[[#This Row],[Date]])</f>
        <v>2024</v>
      </c>
    </row>
    <row r="558" spans="1:12" x14ac:dyDescent="0.2">
      <c r="A558" t="s">
        <v>28</v>
      </c>
      <c r="B558" t="s">
        <v>12</v>
      </c>
      <c r="C558">
        <v>27.92</v>
      </c>
      <c r="D558" t="s">
        <v>41</v>
      </c>
      <c r="E558" t="s">
        <v>29</v>
      </c>
      <c r="F558" t="s">
        <v>50</v>
      </c>
      <c r="G558" t="s">
        <v>112</v>
      </c>
      <c r="H558" t="s">
        <v>18</v>
      </c>
      <c r="I558" t="s">
        <v>17</v>
      </c>
      <c r="J558" t="s">
        <v>141</v>
      </c>
      <c r="K558" s="1">
        <v>0.76670525462962968</v>
      </c>
      <c r="L558">
        <f>YEAR(Coffe_sales[[#This Row],[Date]])</f>
        <v>2024</v>
      </c>
    </row>
    <row r="559" spans="1:12" x14ac:dyDescent="0.2">
      <c r="A559" t="s">
        <v>28</v>
      </c>
      <c r="B559" t="s">
        <v>12</v>
      </c>
      <c r="C559">
        <v>37.72</v>
      </c>
      <c r="D559" t="s">
        <v>13</v>
      </c>
      <c r="E559" t="s">
        <v>29</v>
      </c>
      <c r="F559" t="s">
        <v>50</v>
      </c>
      <c r="G559" t="s">
        <v>112</v>
      </c>
      <c r="H559" t="s">
        <v>18</v>
      </c>
      <c r="I559" t="s">
        <v>17</v>
      </c>
      <c r="J559" t="s">
        <v>141</v>
      </c>
      <c r="K559" s="1">
        <v>0.76735313657407411</v>
      </c>
      <c r="L559">
        <f>YEAR(Coffe_sales[[#This Row],[Date]])</f>
        <v>2024</v>
      </c>
    </row>
    <row r="560" spans="1:12" x14ac:dyDescent="0.2">
      <c r="A560" t="s">
        <v>91</v>
      </c>
      <c r="B560" t="s">
        <v>12</v>
      </c>
      <c r="C560">
        <v>37.72</v>
      </c>
      <c r="D560" t="s">
        <v>21</v>
      </c>
      <c r="E560" t="s">
        <v>29</v>
      </c>
      <c r="F560" t="s">
        <v>50</v>
      </c>
      <c r="G560" t="s">
        <v>112</v>
      </c>
      <c r="H560" t="s">
        <v>18</v>
      </c>
      <c r="I560" t="s">
        <v>17</v>
      </c>
      <c r="J560" t="s">
        <v>141</v>
      </c>
      <c r="K560" s="1">
        <v>0.8546555555555555</v>
      </c>
      <c r="L560">
        <f>YEAR(Coffe_sales[[#This Row],[Date]])</f>
        <v>2024</v>
      </c>
    </row>
    <row r="561" spans="1:12" x14ac:dyDescent="0.2">
      <c r="A561" t="s">
        <v>91</v>
      </c>
      <c r="B561" t="s">
        <v>12</v>
      </c>
      <c r="C561">
        <v>37.72</v>
      </c>
      <c r="D561" t="s">
        <v>31</v>
      </c>
      <c r="E561" t="s">
        <v>29</v>
      </c>
      <c r="F561" t="s">
        <v>50</v>
      </c>
      <c r="G561" t="s">
        <v>112</v>
      </c>
      <c r="H561" t="s">
        <v>18</v>
      </c>
      <c r="I561" t="s">
        <v>17</v>
      </c>
      <c r="J561" t="s">
        <v>141</v>
      </c>
      <c r="K561" s="1">
        <v>0.85596296296296293</v>
      </c>
      <c r="L561">
        <f>YEAR(Coffe_sales[[#This Row],[Date]])</f>
        <v>2024</v>
      </c>
    </row>
    <row r="562" spans="1:12" x14ac:dyDescent="0.2">
      <c r="A562" t="s">
        <v>123</v>
      </c>
      <c r="B562" t="s">
        <v>12</v>
      </c>
      <c r="C562">
        <v>37.72</v>
      </c>
      <c r="D562" t="s">
        <v>52</v>
      </c>
      <c r="E562" t="s">
        <v>14</v>
      </c>
      <c r="F562" t="s">
        <v>53</v>
      </c>
      <c r="G562" t="s">
        <v>112</v>
      </c>
      <c r="H562" t="s">
        <v>54</v>
      </c>
      <c r="I562" t="s">
        <v>17</v>
      </c>
      <c r="J562" t="s">
        <v>142</v>
      </c>
      <c r="K562" s="1">
        <v>0.3535448726851852</v>
      </c>
      <c r="L562">
        <f>YEAR(Coffe_sales[[#This Row],[Date]])</f>
        <v>2024</v>
      </c>
    </row>
    <row r="563" spans="1:12" x14ac:dyDescent="0.2">
      <c r="A563" t="s">
        <v>123</v>
      </c>
      <c r="B563" t="s">
        <v>12</v>
      </c>
      <c r="C563">
        <v>37.72</v>
      </c>
      <c r="D563" t="s">
        <v>13</v>
      </c>
      <c r="E563" t="s">
        <v>14</v>
      </c>
      <c r="F563" t="s">
        <v>53</v>
      </c>
      <c r="G563" t="s">
        <v>112</v>
      </c>
      <c r="H563" t="s">
        <v>54</v>
      </c>
      <c r="I563" t="s">
        <v>17</v>
      </c>
      <c r="J563" t="s">
        <v>142</v>
      </c>
      <c r="K563" s="1">
        <v>0.35441650462962965</v>
      </c>
      <c r="L563">
        <f>YEAR(Coffe_sales[[#This Row],[Date]])</f>
        <v>2024</v>
      </c>
    </row>
    <row r="564" spans="1:12" x14ac:dyDescent="0.2">
      <c r="A564" t="s">
        <v>123</v>
      </c>
      <c r="B564" t="s">
        <v>12</v>
      </c>
      <c r="C564">
        <v>32.82</v>
      </c>
      <c r="D564" t="s">
        <v>26</v>
      </c>
      <c r="E564" t="s">
        <v>14</v>
      </c>
      <c r="F564" t="s">
        <v>53</v>
      </c>
      <c r="G564" t="s">
        <v>112</v>
      </c>
      <c r="H564" t="s">
        <v>54</v>
      </c>
      <c r="I564" t="s">
        <v>17</v>
      </c>
      <c r="J564" t="s">
        <v>142</v>
      </c>
      <c r="K564" s="1">
        <v>0.35909006944444444</v>
      </c>
      <c r="L564">
        <f>YEAR(Coffe_sales[[#This Row],[Date]])</f>
        <v>2024</v>
      </c>
    </row>
    <row r="565" spans="1:12" x14ac:dyDescent="0.2">
      <c r="A565" t="s">
        <v>46</v>
      </c>
      <c r="B565" t="s">
        <v>12</v>
      </c>
      <c r="C565">
        <v>37.72</v>
      </c>
      <c r="D565" t="s">
        <v>13</v>
      </c>
      <c r="E565" t="s">
        <v>14</v>
      </c>
      <c r="F565" t="s">
        <v>53</v>
      </c>
      <c r="G565" t="s">
        <v>112</v>
      </c>
      <c r="H565" t="s">
        <v>54</v>
      </c>
      <c r="I565" t="s">
        <v>17</v>
      </c>
      <c r="J565" t="s">
        <v>142</v>
      </c>
      <c r="K565" s="1">
        <v>0.40832282407407405</v>
      </c>
      <c r="L565">
        <f>YEAR(Coffe_sales[[#This Row],[Date]])</f>
        <v>2024</v>
      </c>
    </row>
    <row r="566" spans="1:12" x14ac:dyDescent="0.2">
      <c r="A566" t="s">
        <v>36</v>
      </c>
      <c r="B566" t="s">
        <v>12</v>
      </c>
      <c r="C566">
        <v>32.82</v>
      </c>
      <c r="D566" t="s">
        <v>26</v>
      </c>
      <c r="E566" t="s">
        <v>22</v>
      </c>
      <c r="F566" t="s">
        <v>53</v>
      </c>
      <c r="G566" t="s">
        <v>112</v>
      </c>
      <c r="H566" t="s">
        <v>54</v>
      </c>
      <c r="I566" t="s">
        <v>17</v>
      </c>
      <c r="J566" t="s">
        <v>142</v>
      </c>
      <c r="K566" s="1">
        <v>0.6224013078703704</v>
      </c>
      <c r="L566">
        <f>YEAR(Coffe_sales[[#This Row],[Date]])</f>
        <v>2024</v>
      </c>
    </row>
    <row r="567" spans="1:12" x14ac:dyDescent="0.2">
      <c r="A567" t="s">
        <v>25</v>
      </c>
      <c r="B567" t="s">
        <v>12</v>
      </c>
      <c r="C567">
        <v>23.02</v>
      </c>
      <c r="D567" t="s">
        <v>45</v>
      </c>
      <c r="E567" t="s">
        <v>22</v>
      </c>
      <c r="F567" t="s">
        <v>53</v>
      </c>
      <c r="G567" t="s">
        <v>112</v>
      </c>
      <c r="H567" t="s">
        <v>54</v>
      </c>
      <c r="I567" t="s">
        <v>17</v>
      </c>
      <c r="J567" t="s">
        <v>142</v>
      </c>
      <c r="K567" s="1">
        <v>0.63629241898148148</v>
      </c>
      <c r="L567">
        <f>YEAR(Coffe_sales[[#This Row],[Date]])</f>
        <v>2024</v>
      </c>
    </row>
    <row r="568" spans="1:12" x14ac:dyDescent="0.2">
      <c r="A568" t="s">
        <v>25</v>
      </c>
      <c r="B568" t="s">
        <v>12</v>
      </c>
      <c r="C568">
        <v>23.02</v>
      </c>
      <c r="D568" t="s">
        <v>45</v>
      </c>
      <c r="E568" t="s">
        <v>22</v>
      </c>
      <c r="F568" t="s">
        <v>53</v>
      </c>
      <c r="G568" t="s">
        <v>112</v>
      </c>
      <c r="H568" t="s">
        <v>54</v>
      </c>
      <c r="I568" t="s">
        <v>17</v>
      </c>
      <c r="J568" t="s">
        <v>142</v>
      </c>
      <c r="K568" s="1">
        <v>0.63725296296296297</v>
      </c>
      <c r="L568">
        <f>YEAR(Coffe_sales[[#This Row],[Date]])</f>
        <v>2024</v>
      </c>
    </row>
    <row r="569" spans="1:12" x14ac:dyDescent="0.2">
      <c r="A569" t="s">
        <v>30</v>
      </c>
      <c r="B569" t="s">
        <v>12</v>
      </c>
      <c r="C569">
        <v>37.72</v>
      </c>
      <c r="D569" t="s">
        <v>52</v>
      </c>
      <c r="E569" t="s">
        <v>29</v>
      </c>
      <c r="F569" t="s">
        <v>53</v>
      </c>
      <c r="G569" t="s">
        <v>112</v>
      </c>
      <c r="H569" t="s">
        <v>54</v>
      </c>
      <c r="I569" t="s">
        <v>17</v>
      </c>
      <c r="J569" t="s">
        <v>142</v>
      </c>
      <c r="K569" s="1">
        <v>0.82860172453703707</v>
      </c>
      <c r="L569">
        <f>YEAR(Coffe_sales[[#This Row],[Date]])</f>
        <v>2024</v>
      </c>
    </row>
    <row r="570" spans="1:12" x14ac:dyDescent="0.2">
      <c r="A570" t="s">
        <v>91</v>
      </c>
      <c r="B570" t="s">
        <v>12</v>
      </c>
      <c r="C570">
        <v>37.72</v>
      </c>
      <c r="D570" t="s">
        <v>13</v>
      </c>
      <c r="E570" t="s">
        <v>29</v>
      </c>
      <c r="F570" t="s">
        <v>53</v>
      </c>
      <c r="G570" t="s">
        <v>112</v>
      </c>
      <c r="H570" t="s">
        <v>54</v>
      </c>
      <c r="I570" t="s">
        <v>17</v>
      </c>
      <c r="J570" t="s">
        <v>142</v>
      </c>
      <c r="K570" s="1">
        <v>0.85492395833333334</v>
      </c>
      <c r="L570">
        <f>YEAR(Coffe_sales[[#This Row],[Date]])</f>
        <v>2024</v>
      </c>
    </row>
    <row r="571" spans="1:12" x14ac:dyDescent="0.2">
      <c r="A571" t="s">
        <v>91</v>
      </c>
      <c r="B571" t="s">
        <v>12</v>
      </c>
      <c r="C571">
        <v>37.72</v>
      </c>
      <c r="D571" t="s">
        <v>21</v>
      </c>
      <c r="E571" t="s">
        <v>29</v>
      </c>
      <c r="F571" t="s">
        <v>53</v>
      </c>
      <c r="G571" t="s">
        <v>112</v>
      </c>
      <c r="H571" t="s">
        <v>54</v>
      </c>
      <c r="I571" t="s">
        <v>17</v>
      </c>
      <c r="J571" t="s">
        <v>142</v>
      </c>
      <c r="K571" s="1">
        <v>0.86543790509259255</v>
      </c>
      <c r="L571">
        <f>YEAR(Coffe_sales[[#This Row],[Date]])</f>
        <v>2024</v>
      </c>
    </row>
    <row r="572" spans="1:12" x14ac:dyDescent="0.2">
      <c r="A572" t="s">
        <v>91</v>
      </c>
      <c r="B572" t="s">
        <v>12</v>
      </c>
      <c r="C572">
        <v>32.82</v>
      </c>
      <c r="D572" t="s">
        <v>26</v>
      </c>
      <c r="E572" t="s">
        <v>29</v>
      </c>
      <c r="F572" t="s">
        <v>53</v>
      </c>
      <c r="G572" t="s">
        <v>112</v>
      </c>
      <c r="H572" t="s">
        <v>54</v>
      </c>
      <c r="I572" t="s">
        <v>17</v>
      </c>
      <c r="J572" t="s">
        <v>142</v>
      </c>
      <c r="K572" s="1">
        <v>0.86622206018518522</v>
      </c>
      <c r="L572">
        <f>YEAR(Coffe_sales[[#This Row],[Date]])</f>
        <v>2024</v>
      </c>
    </row>
    <row r="573" spans="1:12" x14ac:dyDescent="0.2">
      <c r="A573" t="s">
        <v>39</v>
      </c>
      <c r="B573" t="s">
        <v>12</v>
      </c>
      <c r="C573">
        <v>32.82</v>
      </c>
      <c r="D573" t="s">
        <v>26</v>
      </c>
      <c r="E573" t="s">
        <v>14</v>
      </c>
      <c r="F573" t="s">
        <v>15</v>
      </c>
      <c r="G573" t="s">
        <v>112</v>
      </c>
      <c r="H573" t="s">
        <v>17</v>
      </c>
      <c r="I573" t="s">
        <v>17</v>
      </c>
      <c r="J573" t="s">
        <v>143</v>
      </c>
      <c r="K573" s="1">
        <v>0.32913511574074072</v>
      </c>
      <c r="L573">
        <f>YEAR(Coffe_sales[[#This Row],[Date]])</f>
        <v>2024</v>
      </c>
    </row>
    <row r="574" spans="1:12" x14ac:dyDescent="0.2">
      <c r="A574" t="s">
        <v>46</v>
      </c>
      <c r="B574" t="s">
        <v>12</v>
      </c>
      <c r="C574">
        <v>37.72</v>
      </c>
      <c r="D574" t="s">
        <v>13</v>
      </c>
      <c r="E574" t="s">
        <v>14</v>
      </c>
      <c r="F574" t="s">
        <v>15</v>
      </c>
      <c r="G574" t="s">
        <v>112</v>
      </c>
      <c r="H574" t="s">
        <v>17</v>
      </c>
      <c r="I574" t="s">
        <v>17</v>
      </c>
      <c r="J574" t="s">
        <v>143</v>
      </c>
      <c r="K574" s="1">
        <v>0.38967385416666667</v>
      </c>
      <c r="L574">
        <f>YEAR(Coffe_sales[[#This Row],[Date]])</f>
        <v>2024</v>
      </c>
    </row>
    <row r="575" spans="1:12" x14ac:dyDescent="0.2">
      <c r="A575" t="s">
        <v>11</v>
      </c>
      <c r="B575" t="s">
        <v>12</v>
      </c>
      <c r="C575">
        <v>37.72</v>
      </c>
      <c r="D575" t="s">
        <v>21</v>
      </c>
      <c r="E575" t="s">
        <v>14</v>
      </c>
      <c r="F575" t="s">
        <v>15</v>
      </c>
      <c r="G575" t="s">
        <v>112</v>
      </c>
      <c r="H575" t="s">
        <v>17</v>
      </c>
      <c r="I575" t="s">
        <v>17</v>
      </c>
      <c r="J575" t="s">
        <v>143</v>
      </c>
      <c r="K575" s="1">
        <v>0.44314653935185183</v>
      </c>
      <c r="L575">
        <f>YEAR(Coffe_sales[[#This Row],[Date]])</f>
        <v>2024</v>
      </c>
    </row>
    <row r="576" spans="1:12" x14ac:dyDescent="0.2">
      <c r="A576" t="s">
        <v>11</v>
      </c>
      <c r="B576" t="s">
        <v>12</v>
      </c>
      <c r="C576">
        <v>37.72</v>
      </c>
      <c r="D576" t="s">
        <v>31</v>
      </c>
      <c r="E576" t="s">
        <v>14</v>
      </c>
      <c r="F576" t="s">
        <v>15</v>
      </c>
      <c r="G576" t="s">
        <v>112</v>
      </c>
      <c r="H576" t="s">
        <v>17</v>
      </c>
      <c r="I576" t="s">
        <v>17</v>
      </c>
      <c r="J576" t="s">
        <v>143</v>
      </c>
      <c r="K576" s="1">
        <v>0.44382101851851852</v>
      </c>
      <c r="L576">
        <f>YEAR(Coffe_sales[[#This Row],[Date]])</f>
        <v>2024</v>
      </c>
    </row>
    <row r="577" spans="1:12" x14ac:dyDescent="0.2">
      <c r="A577" t="s">
        <v>36</v>
      </c>
      <c r="B577" t="s">
        <v>12</v>
      </c>
      <c r="C577">
        <v>32.82</v>
      </c>
      <c r="D577" t="s">
        <v>26</v>
      </c>
      <c r="E577" t="s">
        <v>22</v>
      </c>
      <c r="F577" t="s">
        <v>15</v>
      </c>
      <c r="G577" t="s">
        <v>112</v>
      </c>
      <c r="H577" t="s">
        <v>17</v>
      </c>
      <c r="I577" t="s">
        <v>17</v>
      </c>
      <c r="J577" t="s">
        <v>143</v>
      </c>
      <c r="K577" s="1">
        <v>0.61820574074074075</v>
      </c>
      <c r="L577">
        <f>YEAR(Coffe_sales[[#This Row],[Date]])</f>
        <v>2024</v>
      </c>
    </row>
    <row r="578" spans="1:12" x14ac:dyDescent="0.2">
      <c r="A578" t="s">
        <v>28</v>
      </c>
      <c r="B578" t="s">
        <v>12</v>
      </c>
      <c r="C578">
        <v>37.72</v>
      </c>
      <c r="D578" t="s">
        <v>13</v>
      </c>
      <c r="E578" t="s">
        <v>29</v>
      </c>
      <c r="F578" t="s">
        <v>15</v>
      </c>
      <c r="G578" t="s">
        <v>112</v>
      </c>
      <c r="H578" t="s">
        <v>17</v>
      </c>
      <c r="I578" t="s">
        <v>17</v>
      </c>
      <c r="J578" t="s">
        <v>143</v>
      </c>
      <c r="K578" s="1">
        <v>0.76648884259259265</v>
      </c>
      <c r="L578">
        <f>YEAR(Coffe_sales[[#This Row],[Date]])</f>
        <v>2024</v>
      </c>
    </row>
    <row r="579" spans="1:12" x14ac:dyDescent="0.2">
      <c r="A579" t="s">
        <v>28</v>
      </c>
      <c r="B579" t="s">
        <v>12</v>
      </c>
      <c r="C579">
        <v>37.72</v>
      </c>
      <c r="D579" t="s">
        <v>13</v>
      </c>
      <c r="E579" t="s">
        <v>29</v>
      </c>
      <c r="F579" t="s">
        <v>15</v>
      </c>
      <c r="G579" t="s">
        <v>112</v>
      </c>
      <c r="H579" t="s">
        <v>17</v>
      </c>
      <c r="I579" t="s">
        <v>17</v>
      </c>
      <c r="J579" t="s">
        <v>143</v>
      </c>
      <c r="K579" s="1">
        <v>0.76739896990740741</v>
      </c>
      <c r="L579">
        <f>YEAR(Coffe_sales[[#This Row],[Date]])</f>
        <v>2024</v>
      </c>
    </row>
    <row r="580" spans="1:12" x14ac:dyDescent="0.2">
      <c r="A580" t="s">
        <v>91</v>
      </c>
      <c r="B580" t="s">
        <v>12</v>
      </c>
      <c r="C580">
        <v>37.72</v>
      </c>
      <c r="D580" t="s">
        <v>52</v>
      </c>
      <c r="E580" t="s">
        <v>29</v>
      </c>
      <c r="F580" t="s">
        <v>15</v>
      </c>
      <c r="G580" t="s">
        <v>112</v>
      </c>
      <c r="H580" t="s">
        <v>17</v>
      </c>
      <c r="I580" t="s">
        <v>17</v>
      </c>
      <c r="J580" t="s">
        <v>143</v>
      </c>
      <c r="K580" s="1">
        <v>0.83795331018518515</v>
      </c>
      <c r="L580">
        <f>YEAR(Coffe_sales[[#This Row],[Date]])</f>
        <v>2024</v>
      </c>
    </row>
    <row r="581" spans="1:12" x14ac:dyDescent="0.2">
      <c r="A581" t="s">
        <v>91</v>
      </c>
      <c r="B581" t="s">
        <v>12</v>
      </c>
      <c r="C581">
        <v>32.82</v>
      </c>
      <c r="D581" t="s">
        <v>26</v>
      </c>
      <c r="E581" t="s">
        <v>29</v>
      </c>
      <c r="F581" t="s">
        <v>15</v>
      </c>
      <c r="G581" t="s">
        <v>112</v>
      </c>
      <c r="H581" t="s">
        <v>17</v>
      </c>
      <c r="I581" t="s">
        <v>17</v>
      </c>
      <c r="J581" t="s">
        <v>143</v>
      </c>
      <c r="K581" s="1">
        <v>0.85632410879629628</v>
      </c>
      <c r="L581">
        <f>YEAR(Coffe_sales[[#This Row],[Date]])</f>
        <v>2024</v>
      </c>
    </row>
    <row r="582" spans="1:12" x14ac:dyDescent="0.2">
      <c r="A582" t="s">
        <v>91</v>
      </c>
      <c r="B582" t="s">
        <v>12</v>
      </c>
      <c r="C582">
        <v>37.72</v>
      </c>
      <c r="D582" t="s">
        <v>13</v>
      </c>
      <c r="E582" t="s">
        <v>29</v>
      </c>
      <c r="F582" t="s">
        <v>15</v>
      </c>
      <c r="G582" t="s">
        <v>112</v>
      </c>
      <c r="H582" t="s">
        <v>17</v>
      </c>
      <c r="I582" t="s">
        <v>17</v>
      </c>
      <c r="J582" t="s">
        <v>143</v>
      </c>
      <c r="K582" s="1">
        <v>0.85732526620370375</v>
      </c>
      <c r="L582">
        <f>YEAR(Coffe_sales[[#This Row],[Date]])</f>
        <v>2024</v>
      </c>
    </row>
    <row r="583" spans="1:12" x14ac:dyDescent="0.2">
      <c r="A583" t="s">
        <v>125</v>
      </c>
      <c r="B583" t="s">
        <v>12</v>
      </c>
      <c r="C583">
        <v>37.72</v>
      </c>
      <c r="D583" t="s">
        <v>52</v>
      </c>
      <c r="E583" t="s">
        <v>29</v>
      </c>
      <c r="F583" t="s">
        <v>15</v>
      </c>
      <c r="G583" t="s">
        <v>112</v>
      </c>
      <c r="H583" t="s">
        <v>17</v>
      </c>
      <c r="I583" t="s">
        <v>17</v>
      </c>
      <c r="J583" t="s">
        <v>143</v>
      </c>
      <c r="K583" s="1">
        <v>0.92068368055555561</v>
      </c>
      <c r="L583">
        <f>YEAR(Coffe_sales[[#This Row],[Date]])</f>
        <v>2024</v>
      </c>
    </row>
    <row r="584" spans="1:12" x14ac:dyDescent="0.2">
      <c r="A584" t="s">
        <v>125</v>
      </c>
      <c r="B584" t="s">
        <v>12</v>
      </c>
      <c r="C584">
        <v>32.82</v>
      </c>
      <c r="D584" t="s">
        <v>26</v>
      </c>
      <c r="E584" t="s">
        <v>29</v>
      </c>
      <c r="F584" t="s">
        <v>15</v>
      </c>
      <c r="G584" t="s">
        <v>112</v>
      </c>
      <c r="H584" t="s">
        <v>17</v>
      </c>
      <c r="I584" t="s">
        <v>17</v>
      </c>
      <c r="J584" t="s">
        <v>143</v>
      </c>
      <c r="K584" s="1">
        <v>0.92144085648148144</v>
      </c>
      <c r="L584">
        <f>YEAR(Coffe_sales[[#This Row],[Date]])</f>
        <v>2024</v>
      </c>
    </row>
    <row r="585" spans="1:12" x14ac:dyDescent="0.2">
      <c r="A585" t="s">
        <v>125</v>
      </c>
      <c r="B585" t="s">
        <v>12</v>
      </c>
      <c r="C585">
        <v>27.92</v>
      </c>
      <c r="D585" t="s">
        <v>41</v>
      </c>
      <c r="E585" t="s">
        <v>29</v>
      </c>
      <c r="F585" t="s">
        <v>15</v>
      </c>
      <c r="G585" t="s">
        <v>112</v>
      </c>
      <c r="H585" t="s">
        <v>17</v>
      </c>
      <c r="I585" t="s">
        <v>17</v>
      </c>
      <c r="J585" t="s">
        <v>143</v>
      </c>
      <c r="K585" s="1">
        <v>0.92216861111111115</v>
      </c>
      <c r="L585">
        <f>YEAR(Coffe_sales[[#This Row],[Date]])</f>
        <v>2024</v>
      </c>
    </row>
    <row r="586" spans="1:12" x14ac:dyDescent="0.2">
      <c r="A586" t="s">
        <v>123</v>
      </c>
      <c r="B586" t="s">
        <v>12</v>
      </c>
      <c r="C586">
        <v>27.92</v>
      </c>
      <c r="D586" t="s">
        <v>41</v>
      </c>
      <c r="E586" t="s">
        <v>14</v>
      </c>
      <c r="F586" t="s">
        <v>32</v>
      </c>
      <c r="G586" t="s">
        <v>144</v>
      </c>
      <c r="H586" t="s">
        <v>33</v>
      </c>
      <c r="I586" t="s">
        <v>33</v>
      </c>
      <c r="J586" t="s">
        <v>145</v>
      </c>
      <c r="K586" s="1">
        <v>0.3521035300925926</v>
      </c>
      <c r="L586">
        <f>YEAR(Coffe_sales[[#This Row],[Date]])</f>
        <v>2024</v>
      </c>
    </row>
    <row r="587" spans="1:12" x14ac:dyDescent="0.2">
      <c r="A587" t="s">
        <v>46</v>
      </c>
      <c r="B587" t="s">
        <v>12</v>
      </c>
      <c r="C587">
        <v>37.72</v>
      </c>
      <c r="D587" t="s">
        <v>13</v>
      </c>
      <c r="E587" t="s">
        <v>14</v>
      </c>
      <c r="F587" t="s">
        <v>32</v>
      </c>
      <c r="G587" t="s">
        <v>144</v>
      </c>
      <c r="H587" t="s">
        <v>33</v>
      </c>
      <c r="I587" t="s">
        <v>33</v>
      </c>
      <c r="J587" t="s">
        <v>145</v>
      </c>
      <c r="K587" s="1">
        <v>0.40861979166666668</v>
      </c>
      <c r="L587">
        <f>YEAR(Coffe_sales[[#This Row],[Date]])</f>
        <v>2024</v>
      </c>
    </row>
    <row r="588" spans="1:12" x14ac:dyDescent="0.2">
      <c r="A588" t="s">
        <v>35</v>
      </c>
      <c r="B588" t="s">
        <v>12</v>
      </c>
      <c r="C588">
        <v>37.72</v>
      </c>
      <c r="D588" t="s">
        <v>13</v>
      </c>
      <c r="E588" t="s">
        <v>14</v>
      </c>
      <c r="F588" t="s">
        <v>32</v>
      </c>
      <c r="G588" t="s">
        <v>144</v>
      </c>
      <c r="H588" t="s">
        <v>33</v>
      </c>
      <c r="I588" t="s">
        <v>33</v>
      </c>
      <c r="J588" t="s">
        <v>145</v>
      </c>
      <c r="K588" s="1">
        <v>0.48483068287037034</v>
      </c>
      <c r="L588">
        <f>YEAR(Coffe_sales[[#This Row],[Date]])</f>
        <v>2024</v>
      </c>
    </row>
    <row r="589" spans="1:12" x14ac:dyDescent="0.2">
      <c r="A589" t="s">
        <v>36</v>
      </c>
      <c r="B589" t="s">
        <v>12</v>
      </c>
      <c r="C589">
        <v>32.82</v>
      </c>
      <c r="D589" t="s">
        <v>26</v>
      </c>
      <c r="E589" t="s">
        <v>22</v>
      </c>
      <c r="F589" t="s">
        <v>32</v>
      </c>
      <c r="G589" t="s">
        <v>144</v>
      </c>
      <c r="H589" t="s">
        <v>33</v>
      </c>
      <c r="I589" t="s">
        <v>33</v>
      </c>
      <c r="J589" t="s">
        <v>145</v>
      </c>
      <c r="K589" s="1">
        <v>0.60339975694444448</v>
      </c>
      <c r="L589">
        <f>YEAR(Coffe_sales[[#This Row],[Date]])</f>
        <v>2024</v>
      </c>
    </row>
    <row r="590" spans="1:12" x14ac:dyDescent="0.2">
      <c r="A590" t="s">
        <v>28</v>
      </c>
      <c r="B590" t="s">
        <v>12</v>
      </c>
      <c r="C590">
        <v>32.82</v>
      </c>
      <c r="D590" t="s">
        <v>26</v>
      </c>
      <c r="E590" t="s">
        <v>29</v>
      </c>
      <c r="F590" t="s">
        <v>32</v>
      </c>
      <c r="G590" t="s">
        <v>144</v>
      </c>
      <c r="H590" t="s">
        <v>33</v>
      </c>
      <c r="I590" t="s">
        <v>33</v>
      </c>
      <c r="J590" t="s">
        <v>145</v>
      </c>
      <c r="K590" s="1">
        <v>0.76403680555555553</v>
      </c>
      <c r="L590">
        <f>YEAR(Coffe_sales[[#This Row],[Date]])</f>
        <v>2024</v>
      </c>
    </row>
    <row r="591" spans="1:12" x14ac:dyDescent="0.2">
      <c r="A591" t="s">
        <v>28</v>
      </c>
      <c r="B591" t="s">
        <v>12</v>
      </c>
      <c r="C591">
        <v>32.82</v>
      </c>
      <c r="D591" t="s">
        <v>26</v>
      </c>
      <c r="E591" t="s">
        <v>29</v>
      </c>
      <c r="F591" t="s">
        <v>32</v>
      </c>
      <c r="G591" t="s">
        <v>144</v>
      </c>
      <c r="H591" t="s">
        <v>33</v>
      </c>
      <c r="I591" t="s">
        <v>33</v>
      </c>
      <c r="J591" t="s">
        <v>145</v>
      </c>
      <c r="K591" s="1">
        <v>0.76476114583333332</v>
      </c>
      <c r="L591">
        <f>YEAR(Coffe_sales[[#This Row],[Date]])</f>
        <v>2024</v>
      </c>
    </row>
    <row r="592" spans="1:12" x14ac:dyDescent="0.2">
      <c r="A592" t="s">
        <v>91</v>
      </c>
      <c r="B592" t="s">
        <v>12</v>
      </c>
      <c r="C592">
        <v>37.72</v>
      </c>
      <c r="D592" t="s">
        <v>52</v>
      </c>
      <c r="E592" t="s">
        <v>29</v>
      </c>
      <c r="F592" t="s">
        <v>32</v>
      </c>
      <c r="G592" t="s">
        <v>144</v>
      </c>
      <c r="H592" t="s">
        <v>33</v>
      </c>
      <c r="I592" t="s">
        <v>33</v>
      </c>
      <c r="J592" t="s">
        <v>145</v>
      </c>
      <c r="K592" s="1">
        <v>0.86817694444444449</v>
      </c>
      <c r="L592">
        <f>YEAR(Coffe_sales[[#This Row],[Date]])</f>
        <v>2024</v>
      </c>
    </row>
    <row r="593" spans="1:12" x14ac:dyDescent="0.2">
      <c r="A593" t="s">
        <v>91</v>
      </c>
      <c r="B593" t="s">
        <v>12</v>
      </c>
      <c r="C593">
        <v>37.72</v>
      </c>
      <c r="D593" t="s">
        <v>52</v>
      </c>
      <c r="E593" t="s">
        <v>29</v>
      </c>
      <c r="F593" t="s">
        <v>32</v>
      </c>
      <c r="G593" t="s">
        <v>144</v>
      </c>
      <c r="H593" t="s">
        <v>33</v>
      </c>
      <c r="I593" t="s">
        <v>33</v>
      </c>
      <c r="J593" t="s">
        <v>145</v>
      </c>
      <c r="K593" s="1">
        <v>0.86890700231481477</v>
      </c>
      <c r="L593">
        <f>YEAR(Coffe_sales[[#This Row],[Date]])</f>
        <v>2024</v>
      </c>
    </row>
    <row r="594" spans="1:12" x14ac:dyDescent="0.2">
      <c r="A594" t="s">
        <v>91</v>
      </c>
      <c r="B594" t="s">
        <v>12</v>
      </c>
      <c r="C594">
        <v>37.72</v>
      </c>
      <c r="D594" t="s">
        <v>31</v>
      </c>
      <c r="E594" t="s">
        <v>29</v>
      </c>
      <c r="F594" t="s">
        <v>32</v>
      </c>
      <c r="G594" t="s">
        <v>144</v>
      </c>
      <c r="H594" t="s">
        <v>33</v>
      </c>
      <c r="I594" t="s">
        <v>33</v>
      </c>
      <c r="J594" t="s">
        <v>145</v>
      </c>
      <c r="K594" s="1">
        <v>0.87441769675925929</v>
      </c>
      <c r="L594">
        <f>YEAR(Coffe_sales[[#This Row],[Date]])</f>
        <v>2024</v>
      </c>
    </row>
    <row r="595" spans="1:12" x14ac:dyDescent="0.2">
      <c r="A595" t="s">
        <v>131</v>
      </c>
      <c r="B595" t="s">
        <v>12</v>
      </c>
      <c r="C595">
        <v>32.82</v>
      </c>
      <c r="D595" t="s">
        <v>26</v>
      </c>
      <c r="E595" t="s">
        <v>29</v>
      </c>
      <c r="F595" t="s">
        <v>32</v>
      </c>
      <c r="G595" t="s">
        <v>144</v>
      </c>
      <c r="H595" t="s">
        <v>33</v>
      </c>
      <c r="I595" t="s">
        <v>33</v>
      </c>
      <c r="J595" t="s">
        <v>145</v>
      </c>
      <c r="K595" s="1">
        <v>0.9104742013888889</v>
      </c>
      <c r="L595">
        <f>YEAR(Coffe_sales[[#This Row],[Date]])</f>
        <v>2024</v>
      </c>
    </row>
    <row r="596" spans="1:12" x14ac:dyDescent="0.2">
      <c r="A596" t="s">
        <v>91</v>
      </c>
      <c r="B596" t="s">
        <v>12</v>
      </c>
      <c r="C596">
        <v>37.72</v>
      </c>
      <c r="D596" t="s">
        <v>13</v>
      </c>
      <c r="E596" t="s">
        <v>29</v>
      </c>
      <c r="F596" t="s">
        <v>38</v>
      </c>
      <c r="G596" t="s">
        <v>144</v>
      </c>
      <c r="H596" t="s">
        <v>39</v>
      </c>
      <c r="I596" t="s">
        <v>33</v>
      </c>
      <c r="J596" t="s">
        <v>146</v>
      </c>
      <c r="K596" s="1">
        <v>0.83571526620370373</v>
      </c>
      <c r="L596">
        <f>YEAR(Coffe_sales[[#This Row],[Date]])</f>
        <v>2024</v>
      </c>
    </row>
    <row r="597" spans="1:12" x14ac:dyDescent="0.2">
      <c r="A597" t="s">
        <v>91</v>
      </c>
      <c r="B597" t="s">
        <v>12</v>
      </c>
      <c r="C597">
        <v>32.82</v>
      </c>
      <c r="D597" t="s">
        <v>26</v>
      </c>
      <c r="E597" t="s">
        <v>29</v>
      </c>
      <c r="F597" t="s">
        <v>38</v>
      </c>
      <c r="G597" t="s">
        <v>144</v>
      </c>
      <c r="H597" t="s">
        <v>39</v>
      </c>
      <c r="I597" t="s">
        <v>33</v>
      </c>
      <c r="J597" t="s">
        <v>146</v>
      </c>
      <c r="K597" s="1">
        <v>0.85002834490740742</v>
      </c>
      <c r="L597">
        <f>YEAR(Coffe_sales[[#This Row],[Date]])</f>
        <v>2024</v>
      </c>
    </row>
    <row r="598" spans="1:12" x14ac:dyDescent="0.2">
      <c r="A598" t="s">
        <v>91</v>
      </c>
      <c r="B598" t="s">
        <v>12</v>
      </c>
      <c r="C598">
        <v>37.72</v>
      </c>
      <c r="D598" t="s">
        <v>52</v>
      </c>
      <c r="E598" t="s">
        <v>29</v>
      </c>
      <c r="F598" t="s">
        <v>38</v>
      </c>
      <c r="G598" t="s">
        <v>144</v>
      </c>
      <c r="H598" t="s">
        <v>39</v>
      </c>
      <c r="I598" t="s">
        <v>33</v>
      </c>
      <c r="J598" t="s">
        <v>146</v>
      </c>
      <c r="K598" s="1">
        <v>0.85077821759259264</v>
      </c>
      <c r="L598">
        <f>YEAR(Coffe_sales[[#This Row],[Date]])</f>
        <v>2024</v>
      </c>
    </row>
    <row r="599" spans="1:12" x14ac:dyDescent="0.2">
      <c r="A599" t="s">
        <v>131</v>
      </c>
      <c r="B599" t="s">
        <v>12</v>
      </c>
      <c r="C599">
        <v>32.82</v>
      </c>
      <c r="D599" t="s">
        <v>26</v>
      </c>
      <c r="E599" t="s">
        <v>29</v>
      </c>
      <c r="F599" t="s">
        <v>38</v>
      </c>
      <c r="G599" t="s">
        <v>144</v>
      </c>
      <c r="H599" t="s">
        <v>39</v>
      </c>
      <c r="I599" t="s">
        <v>33</v>
      </c>
      <c r="J599" t="s">
        <v>146</v>
      </c>
      <c r="K599" s="1">
        <v>0.8800987384259259</v>
      </c>
      <c r="L599">
        <f>YEAR(Coffe_sales[[#This Row],[Date]])</f>
        <v>2024</v>
      </c>
    </row>
    <row r="600" spans="1:12" x14ac:dyDescent="0.2">
      <c r="A600" t="s">
        <v>131</v>
      </c>
      <c r="B600" t="s">
        <v>12</v>
      </c>
      <c r="C600">
        <v>37.72</v>
      </c>
      <c r="D600" t="s">
        <v>13</v>
      </c>
      <c r="E600" t="s">
        <v>29</v>
      </c>
      <c r="F600" t="s">
        <v>38</v>
      </c>
      <c r="G600" t="s">
        <v>144</v>
      </c>
      <c r="H600" t="s">
        <v>39</v>
      </c>
      <c r="I600" t="s">
        <v>33</v>
      </c>
      <c r="J600" t="s">
        <v>146</v>
      </c>
      <c r="K600" s="1">
        <v>0.89597719907407403</v>
      </c>
      <c r="L600">
        <f>YEAR(Coffe_sales[[#This Row],[Date]])</f>
        <v>2024</v>
      </c>
    </row>
    <row r="601" spans="1:12" x14ac:dyDescent="0.2">
      <c r="A601" t="s">
        <v>11</v>
      </c>
      <c r="B601" t="s">
        <v>12</v>
      </c>
      <c r="C601">
        <v>37.72</v>
      </c>
      <c r="D601" t="s">
        <v>13</v>
      </c>
      <c r="E601" t="s">
        <v>14</v>
      </c>
      <c r="F601" t="s">
        <v>42</v>
      </c>
      <c r="G601" t="s">
        <v>144</v>
      </c>
      <c r="H601" t="s">
        <v>43</v>
      </c>
      <c r="I601" t="s">
        <v>33</v>
      </c>
      <c r="J601" t="s">
        <v>147</v>
      </c>
      <c r="K601" s="1">
        <v>0.42504792824074072</v>
      </c>
      <c r="L601">
        <f>YEAR(Coffe_sales[[#This Row],[Date]])</f>
        <v>2024</v>
      </c>
    </row>
    <row r="602" spans="1:12" x14ac:dyDescent="0.2">
      <c r="A602" t="s">
        <v>11</v>
      </c>
      <c r="B602" t="s">
        <v>12</v>
      </c>
      <c r="C602">
        <v>37.72</v>
      </c>
      <c r="D602" t="s">
        <v>13</v>
      </c>
      <c r="E602" t="s">
        <v>14</v>
      </c>
      <c r="F602" t="s">
        <v>42</v>
      </c>
      <c r="G602" t="s">
        <v>144</v>
      </c>
      <c r="H602" t="s">
        <v>43</v>
      </c>
      <c r="I602" t="s">
        <v>33</v>
      </c>
      <c r="J602" t="s">
        <v>147</v>
      </c>
      <c r="K602" s="1">
        <v>0.43599302083333336</v>
      </c>
      <c r="L602">
        <f>YEAR(Coffe_sales[[#This Row],[Date]])</f>
        <v>2024</v>
      </c>
    </row>
    <row r="603" spans="1:12" x14ac:dyDescent="0.2">
      <c r="A603" t="s">
        <v>36</v>
      </c>
      <c r="B603" t="s">
        <v>12</v>
      </c>
      <c r="C603">
        <v>37.72</v>
      </c>
      <c r="D603" t="s">
        <v>52</v>
      </c>
      <c r="E603" t="s">
        <v>22</v>
      </c>
      <c r="F603" t="s">
        <v>42</v>
      </c>
      <c r="G603" t="s">
        <v>144</v>
      </c>
      <c r="H603" t="s">
        <v>43</v>
      </c>
      <c r="I603" t="s">
        <v>33</v>
      </c>
      <c r="J603" t="s">
        <v>147</v>
      </c>
      <c r="K603" s="1">
        <v>0.60535113425925924</v>
      </c>
      <c r="L603">
        <f>YEAR(Coffe_sales[[#This Row],[Date]])</f>
        <v>2024</v>
      </c>
    </row>
    <row r="604" spans="1:12" x14ac:dyDescent="0.2">
      <c r="A604" t="s">
        <v>36</v>
      </c>
      <c r="B604" t="s">
        <v>12</v>
      </c>
      <c r="C604">
        <v>32.82</v>
      </c>
      <c r="D604" t="s">
        <v>26</v>
      </c>
      <c r="E604" t="s">
        <v>22</v>
      </c>
      <c r="F604" t="s">
        <v>42</v>
      </c>
      <c r="G604" t="s">
        <v>144</v>
      </c>
      <c r="H604" t="s">
        <v>43</v>
      </c>
      <c r="I604" t="s">
        <v>33</v>
      </c>
      <c r="J604" t="s">
        <v>147</v>
      </c>
      <c r="K604" s="1">
        <v>0.60626101851851855</v>
      </c>
      <c r="L604">
        <f>YEAR(Coffe_sales[[#This Row],[Date]])</f>
        <v>2024</v>
      </c>
    </row>
    <row r="605" spans="1:12" x14ac:dyDescent="0.2">
      <c r="A605" t="s">
        <v>36</v>
      </c>
      <c r="B605" t="s">
        <v>12</v>
      </c>
      <c r="C605">
        <v>37.72</v>
      </c>
      <c r="D605" t="s">
        <v>13</v>
      </c>
      <c r="E605" t="s">
        <v>22</v>
      </c>
      <c r="F605" t="s">
        <v>42</v>
      </c>
      <c r="G605" t="s">
        <v>144</v>
      </c>
      <c r="H605" t="s">
        <v>43</v>
      </c>
      <c r="I605" t="s">
        <v>33</v>
      </c>
      <c r="J605" t="s">
        <v>147</v>
      </c>
      <c r="K605" s="1">
        <v>0.60702456018518514</v>
      </c>
      <c r="L605">
        <f>YEAR(Coffe_sales[[#This Row],[Date]])</f>
        <v>2024</v>
      </c>
    </row>
    <row r="606" spans="1:12" x14ac:dyDescent="0.2">
      <c r="A606" t="s">
        <v>46</v>
      </c>
      <c r="B606" t="s">
        <v>12</v>
      </c>
      <c r="C606">
        <v>27.92</v>
      </c>
      <c r="D606" t="s">
        <v>41</v>
      </c>
      <c r="E606" t="s">
        <v>14</v>
      </c>
      <c r="F606" t="s">
        <v>47</v>
      </c>
      <c r="G606" t="s">
        <v>144</v>
      </c>
      <c r="H606" t="s">
        <v>48</v>
      </c>
      <c r="I606" t="s">
        <v>33</v>
      </c>
      <c r="J606" t="s">
        <v>148</v>
      </c>
      <c r="K606" s="1">
        <v>0.39146872685185186</v>
      </c>
      <c r="L606">
        <f>YEAR(Coffe_sales[[#This Row],[Date]])</f>
        <v>2024</v>
      </c>
    </row>
    <row r="607" spans="1:12" x14ac:dyDescent="0.2">
      <c r="A607" t="s">
        <v>11</v>
      </c>
      <c r="B607" t="s">
        <v>12</v>
      </c>
      <c r="C607">
        <v>32.82</v>
      </c>
      <c r="D607" t="s">
        <v>26</v>
      </c>
      <c r="E607" t="s">
        <v>14</v>
      </c>
      <c r="F607" t="s">
        <v>47</v>
      </c>
      <c r="G607" t="s">
        <v>144</v>
      </c>
      <c r="H607" t="s">
        <v>48</v>
      </c>
      <c r="I607" t="s">
        <v>33</v>
      </c>
      <c r="J607" t="s">
        <v>148</v>
      </c>
      <c r="K607" s="1">
        <v>0.43557841435185185</v>
      </c>
      <c r="L607">
        <f>YEAR(Coffe_sales[[#This Row],[Date]])</f>
        <v>2024</v>
      </c>
    </row>
    <row r="608" spans="1:12" x14ac:dyDescent="0.2">
      <c r="A608" t="s">
        <v>20</v>
      </c>
      <c r="B608" t="s">
        <v>12</v>
      </c>
      <c r="C608">
        <v>37.72</v>
      </c>
      <c r="D608" t="s">
        <v>13</v>
      </c>
      <c r="E608" t="s">
        <v>22</v>
      </c>
      <c r="F608" t="s">
        <v>47</v>
      </c>
      <c r="G608" t="s">
        <v>144</v>
      </c>
      <c r="H608" t="s">
        <v>48</v>
      </c>
      <c r="I608" t="s">
        <v>33</v>
      </c>
      <c r="J608" t="s">
        <v>148</v>
      </c>
      <c r="K608" s="1">
        <v>0.50150709490740741</v>
      </c>
      <c r="L608">
        <f>YEAR(Coffe_sales[[#This Row],[Date]])</f>
        <v>2024</v>
      </c>
    </row>
    <row r="609" spans="1:12" x14ac:dyDescent="0.2">
      <c r="A609" t="s">
        <v>20</v>
      </c>
      <c r="B609" t="s">
        <v>12</v>
      </c>
      <c r="C609">
        <v>37.72</v>
      </c>
      <c r="D609" t="s">
        <v>21</v>
      </c>
      <c r="E609" t="s">
        <v>22</v>
      </c>
      <c r="F609" t="s">
        <v>47</v>
      </c>
      <c r="G609" t="s">
        <v>144</v>
      </c>
      <c r="H609" t="s">
        <v>48</v>
      </c>
      <c r="I609" t="s">
        <v>33</v>
      </c>
      <c r="J609" t="s">
        <v>148</v>
      </c>
      <c r="K609" s="1">
        <v>0.50381002314814816</v>
      </c>
      <c r="L609">
        <f>YEAR(Coffe_sales[[#This Row],[Date]])</f>
        <v>2024</v>
      </c>
    </row>
    <row r="610" spans="1:12" x14ac:dyDescent="0.2">
      <c r="A610" t="s">
        <v>25</v>
      </c>
      <c r="B610" t="s">
        <v>12</v>
      </c>
      <c r="C610">
        <v>37.72</v>
      </c>
      <c r="D610" t="s">
        <v>13</v>
      </c>
      <c r="E610" t="s">
        <v>22</v>
      </c>
      <c r="F610" t="s">
        <v>47</v>
      </c>
      <c r="G610" t="s">
        <v>144</v>
      </c>
      <c r="H610" t="s">
        <v>48</v>
      </c>
      <c r="I610" t="s">
        <v>33</v>
      </c>
      <c r="J610" t="s">
        <v>148</v>
      </c>
      <c r="K610" s="1">
        <v>0.64620896990740739</v>
      </c>
      <c r="L610">
        <f>YEAR(Coffe_sales[[#This Row],[Date]])</f>
        <v>2024</v>
      </c>
    </row>
    <row r="611" spans="1:12" x14ac:dyDescent="0.2">
      <c r="A611" t="s">
        <v>37</v>
      </c>
      <c r="B611" t="s">
        <v>12</v>
      </c>
      <c r="C611">
        <v>27.92</v>
      </c>
      <c r="D611" t="s">
        <v>41</v>
      </c>
      <c r="E611" t="s">
        <v>29</v>
      </c>
      <c r="F611" t="s">
        <v>47</v>
      </c>
      <c r="G611" t="s">
        <v>144</v>
      </c>
      <c r="H611" t="s">
        <v>48</v>
      </c>
      <c r="I611" t="s">
        <v>33</v>
      </c>
      <c r="J611" t="s">
        <v>148</v>
      </c>
      <c r="K611" s="1">
        <v>0.74070209490740746</v>
      </c>
      <c r="L611">
        <f>YEAR(Coffe_sales[[#This Row],[Date]])</f>
        <v>2024</v>
      </c>
    </row>
    <row r="612" spans="1:12" x14ac:dyDescent="0.2">
      <c r="A612" t="s">
        <v>37</v>
      </c>
      <c r="B612" t="s">
        <v>12</v>
      </c>
      <c r="C612">
        <v>37.72</v>
      </c>
      <c r="D612" t="s">
        <v>52</v>
      </c>
      <c r="E612" t="s">
        <v>29</v>
      </c>
      <c r="F612" t="s">
        <v>47</v>
      </c>
      <c r="G612" t="s">
        <v>144</v>
      </c>
      <c r="H612" t="s">
        <v>48</v>
      </c>
      <c r="I612" t="s">
        <v>33</v>
      </c>
      <c r="J612" t="s">
        <v>148</v>
      </c>
      <c r="K612" s="1">
        <v>0.74130609953703708</v>
      </c>
      <c r="L612">
        <f>YEAR(Coffe_sales[[#This Row],[Date]])</f>
        <v>2024</v>
      </c>
    </row>
    <row r="613" spans="1:12" x14ac:dyDescent="0.2">
      <c r="A613" t="s">
        <v>91</v>
      </c>
      <c r="B613" t="s">
        <v>12</v>
      </c>
      <c r="C613">
        <v>37.72</v>
      </c>
      <c r="D613" t="s">
        <v>21</v>
      </c>
      <c r="E613" t="s">
        <v>29</v>
      </c>
      <c r="F613" t="s">
        <v>47</v>
      </c>
      <c r="G613" t="s">
        <v>144</v>
      </c>
      <c r="H613" t="s">
        <v>48</v>
      </c>
      <c r="I613" t="s">
        <v>33</v>
      </c>
      <c r="J613" t="s">
        <v>148</v>
      </c>
      <c r="K613" s="1">
        <v>0.84237504629629634</v>
      </c>
      <c r="L613">
        <f>YEAR(Coffe_sales[[#This Row],[Date]])</f>
        <v>2024</v>
      </c>
    </row>
    <row r="614" spans="1:12" x14ac:dyDescent="0.2">
      <c r="A614" t="s">
        <v>91</v>
      </c>
      <c r="B614" t="s">
        <v>12</v>
      </c>
      <c r="C614">
        <v>37.72</v>
      </c>
      <c r="D614" t="s">
        <v>52</v>
      </c>
      <c r="E614" t="s">
        <v>29</v>
      </c>
      <c r="F614" t="s">
        <v>47</v>
      </c>
      <c r="G614" t="s">
        <v>144</v>
      </c>
      <c r="H614" t="s">
        <v>48</v>
      </c>
      <c r="I614" t="s">
        <v>33</v>
      </c>
      <c r="J614" t="s">
        <v>148</v>
      </c>
      <c r="K614" s="1">
        <v>0.86844787037037041</v>
      </c>
      <c r="L614">
        <f>YEAR(Coffe_sales[[#This Row],[Date]])</f>
        <v>2024</v>
      </c>
    </row>
    <row r="615" spans="1:12" x14ac:dyDescent="0.2">
      <c r="A615" t="s">
        <v>131</v>
      </c>
      <c r="B615" t="s">
        <v>12</v>
      </c>
      <c r="C615">
        <v>27.92</v>
      </c>
      <c r="D615" t="s">
        <v>41</v>
      </c>
      <c r="E615" t="s">
        <v>29</v>
      </c>
      <c r="F615" t="s">
        <v>47</v>
      </c>
      <c r="G615" t="s">
        <v>144</v>
      </c>
      <c r="H615" t="s">
        <v>48</v>
      </c>
      <c r="I615" t="s">
        <v>33</v>
      </c>
      <c r="J615" t="s">
        <v>148</v>
      </c>
      <c r="K615" s="1">
        <v>0.89720958333333334</v>
      </c>
      <c r="L615">
        <f>YEAR(Coffe_sales[[#This Row],[Date]])</f>
        <v>2024</v>
      </c>
    </row>
    <row r="616" spans="1:12" x14ac:dyDescent="0.2">
      <c r="A616" t="s">
        <v>131</v>
      </c>
      <c r="B616" t="s">
        <v>12</v>
      </c>
      <c r="C616">
        <v>32.82</v>
      </c>
      <c r="D616" t="s">
        <v>26</v>
      </c>
      <c r="E616" t="s">
        <v>29</v>
      </c>
      <c r="F616" t="s">
        <v>47</v>
      </c>
      <c r="G616" t="s">
        <v>144</v>
      </c>
      <c r="H616" t="s">
        <v>48</v>
      </c>
      <c r="I616" t="s">
        <v>33</v>
      </c>
      <c r="J616" t="s">
        <v>148</v>
      </c>
      <c r="K616" s="1">
        <v>0.89794700231481483</v>
      </c>
      <c r="L616">
        <f>YEAR(Coffe_sales[[#This Row],[Date]])</f>
        <v>2024</v>
      </c>
    </row>
    <row r="617" spans="1:12" x14ac:dyDescent="0.2">
      <c r="A617" t="s">
        <v>131</v>
      </c>
      <c r="B617" t="s">
        <v>12</v>
      </c>
      <c r="C617">
        <v>32.82</v>
      </c>
      <c r="D617" t="s">
        <v>26</v>
      </c>
      <c r="E617" t="s">
        <v>29</v>
      </c>
      <c r="F617" t="s">
        <v>47</v>
      </c>
      <c r="G617" t="s">
        <v>144</v>
      </c>
      <c r="H617" t="s">
        <v>48</v>
      </c>
      <c r="I617" t="s">
        <v>33</v>
      </c>
      <c r="J617" t="s">
        <v>148</v>
      </c>
      <c r="K617" s="1">
        <v>0.89925540509259261</v>
      </c>
      <c r="L617">
        <f>YEAR(Coffe_sales[[#This Row],[Date]])</f>
        <v>2024</v>
      </c>
    </row>
    <row r="618" spans="1:12" x14ac:dyDescent="0.2">
      <c r="A618" t="s">
        <v>131</v>
      </c>
      <c r="B618" t="s">
        <v>12</v>
      </c>
      <c r="C618">
        <v>32.82</v>
      </c>
      <c r="D618" t="s">
        <v>26</v>
      </c>
      <c r="E618" t="s">
        <v>29</v>
      </c>
      <c r="F618" t="s">
        <v>47</v>
      </c>
      <c r="G618" t="s">
        <v>144</v>
      </c>
      <c r="H618" t="s">
        <v>48</v>
      </c>
      <c r="I618" t="s">
        <v>33</v>
      </c>
      <c r="J618" t="s">
        <v>148</v>
      </c>
      <c r="K618" s="1">
        <v>0.90008013888888894</v>
      </c>
      <c r="L618">
        <f>YEAR(Coffe_sales[[#This Row],[Date]])</f>
        <v>2024</v>
      </c>
    </row>
    <row r="619" spans="1:12" x14ac:dyDescent="0.2">
      <c r="A619" t="s">
        <v>131</v>
      </c>
      <c r="B619" t="s">
        <v>12</v>
      </c>
      <c r="C619">
        <v>32.82</v>
      </c>
      <c r="D619" t="s">
        <v>26</v>
      </c>
      <c r="E619" t="s">
        <v>29</v>
      </c>
      <c r="F619" t="s">
        <v>47</v>
      </c>
      <c r="G619" t="s">
        <v>144</v>
      </c>
      <c r="H619" t="s">
        <v>48</v>
      </c>
      <c r="I619" t="s">
        <v>33</v>
      </c>
      <c r="J619" t="s">
        <v>148</v>
      </c>
      <c r="K619" s="1">
        <v>0.90086995370370371</v>
      </c>
      <c r="L619">
        <f>YEAR(Coffe_sales[[#This Row],[Date]])</f>
        <v>2024</v>
      </c>
    </row>
    <row r="620" spans="1:12" x14ac:dyDescent="0.2">
      <c r="A620" t="s">
        <v>123</v>
      </c>
      <c r="B620" t="s">
        <v>12</v>
      </c>
      <c r="C620">
        <v>37.72</v>
      </c>
      <c r="D620" t="s">
        <v>52</v>
      </c>
      <c r="E620" t="s">
        <v>14</v>
      </c>
      <c r="F620" t="s">
        <v>50</v>
      </c>
      <c r="G620" t="s">
        <v>144</v>
      </c>
      <c r="H620" t="s">
        <v>18</v>
      </c>
      <c r="I620" t="s">
        <v>33</v>
      </c>
      <c r="J620" t="s">
        <v>149</v>
      </c>
      <c r="K620" s="1">
        <v>0.34848337962962961</v>
      </c>
      <c r="L620">
        <f>YEAR(Coffe_sales[[#This Row],[Date]])</f>
        <v>2024</v>
      </c>
    </row>
    <row r="621" spans="1:12" x14ac:dyDescent="0.2">
      <c r="A621" t="s">
        <v>123</v>
      </c>
      <c r="B621" t="s">
        <v>12</v>
      </c>
      <c r="C621">
        <v>37.72</v>
      </c>
      <c r="D621" t="s">
        <v>52</v>
      </c>
      <c r="E621" t="s">
        <v>14</v>
      </c>
      <c r="F621" t="s">
        <v>50</v>
      </c>
      <c r="G621" t="s">
        <v>144</v>
      </c>
      <c r="H621" t="s">
        <v>18</v>
      </c>
      <c r="I621" t="s">
        <v>33</v>
      </c>
      <c r="J621" t="s">
        <v>149</v>
      </c>
      <c r="K621" s="1">
        <v>0.34938336805555553</v>
      </c>
      <c r="L621">
        <f>YEAR(Coffe_sales[[#This Row],[Date]])</f>
        <v>2024</v>
      </c>
    </row>
    <row r="622" spans="1:12" x14ac:dyDescent="0.2">
      <c r="A622" t="s">
        <v>46</v>
      </c>
      <c r="B622" t="s">
        <v>12</v>
      </c>
      <c r="C622">
        <v>27.92</v>
      </c>
      <c r="D622" t="s">
        <v>24</v>
      </c>
      <c r="E622" t="s">
        <v>14</v>
      </c>
      <c r="F622" t="s">
        <v>50</v>
      </c>
      <c r="G622" t="s">
        <v>144</v>
      </c>
      <c r="H622" t="s">
        <v>18</v>
      </c>
      <c r="I622" t="s">
        <v>33</v>
      </c>
      <c r="J622" t="s">
        <v>149</v>
      </c>
      <c r="K622" s="1">
        <v>0.39077671296296296</v>
      </c>
      <c r="L622">
        <f>YEAR(Coffe_sales[[#This Row],[Date]])</f>
        <v>2024</v>
      </c>
    </row>
    <row r="623" spans="1:12" x14ac:dyDescent="0.2">
      <c r="A623" t="s">
        <v>11</v>
      </c>
      <c r="B623" t="s">
        <v>12</v>
      </c>
      <c r="C623">
        <v>37.72</v>
      </c>
      <c r="D623" t="s">
        <v>13</v>
      </c>
      <c r="E623" t="s">
        <v>14</v>
      </c>
      <c r="F623" t="s">
        <v>50</v>
      </c>
      <c r="G623" t="s">
        <v>144</v>
      </c>
      <c r="H623" t="s">
        <v>18</v>
      </c>
      <c r="I623" t="s">
        <v>33</v>
      </c>
      <c r="J623" t="s">
        <v>149</v>
      </c>
      <c r="K623" s="1">
        <v>0.43669699074074075</v>
      </c>
      <c r="L623">
        <f>YEAR(Coffe_sales[[#This Row],[Date]])</f>
        <v>2024</v>
      </c>
    </row>
    <row r="624" spans="1:12" x14ac:dyDescent="0.2">
      <c r="A624" t="s">
        <v>11</v>
      </c>
      <c r="B624" t="s">
        <v>12</v>
      </c>
      <c r="C624">
        <v>32.82</v>
      </c>
      <c r="D624" t="s">
        <v>26</v>
      </c>
      <c r="E624" t="s">
        <v>14</v>
      </c>
      <c r="F624" t="s">
        <v>50</v>
      </c>
      <c r="G624" t="s">
        <v>144</v>
      </c>
      <c r="H624" t="s">
        <v>18</v>
      </c>
      <c r="I624" t="s">
        <v>33</v>
      </c>
      <c r="J624" t="s">
        <v>149</v>
      </c>
      <c r="K624" s="1">
        <v>0.44506004629629631</v>
      </c>
      <c r="L624">
        <f>YEAR(Coffe_sales[[#This Row],[Date]])</f>
        <v>2024</v>
      </c>
    </row>
    <row r="625" spans="1:12" x14ac:dyDescent="0.2">
      <c r="A625" t="s">
        <v>30</v>
      </c>
      <c r="B625" t="s">
        <v>12</v>
      </c>
      <c r="C625">
        <v>32.82</v>
      </c>
      <c r="D625" t="s">
        <v>26</v>
      </c>
      <c r="E625" t="s">
        <v>29</v>
      </c>
      <c r="F625" t="s">
        <v>50</v>
      </c>
      <c r="G625" t="s">
        <v>144</v>
      </c>
      <c r="H625" t="s">
        <v>18</v>
      </c>
      <c r="I625" t="s">
        <v>33</v>
      </c>
      <c r="J625" t="s">
        <v>149</v>
      </c>
      <c r="K625" s="1">
        <v>0.8221953125</v>
      </c>
      <c r="L625">
        <f>YEAR(Coffe_sales[[#This Row],[Date]])</f>
        <v>2024</v>
      </c>
    </row>
    <row r="626" spans="1:12" x14ac:dyDescent="0.2">
      <c r="A626" t="s">
        <v>30</v>
      </c>
      <c r="B626" t="s">
        <v>12</v>
      </c>
      <c r="C626">
        <v>37.72</v>
      </c>
      <c r="D626" t="s">
        <v>13</v>
      </c>
      <c r="E626" t="s">
        <v>29</v>
      </c>
      <c r="F626" t="s">
        <v>50</v>
      </c>
      <c r="G626" t="s">
        <v>144</v>
      </c>
      <c r="H626" t="s">
        <v>18</v>
      </c>
      <c r="I626" t="s">
        <v>33</v>
      </c>
      <c r="J626" t="s">
        <v>149</v>
      </c>
      <c r="K626" s="1">
        <v>0.83325841435185188</v>
      </c>
      <c r="L626">
        <f>YEAR(Coffe_sales[[#This Row],[Date]])</f>
        <v>2024</v>
      </c>
    </row>
    <row r="627" spans="1:12" x14ac:dyDescent="0.2">
      <c r="A627" t="s">
        <v>91</v>
      </c>
      <c r="B627" t="s">
        <v>12</v>
      </c>
      <c r="C627">
        <v>37.72</v>
      </c>
      <c r="D627" t="s">
        <v>31</v>
      </c>
      <c r="E627" t="s">
        <v>29</v>
      </c>
      <c r="F627" t="s">
        <v>50</v>
      </c>
      <c r="G627" t="s">
        <v>144</v>
      </c>
      <c r="H627" t="s">
        <v>18</v>
      </c>
      <c r="I627" t="s">
        <v>33</v>
      </c>
      <c r="J627" t="s">
        <v>149</v>
      </c>
      <c r="K627" s="1">
        <v>0.84082896990740741</v>
      </c>
      <c r="L627">
        <f>YEAR(Coffe_sales[[#This Row],[Date]])</f>
        <v>2024</v>
      </c>
    </row>
    <row r="628" spans="1:12" x14ac:dyDescent="0.2">
      <c r="A628" t="s">
        <v>91</v>
      </c>
      <c r="B628" t="s">
        <v>12</v>
      </c>
      <c r="C628">
        <v>27.92</v>
      </c>
      <c r="D628" t="s">
        <v>41</v>
      </c>
      <c r="E628" t="s">
        <v>29</v>
      </c>
      <c r="F628" t="s">
        <v>50</v>
      </c>
      <c r="G628" t="s">
        <v>144</v>
      </c>
      <c r="H628" t="s">
        <v>18</v>
      </c>
      <c r="I628" t="s">
        <v>33</v>
      </c>
      <c r="J628" t="s">
        <v>149</v>
      </c>
      <c r="K628" s="1">
        <v>0.84168585648148153</v>
      </c>
      <c r="L628">
        <f>YEAR(Coffe_sales[[#This Row],[Date]])</f>
        <v>2024</v>
      </c>
    </row>
    <row r="629" spans="1:12" x14ac:dyDescent="0.2">
      <c r="A629" t="s">
        <v>123</v>
      </c>
      <c r="B629" t="s">
        <v>12</v>
      </c>
      <c r="C629">
        <v>32.82</v>
      </c>
      <c r="D629" t="s">
        <v>26</v>
      </c>
      <c r="E629" t="s">
        <v>14</v>
      </c>
      <c r="F629" t="s">
        <v>53</v>
      </c>
      <c r="G629" t="s">
        <v>144</v>
      </c>
      <c r="H629" t="s">
        <v>54</v>
      </c>
      <c r="I629" t="s">
        <v>33</v>
      </c>
      <c r="J629" t="s">
        <v>150</v>
      </c>
      <c r="K629" s="1">
        <v>0.3700966550925926</v>
      </c>
      <c r="L629">
        <f>YEAR(Coffe_sales[[#This Row],[Date]])</f>
        <v>2024</v>
      </c>
    </row>
    <row r="630" spans="1:12" x14ac:dyDescent="0.2">
      <c r="A630" t="s">
        <v>123</v>
      </c>
      <c r="B630" t="s">
        <v>12</v>
      </c>
      <c r="C630">
        <v>32.82</v>
      </c>
      <c r="D630" t="s">
        <v>26</v>
      </c>
      <c r="E630" t="s">
        <v>14</v>
      </c>
      <c r="F630" t="s">
        <v>53</v>
      </c>
      <c r="G630" t="s">
        <v>144</v>
      </c>
      <c r="H630" t="s">
        <v>54</v>
      </c>
      <c r="I630" t="s">
        <v>33</v>
      </c>
      <c r="J630" t="s">
        <v>150</v>
      </c>
      <c r="K630" s="1">
        <v>0.37093119212962961</v>
      </c>
      <c r="L630">
        <f>YEAR(Coffe_sales[[#This Row],[Date]])</f>
        <v>2024</v>
      </c>
    </row>
    <row r="631" spans="1:12" x14ac:dyDescent="0.2">
      <c r="A631" t="s">
        <v>11</v>
      </c>
      <c r="B631" t="s">
        <v>12</v>
      </c>
      <c r="C631">
        <v>37.72</v>
      </c>
      <c r="D631" t="s">
        <v>13</v>
      </c>
      <c r="E631" t="s">
        <v>14</v>
      </c>
      <c r="F631" t="s">
        <v>53</v>
      </c>
      <c r="G631" t="s">
        <v>144</v>
      </c>
      <c r="H631" t="s">
        <v>54</v>
      </c>
      <c r="I631" t="s">
        <v>33</v>
      </c>
      <c r="J631" t="s">
        <v>150</v>
      </c>
      <c r="K631" s="1">
        <v>0.44177855324074072</v>
      </c>
      <c r="L631">
        <f>YEAR(Coffe_sales[[#This Row],[Date]])</f>
        <v>2024</v>
      </c>
    </row>
    <row r="632" spans="1:12" x14ac:dyDescent="0.2">
      <c r="A632" t="s">
        <v>20</v>
      </c>
      <c r="B632" t="s">
        <v>12</v>
      </c>
      <c r="C632">
        <v>27.92</v>
      </c>
      <c r="D632" t="s">
        <v>24</v>
      </c>
      <c r="E632" t="s">
        <v>22</v>
      </c>
      <c r="F632" t="s">
        <v>53</v>
      </c>
      <c r="G632" t="s">
        <v>144</v>
      </c>
      <c r="H632" t="s">
        <v>54</v>
      </c>
      <c r="I632" t="s">
        <v>33</v>
      </c>
      <c r="J632" t="s">
        <v>150</v>
      </c>
      <c r="K632" s="1">
        <v>0.51228557870370373</v>
      </c>
      <c r="L632">
        <f>YEAR(Coffe_sales[[#This Row],[Date]])</f>
        <v>2024</v>
      </c>
    </row>
    <row r="633" spans="1:12" x14ac:dyDescent="0.2">
      <c r="A633" t="s">
        <v>25</v>
      </c>
      <c r="B633" t="s">
        <v>12</v>
      </c>
      <c r="C633">
        <v>32.82</v>
      </c>
      <c r="D633" t="s">
        <v>26</v>
      </c>
      <c r="E633" t="s">
        <v>22</v>
      </c>
      <c r="F633" t="s">
        <v>53</v>
      </c>
      <c r="G633" t="s">
        <v>144</v>
      </c>
      <c r="H633" t="s">
        <v>54</v>
      </c>
      <c r="I633" t="s">
        <v>33</v>
      </c>
      <c r="J633" t="s">
        <v>150</v>
      </c>
      <c r="K633" s="1">
        <v>0.63280306712962964</v>
      </c>
      <c r="L633">
        <f>YEAR(Coffe_sales[[#This Row],[Date]])</f>
        <v>2024</v>
      </c>
    </row>
    <row r="634" spans="1:12" x14ac:dyDescent="0.2">
      <c r="A634" t="s">
        <v>25</v>
      </c>
      <c r="B634" t="s">
        <v>12</v>
      </c>
      <c r="C634">
        <v>37.72</v>
      </c>
      <c r="D634" t="s">
        <v>52</v>
      </c>
      <c r="E634" t="s">
        <v>22</v>
      </c>
      <c r="F634" t="s">
        <v>53</v>
      </c>
      <c r="G634" t="s">
        <v>144</v>
      </c>
      <c r="H634" t="s">
        <v>54</v>
      </c>
      <c r="I634" t="s">
        <v>33</v>
      </c>
      <c r="J634" t="s">
        <v>150</v>
      </c>
      <c r="K634" s="1">
        <v>0.64173866898148146</v>
      </c>
      <c r="L634">
        <f>YEAR(Coffe_sales[[#This Row],[Date]])</f>
        <v>2024</v>
      </c>
    </row>
    <row r="635" spans="1:12" x14ac:dyDescent="0.2">
      <c r="A635" t="s">
        <v>131</v>
      </c>
      <c r="B635" t="s">
        <v>12</v>
      </c>
      <c r="C635">
        <v>37.72</v>
      </c>
      <c r="D635" t="s">
        <v>13</v>
      </c>
      <c r="E635" t="s">
        <v>29</v>
      </c>
      <c r="F635" t="s">
        <v>53</v>
      </c>
      <c r="G635" t="s">
        <v>144</v>
      </c>
      <c r="H635" t="s">
        <v>54</v>
      </c>
      <c r="I635" t="s">
        <v>33</v>
      </c>
      <c r="J635" t="s">
        <v>150</v>
      </c>
      <c r="K635" s="1">
        <v>0.88478127314814814</v>
      </c>
      <c r="L635">
        <f>YEAR(Coffe_sales[[#This Row],[Date]])</f>
        <v>2024</v>
      </c>
    </row>
    <row r="636" spans="1:12" x14ac:dyDescent="0.2">
      <c r="A636" t="s">
        <v>131</v>
      </c>
      <c r="B636" t="s">
        <v>12</v>
      </c>
      <c r="C636">
        <v>37.72</v>
      </c>
      <c r="D636" t="s">
        <v>13</v>
      </c>
      <c r="E636" t="s">
        <v>29</v>
      </c>
      <c r="F636" t="s">
        <v>53</v>
      </c>
      <c r="G636" t="s">
        <v>144</v>
      </c>
      <c r="H636" t="s">
        <v>54</v>
      </c>
      <c r="I636" t="s">
        <v>33</v>
      </c>
      <c r="J636" t="s">
        <v>150</v>
      </c>
      <c r="K636" s="1">
        <v>0.88590540509259263</v>
      </c>
      <c r="L636">
        <f>YEAR(Coffe_sales[[#This Row],[Date]])</f>
        <v>2024</v>
      </c>
    </row>
    <row r="637" spans="1:12" x14ac:dyDescent="0.2">
      <c r="A637" t="s">
        <v>131</v>
      </c>
      <c r="B637" t="s">
        <v>12</v>
      </c>
      <c r="C637">
        <v>37.72</v>
      </c>
      <c r="D637" t="s">
        <v>52</v>
      </c>
      <c r="E637" t="s">
        <v>29</v>
      </c>
      <c r="F637" t="s">
        <v>53</v>
      </c>
      <c r="G637" t="s">
        <v>144</v>
      </c>
      <c r="H637" t="s">
        <v>54</v>
      </c>
      <c r="I637" t="s">
        <v>33</v>
      </c>
      <c r="J637" t="s">
        <v>150</v>
      </c>
      <c r="K637" s="1">
        <v>0.88780917824074079</v>
      </c>
      <c r="L637">
        <f>YEAR(Coffe_sales[[#This Row],[Date]])</f>
        <v>2024</v>
      </c>
    </row>
    <row r="638" spans="1:12" x14ac:dyDescent="0.2">
      <c r="A638" t="s">
        <v>131</v>
      </c>
      <c r="B638" t="s">
        <v>12</v>
      </c>
      <c r="C638">
        <v>32.82</v>
      </c>
      <c r="D638" t="s">
        <v>26</v>
      </c>
      <c r="E638" t="s">
        <v>29</v>
      </c>
      <c r="F638" t="s">
        <v>53</v>
      </c>
      <c r="G638" t="s">
        <v>144</v>
      </c>
      <c r="H638" t="s">
        <v>54</v>
      </c>
      <c r="I638" t="s">
        <v>33</v>
      </c>
      <c r="J638" t="s">
        <v>150</v>
      </c>
      <c r="K638" s="1">
        <v>0.88854671296296295</v>
      </c>
      <c r="L638">
        <f>YEAR(Coffe_sales[[#This Row],[Date]])</f>
        <v>2024</v>
      </c>
    </row>
    <row r="639" spans="1:12" x14ac:dyDescent="0.2">
      <c r="A639" t="s">
        <v>131</v>
      </c>
      <c r="B639" t="s">
        <v>12</v>
      </c>
      <c r="C639">
        <v>37.72</v>
      </c>
      <c r="D639" t="s">
        <v>13</v>
      </c>
      <c r="E639" t="s">
        <v>29</v>
      </c>
      <c r="F639" t="s">
        <v>53</v>
      </c>
      <c r="G639" t="s">
        <v>144</v>
      </c>
      <c r="H639" t="s">
        <v>54</v>
      </c>
      <c r="I639" t="s">
        <v>33</v>
      </c>
      <c r="J639" t="s">
        <v>150</v>
      </c>
      <c r="K639" s="1">
        <v>0.88963472222222217</v>
      </c>
      <c r="L639">
        <f>YEAR(Coffe_sales[[#This Row],[Date]])</f>
        <v>2024</v>
      </c>
    </row>
    <row r="640" spans="1:12" x14ac:dyDescent="0.2">
      <c r="A640" t="s">
        <v>123</v>
      </c>
      <c r="B640" t="s">
        <v>12</v>
      </c>
      <c r="C640">
        <v>37.72</v>
      </c>
      <c r="D640" t="s">
        <v>52</v>
      </c>
      <c r="E640" t="s">
        <v>14</v>
      </c>
      <c r="F640" t="s">
        <v>15</v>
      </c>
      <c r="G640" t="s">
        <v>144</v>
      </c>
      <c r="H640" t="s">
        <v>17</v>
      </c>
      <c r="I640" t="s">
        <v>33</v>
      </c>
      <c r="J640" t="s">
        <v>151</v>
      </c>
      <c r="K640" s="1">
        <v>0.34588305555555554</v>
      </c>
      <c r="L640">
        <f>YEAR(Coffe_sales[[#This Row],[Date]])</f>
        <v>2024</v>
      </c>
    </row>
    <row r="641" spans="1:12" x14ac:dyDescent="0.2">
      <c r="A641" t="s">
        <v>11</v>
      </c>
      <c r="B641" t="s">
        <v>12</v>
      </c>
      <c r="C641">
        <v>23.02</v>
      </c>
      <c r="D641" t="s">
        <v>45</v>
      </c>
      <c r="E641" t="s">
        <v>14</v>
      </c>
      <c r="F641" t="s">
        <v>15</v>
      </c>
      <c r="G641" t="s">
        <v>144</v>
      </c>
      <c r="H641" t="s">
        <v>17</v>
      </c>
      <c r="I641" t="s">
        <v>33</v>
      </c>
      <c r="J641" t="s">
        <v>151</v>
      </c>
      <c r="K641" s="1">
        <v>0.44129750000000001</v>
      </c>
      <c r="L641">
        <f>YEAR(Coffe_sales[[#This Row],[Date]])</f>
        <v>2024</v>
      </c>
    </row>
    <row r="642" spans="1:12" x14ac:dyDescent="0.2">
      <c r="A642" t="s">
        <v>23</v>
      </c>
      <c r="B642" t="s">
        <v>12</v>
      </c>
      <c r="C642">
        <v>32.82</v>
      </c>
      <c r="D642" t="s">
        <v>26</v>
      </c>
      <c r="E642" t="s">
        <v>22</v>
      </c>
      <c r="F642" t="s">
        <v>15</v>
      </c>
      <c r="G642" t="s">
        <v>144</v>
      </c>
      <c r="H642" t="s">
        <v>17</v>
      </c>
      <c r="I642" t="s">
        <v>33</v>
      </c>
      <c r="J642" t="s">
        <v>151</v>
      </c>
      <c r="K642" s="1">
        <v>0.56548954861111111</v>
      </c>
      <c r="L642">
        <f>YEAR(Coffe_sales[[#This Row],[Date]])</f>
        <v>2024</v>
      </c>
    </row>
    <row r="643" spans="1:12" x14ac:dyDescent="0.2">
      <c r="A643" t="s">
        <v>27</v>
      </c>
      <c r="B643" t="s">
        <v>12</v>
      </c>
      <c r="C643">
        <v>27.92</v>
      </c>
      <c r="D643" t="s">
        <v>41</v>
      </c>
      <c r="E643" t="s">
        <v>22</v>
      </c>
      <c r="F643" t="s">
        <v>15</v>
      </c>
      <c r="G643" t="s">
        <v>144</v>
      </c>
      <c r="H643" t="s">
        <v>17</v>
      </c>
      <c r="I643" t="s">
        <v>33</v>
      </c>
      <c r="J643" t="s">
        <v>151</v>
      </c>
      <c r="K643" s="1">
        <v>0.6984053009259259</v>
      </c>
      <c r="L643">
        <f>YEAR(Coffe_sales[[#This Row],[Date]])</f>
        <v>2024</v>
      </c>
    </row>
    <row r="644" spans="1:12" x14ac:dyDescent="0.2">
      <c r="A644" t="s">
        <v>27</v>
      </c>
      <c r="B644" t="s">
        <v>12</v>
      </c>
      <c r="C644">
        <v>27.92</v>
      </c>
      <c r="D644" t="s">
        <v>41</v>
      </c>
      <c r="E644" t="s">
        <v>22</v>
      </c>
      <c r="F644" t="s">
        <v>15</v>
      </c>
      <c r="G644" t="s">
        <v>144</v>
      </c>
      <c r="H644" t="s">
        <v>17</v>
      </c>
      <c r="I644" t="s">
        <v>33</v>
      </c>
      <c r="J644" t="s">
        <v>151</v>
      </c>
      <c r="K644" s="1">
        <v>0.69948473379629628</v>
      </c>
      <c r="L644">
        <f>YEAR(Coffe_sales[[#This Row],[Date]])</f>
        <v>2024</v>
      </c>
    </row>
    <row r="645" spans="1:12" x14ac:dyDescent="0.2">
      <c r="A645" t="s">
        <v>46</v>
      </c>
      <c r="B645" t="s">
        <v>12</v>
      </c>
      <c r="C645">
        <v>27.92</v>
      </c>
      <c r="D645" t="s">
        <v>41</v>
      </c>
      <c r="E645" t="s">
        <v>14</v>
      </c>
      <c r="F645" t="s">
        <v>32</v>
      </c>
      <c r="G645" t="s">
        <v>144</v>
      </c>
      <c r="H645" t="s">
        <v>33</v>
      </c>
      <c r="I645" t="s">
        <v>33</v>
      </c>
      <c r="J645" t="s">
        <v>152</v>
      </c>
      <c r="K645" s="1">
        <v>0.37800944444444445</v>
      </c>
      <c r="L645">
        <f>YEAR(Coffe_sales[[#This Row],[Date]])</f>
        <v>2024</v>
      </c>
    </row>
    <row r="646" spans="1:12" x14ac:dyDescent="0.2">
      <c r="A646" t="s">
        <v>46</v>
      </c>
      <c r="B646" t="s">
        <v>12</v>
      </c>
      <c r="C646">
        <v>32.82</v>
      </c>
      <c r="D646" t="s">
        <v>26</v>
      </c>
      <c r="E646" t="s">
        <v>14</v>
      </c>
      <c r="F646" t="s">
        <v>32</v>
      </c>
      <c r="G646" t="s">
        <v>144</v>
      </c>
      <c r="H646" t="s">
        <v>33</v>
      </c>
      <c r="I646" t="s">
        <v>33</v>
      </c>
      <c r="J646" t="s">
        <v>152</v>
      </c>
      <c r="K646" s="1">
        <v>0.39318472222222223</v>
      </c>
      <c r="L646">
        <f>YEAR(Coffe_sales[[#This Row],[Date]])</f>
        <v>2024</v>
      </c>
    </row>
    <row r="647" spans="1:12" x14ac:dyDescent="0.2">
      <c r="A647" t="s">
        <v>91</v>
      </c>
      <c r="B647" t="s">
        <v>12</v>
      </c>
      <c r="C647">
        <v>37.72</v>
      </c>
      <c r="D647" t="s">
        <v>52</v>
      </c>
      <c r="E647" t="s">
        <v>29</v>
      </c>
      <c r="F647" t="s">
        <v>32</v>
      </c>
      <c r="G647" t="s">
        <v>144</v>
      </c>
      <c r="H647" t="s">
        <v>33</v>
      </c>
      <c r="I647" t="s">
        <v>33</v>
      </c>
      <c r="J647" t="s">
        <v>152</v>
      </c>
      <c r="K647" s="1">
        <v>0.85062870370370369</v>
      </c>
      <c r="L647">
        <f>YEAR(Coffe_sales[[#This Row],[Date]])</f>
        <v>2024</v>
      </c>
    </row>
    <row r="648" spans="1:12" x14ac:dyDescent="0.2">
      <c r="A648" t="s">
        <v>91</v>
      </c>
      <c r="B648" t="s">
        <v>12</v>
      </c>
      <c r="C648">
        <v>37.72</v>
      </c>
      <c r="D648" t="s">
        <v>52</v>
      </c>
      <c r="E648" t="s">
        <v>29</v>
      </c>
      <c r="F648" t="s">
        <v>32</v>
      </c>
      <c r="G648" t="s">
        <v>144</v>
      </c>
      <c r="H648" t="s">
        <v>33</v>
      </c>
      <c r="I648" t="s">
        <v>33</v>
      </c>
      <c r="J648" t="s">
        <v>152</v>
      </c>
      <c r="K648" s="1">
        <v>0.85134624999999997</v>
      </c>
      <c r="L648">
        <f>YEAR(Coffe_sales[[#This Row],[Date]])</f>
        <v>2024</v>
      </c>
    </row>
    <row r="649" spans="1:12" x14ac:dyDescent="0.2">
      <c r="A649" t="s">
        <v>123</v>
      </c>
      <c r="B649" t="s">
        <v>12</v>
      </c>
      <c r="C649">
        <v>37.72</v>
      </c>
      <c r="D649" t="s">
        <v>13</v>
      </c>
      <c r="E649" t="s">
        <v>14</v>
      </c>
      <c r="F649" t="s">
        <v>38</v>
      </c>
      <c r="G649" t="s">
        <v>144</v>
      </c>
      <c r="H649" t="s">
        <v>39</v>
      </c>
      <c r="I649" t="s">
        <v>33</v>
      </c>
      <c r="J649" t="s">
        <v>153</v>
      </c>
      <c r="K649" s="1">
        <v>0.34436064814814815</v>
      </c>
      <c r="L649">
        <f>YEAR(Coffe_sales[[#This Row],[Date]])</f>
        <v>2024</v>
      </c>
    </row>
    <row r="650" spans="1:12" x14ac:dyDescent="0.2">
      <c r="A650" t="s">
        <v>11</v>
      </c>
      <c r="B650" t="s">
        <v>12</v>
      </c>
      <c r="C650">
        <v>37.72</v>
      </c>
      <c r="D650" t="s">
        <v>13</v>
      </c>
      <c r="E650" t="s">
        <v>14</v>
      </c>
      <c r="F650" t="s">
        <v>38</v>
      </c>
      <c r="G650" t="s">
        <v>144</v>
      </c>
      <c r="H650" t="s">
        <v>39</v>
      </c>
      <c r="I650" t="s">
        <v>33</v>
      </c>
      <c r="J650" t="s">
        <v>153</v>
      </c>
      <c r="K650" s="1">
        <v>0.43755163194444446</v>
      </c>
      <c r="L650">
        <f>YEAR(Coffe_sales[[#This Row],[Date]])</f>
        <v>2024</v>
      </c>
    </row>
    <row r="651" spans="1:12" x14ac:dyDescent="0.2">
      <c r="A651" t="s">
        <v>11</v>
      </c>
      <c r="B651" t="s">
        <v>12</v>
      </c>
      <c r="C651">
        <v>37.72</v>
      </c>
      <c r="D651" t="s">
        <v>52</v>
      </c>
      <c r="E651" t="s">
        <v>14</v>
      </c>
      <c r="F651" t="s">
        <v>38</v>
      </c>
      <c r="G651" t="s">
        <v>144</v>
      </c>
      <c r="H651" t="s">
        <v>39</v>
      </c>
      <c r="I651" t="s">
        <v>33</v>
      </c>
      <c r="J651" t="s">
        <v>153</v>
      </c>
      <c r="K651" s="1">
        <v>0.4528448726851852</v>
      </c>
      <c r="L651">
        <f>YEAR(Coffe_sales[[#This Row],[Date]])</f>
        <v>2024</v>
      </c>
    </row>
    <row r="652" spans="1:12" x14ac:dyDescent="0.2">
      <c r="A652" t="s">
        <v>35</v>
      </c>
      <c r="B652" t="s">
        <v>12</v>
      </c>
      <c r="C652">
        <v>27.92</v>
      </c>
      <c r="D652" t="s">
        <v>41</v>
      </c>
      <c r="E652" t="s">
        <v>14</v>
      </c>
      <c r="F652" t="s">
        <v>38</v>
      </c>
      <c r="G652" t="s">
        <v>144</v>
      </c>
      <c r="H652" t="s">
        <v>39</v>
      </c>
      <c r="I652" t="s">
        <v>33</v>
      </c>
      <c r="J652" t="s">
        <v>153</v>
      </c>
      <c r="K652" s="1">
        <v>0.46158918981481484</v>
      </c>
      <c r="L652">
        <f>YEAR(Coffe_sales[[#This Row],[Date]])</f>
        <v>2024</v>
      </c>
    </row>
    <row r="653" spans="1:12" x14ac:dyDescent="0.2">
      <c r="A653" t="s">
        <v>35</v>
      </c>
      <c r="B653" t="s">
        <v>12</v>
      </c>
      <c r="C653">
        <v>23.02</v>
      </c>
      <c r="D653" t="s">
        <v>45</v>
      </c>
      <c r="E653" t="s">
        <v>14</v>
      </c>
      <c r="F653" t="s">
        <v>38</v>
      </c>
      <c r="G653" t="s">
        <v>144</v>
      </c>
      <c r="H653" t="s">
        <v>39</v>
      </c>
      <c r="I653" t="s">
        <v>33</v>
      </c>
      <c r="J653" t="s">
        <v>153</v>
      </c>
      <c r="K653" s="1">
        <v>0.46328828703703706</v>
      </c>
      <c r="L653">
        <f>YEAR(Coffe_sales[[#This Row],[Date]])</f>
        <v>2024</v>
      </c>
    </row>
    <row r="654" spans="1:12" x14ac:dyDescent="0.2">
      <c r="A654" t="s">
        <v>35</v>
      </c>
      <c r="B654" t="s">
        <v>12</v>
      </c>
      <c r="C654">
        <v>37.72</v>
      </c>
      <c r="D654" t="s">
        <v>52</v>
      </c>
      <c r="E654" t="s">
        <v>14</v>
      </c>
      <c r="F654" t="s">
        <v>38</v>
      </c>
      <c r="G654" t="s">
        <v>144</v>
      </c>
      <c r="H654" t="s">
        <v>39</v>
      </c>
      <c r="I654" t="s">
        <v>33</v>
      </c>
      <c r="J654" t="s">
        <v>153</v>
      </c>
      <c r="K654" s="1">
        <v>0.49501870370370371</v>
      </c>
      <c r="L654">
        <f>YEAR(Coffe_sales[[#This Row],[Date]])</f>
        <v>2024</v>
      </c>
    </row>
    <row r="655" spans="1:12" x14ac:dyDescent="0.2">
      <c r="A655" t="s">
        <v>20</v>
      </c>
      <c r="B655" t="s">
        <v>12</v>
      </c>
      <c r="C655">
        <v>32.82</v>
      </c>
      <c r="D655" t="s">
        <v>26</v>
      </c>
      <c r="E655" t="s">
        <v>22</v>
      </c>
      <c r="F655" t="s">
        <v>38</v>
      </c>
      <c r="G655" t="s">
        <v>144</v>
      </c>
      <c r="H655" t="s">
        <v>39</v>
      </c>
      <c r="I655" t="s">
        <v>33</v>
      </c>
      <c r="J655" t="s">
        <v>153</v>
      </c>
      <c r="K655" s="1">
        <v>0.50791249999999999</v>
      </c>
      <c r="L655">
        <f>YEAR(Coffe_sales[[#This Row],[Date]])</f>
        <v>2024</v>
      </c>
    </row>
    <row r="656" spans="1:12" x14ac:dyDescent="0.2">
      <c r="A656" t="s">
        <v>20</v>
      </c>
      <c r="B656" t="s">
        <v>12</v>
      </c>
      <c r="C656">
        <v>37.72</v>
      </c>
      <c r="D656" t="s">
        <v>13</v>
      </c>
      <c r="E656" t="s">
        <v>22</v>
      </c>
      <c r="F656" t="s">
        <v>38</v>
      </c>
      <c r="G656" t="s">
        <v>144</v>
      </c>
      <c r="H656" t="s">
        <v>39</v>
      </c>
      <c r="I656" t="s">
        <v>33</v>
      </c>
      <c r="J656" t="s">
        <v>153</v>
      </c>
      <c r="K656" s="1">
        <v>0.50912114583333334</v>
      </c>
      <c r="L656">
        <f>YEAR(Coffe_sales[[#This Row],[Date]])</f>
        <v>2024</v>
      </c>
    </row>
    <row r="657" spans="1:12" x14ac:dyDescent="0.2">
      <c r="A657" t="s">
        <v>20</v>
      </c>
      <c r="B657" t="s">
        <v>12</v>
      </c>
      <c r="C657">
        <v>37.72</v>
      </c>
      <c r="D657" t="s">
        <v>13</v>
      </c>
      <c r="E657" t="s">
        <v>22</v>
      </c>
      <c r="F657" t="s">
        <v>38</v>
      </c>
      <c r="G657" t="s">
        <v>144</v>
      </c>
      <c r="H657" t="s">
        <v>39</v>
      </c>
      <c r="I657" t="s">
        <v>33</v>
      </c>
      <c r="J657" t="s">
        <v>153</v>
      </c>
      <c r="K657" s="1">
        <v>0.50984702546296301</v>
      </c>
      <c r="L657">
        <f>YEAR(Coffe_sales[[#This Row],[Date]])</f>
        <v>2024</v>
      </c>
    </row>
    <row r="658" spans="1:12" x14ac:dyDescent="0.2">
      <c r="A658" t="s">
        <v>25</v>
      </c>
      <c r="B658" t="s">
        <v>12</v>
      </c>
      <c r="C658">
        <v>27.92</v>
      </c>
      <c r="D658" t="s">
        <v>41</v>
      </c>
      <c r="E658" t="s">
        <v>22</v>
      </c>
      <c r="F658" t="s">
        <v>38</v>
      </c>
      <c r="G658" t="s">
        <v>144</v>
      </c>
      <c r="H658" t="s">
        <v>39</v>
      </c>
      <c r="I658" t="s">
        <v>33</v>
      </c>
      <c r="J658" t="s">
        <v>153</v>
      </c>
      <c r="K658" s="1">
        <v>0.63229967592592595</v>
      </c>
      <c r="L658">
        <f>YEAR(Coffe_sales[[#This Row],[Date]])</f>
        <v>2024</v>
      </c>
    </row>
    <row r="659" spans="1:12" x14ac:dyDescent="0.2">
      <c r="A659" t="s">
        <v>27</v>
      </c>
      <c r="B659" t="s">
        <v>12</v>
      </c>
      <c r="C659">
        <v>37.72</v>
      </c>
      <c r="D659" t="s">
        <v>52</v>
      </c>
      <c r="E659" t="s">
        <v>22</v>
      </c>
      <c r="F659" t="s">
        <v>38</v>
      </c>
      <c r="G659" t="s">
        <v>144</v>
      </c>
      <c r="H659" t="s">
        <v>39</v>
      </c>
      <c r="I659" t="s">
        <v>33</v>
      </c>
      <c r="J659" t="s">
        <v>153</v>
      </c>
      <c r="K659" s="1">
        <v>0.67879848379629626</v>
      </c>
      <c r="L659">
        <f>YEAR(Coffe_sales[[#This Row],[Date]])</f>
        <v>2024</v>
      </c>
    </row>
    <row r="660" spans="1:12" x14ac:dyDescent="0.2">
      <c r="A660" t="s">
        <v>30</v>
      </c>
      <c r="B660" t="s">
        <v>12</v>
      </c>
      <c r="C660">
        <v>32.82</v>
      </c>
      <c r="D660" t="s">
        <v>26</v>
      </c>
      <c r="E660" t="s">
        <v>29</v>
      </c>
      <c r="F660" t="s">
        <v>38</v>
      </c>
      <c r="G660" t="s">
        <v>144</v>
      </c>
      <c r="H660" t="s">
        <v>39</v>
      </c>
      <c r="I660" t="s">
        <v>33</v>
      </c>
      <c r="J660" t="s">
        <v>153</v>
      </c>
      <c r="K660" s="1">
        <v>0.80647311342592598</v>
      </c>
      <c r="L660">
        <f>YEAR(Coffe_sales[[#This Row],[Date]])</f>
        <v>2024</v>
      </c>
    </row>
    <row r="661" spans="1:12" x14ac:dyDescent="0.2">
      <c r="A661" t="s">
        <v>131</v>
      </c>
      <c r="B661" t="s">
        <v>12</v>
      </c>
      <c r="C661">
        <v>27.92</v>
      </c>
      <c r="D661" t="s">
        <v>24</v>
      </c>
      <c r="E661" t="s">
        <v>29</v>
      </c>
      <c r="F661" t="s">
        <v>38</v>
      </c>
      <c r="G661" t="s">
        <v>144</v>
      </c>
      <c r="H661" t="s">
        <v>39</v>
      </c>
      <c r="I661" t="s">
        <v>33</v>
      </c>
      <c r="J661" t="s">
        <v>153</v>
      </c>
      <c r="K661" s="1">
        <v>0.87857458333333338</v>
      </c>
      <c r="L661">
        <f>YEAR(Coffe_sales[[#This Row],[Date]])</f>
        <v>2024</v>
      </c>
    </row>
    <row r="662" spans="1:12" x14ac:dyDescent="0.2">
      <c r="A662" t="s">
        <v>20</v>
      </c>
      <c r="B662" t="s">
        <v>12</v>
      </c>
      <c r="C662">
        <v>37.72</v>
      </c>
      <c r="D662" t="s">
        <v>52</v>
      </c>
      <c r="E662" t="s">
        <v>22</v>
      </c>
      <c r="F662" t="s">
        <v>42</v>
      </c>
      <c r="G662" t="s">
        <v>144</v>
      </c>
      <c r="H662" t="s">
        <v>43</v>
      </c>
      <c r="I662" t="s">
        <v>33</v>
      </c>
      <c r="J662" t="s">
        <v>154</v>
      </c>
      <c r="K662" s="1">
        <v>0.53321598379629631</v>
      </c>
      <c r="L662">
        <f>YEAR(Coffe_sales[[#This Row],[Date]])</f>
        <v>2024</v>
      </c>
    </row>
    <row r="663" spans="1:12" x14ac:dyDescent="0.2">
      <c r="A663" t="s">
        <v>20</v>
      </c>
      <c r="B663" t="s">
        <v>12</v>
      </c>
      <c r="C663">
        <v>37.72</v>
      </c>
      <c r="D663" t="s">
        <v>13</v>
      </c>
      <c r="E663" t="s">
        <v>22</v>
      </c>
      <c r="F663" t="s">
        <v>42</v>
      </c>
      <c r="G663" t="s">
        <v>144</v>
      </c>
      <c r="H663" t="s">
        <v>43</v>
      </c>
      <c r="I663" t="s">
        <v>33</v>
      </c>
      <c r="J663" t="s">
        <v>154</v>
      </c>
      <c r="K663" s="1">
        <v>0.53944754629629632</v>
      </c>
      <c r="L663">
        <f>YEAR(Coffe_sales[[#This Row],[Date]])</f>
        <v>2024</v>
      </c>
    </row>
    <row r="664" spans="1:12" x14ac:dyDescent="0.2">
      <c r="A664" t="s">
        <v>30</v>
      </c>
      <c r="B664" t="s">
        <v>12</v>
      </c>
      <c r="C664">
        <v>37.72</v>
      </c>
      <c r="D664" t="s">
        <v>21</v>
      </c>
      <c r="E664" t="s">
        <v>29</v>
      </c>
      <c r="F664" t="s">
        <v>42</v>
      </c>
      <c r="G664" t="s">
        <v>144</v>
      </c>
      <c r="H664" t="s">
        <v>43</v>
      </c>
      <c r="I664" t="s">
        <v>33</v>
      </c>
      <c r="J664" t="s">
        <v>154</v>
      </c>
      <c r="K664" s="1">
        <v>0.79476974537037037</v>
      </c>
      <c r="L664">
        <f>YEAR(Coffe_sales[[#This Row],[Date]])</f>
        <v>2024</v>
      </c>
    </row>
    <row r="665" spans="1:12" x14ac:dyDescent="0.2">
      <c r="A665" t="s">
        <v>30</v>
      </c>
      <c r="B665" t="s">
        <v>12</v>
      </c>
      <c r="C665">
        <v>37.72</v>
      </c>
      <c r="D665" t="s">
        <v>21</v>
      </c>
      <c r="E665" t="s">
        <v>29</v>
      </c>
      <c r="F665" t="s">
        <v>42</v>
      </c>
      <c r="G665" t="s">
        <v>144</v>
      </c>
      <c r="H665" t="s">
        <v>43</v>
      </c>
      <c r="I665" t="s">
        <v>33</v>
      </c>
      <c r="J665" t="s">
        <v>154</v>
      </c>
      <c r="K665" s="1">
        <v>0.7954024305555556</v>
      </c>
      <c r="L665">
        <f>YEAR(Coffe_sales[[#This Row],[Date]])</f>
        <v>2024</v>
      </c>
    </row>
    <row r="666" spans="1:12" x14ac:dyDescent="0.2">
      <c r="A666" t="s">
        <v>30</v>
      </c>
      <c r="B666" t="s">
        <v>12</v>
      </c>
      <c r="C666">
        <v>37.72</v>
      </c>
      <c r="D666" t="s">
        <v>13</v>
      </c>
      <c r="E666" t="s">
        <v>29</v>
      </c>
      <c r="F666" t="s">
        <v>42</v>
      </c>
      <c r="G666" t="s">
        <v>144</v>
      </c>
      <c r="H666" t="s">
        <v>43</v>
      </c>
      <c r="I666" t="s">
        <v>33</v>
      </c>
      <c r="J666" t="s">
        <v>154</v>
      </c>
      <c r="K666" s="1">
        <v>0.81763428240740743</v>
      </c>
      <c r="L666">
        <f>YEAR(Coffe_sales[[#This Row],[Date]])</f>
        <v>2024</v>
      </c>
    </row>
    <row r="667" spans="1:12" x14ac:dyDescent="0.2">
      <c r="A667" t="s">
        <v>30</v>
      </c>
      <c r="B667" t="s">
        <v>12</v>
      </c>
      <c r="C667">
        <v>37.72</v>
      </c>
      <c r="D667" t="s">
        <v>13</v>
      </c>
      <c r="E667" t="s">
        <v>29</v>
      </c>
      <c r="F667" t="s">
        <v>42</v>
      </c>
      <c r="G667" t="s">
        <v>144</v>
      </c>
      <c r="H667" t="s">
        <v>43</v>
      </c>
      <c r="I667" t="s">
        <v>33</v>
      </c>
      <c r="J667" t="s">
        <v>154</v>
      </c>
      <c r="K667" s="1">
        <v>0.81828331018518519</v>
      </c>
      <c r="L667">
        <f>YEAR(Coffe_sales[[#This Row],[Date]])</f>
        <v>2024</v>
      </c>
    </row>
    <row r="668" spans="1:12" x14ac:dyDescent="0.2">
      <c r="A668" t="s">
        <v>11</v>
      </c>
      <c r="B668" t="s">
        <v>12</v>
      </c>
      <c r="C668">
        <v>32.82</v>
      </c>
      <c r="D668" t="s">
        <v>26</v>
      </c>
      <c r="E668" t="s">
        <v>14</v>
      </c>
      <c r="F668" t="s">
        <v>47</v>
      </c>
      <c r="G668" t="s">
        <v>144</v>
      </c>
      <c r="H668" t="s">
        <v>48</v>
      </c>
      <c r="I668" t="s">
        <v>33</v>
      </c>
      <c r="J668" t="s">
        <v>155</v>
      </c>
      <c r="K668" s="1">
        <v>0.44310130787037039</v>
      </c>
      <c r="L668">
        <f>YEAR(Coffe_sales[[#This Row],[Date]])</f>
        <v>2024</v>
      </c>
    </row>
    <row r="669" spans="1:12" x14ac:dyDescent="0.2">
      <c r="A669" t="s">
        <v>28</v>
      </c>
      <c r="B669" t="s">
        <v>12</v>
      </c>
      <c r="C669">
        <v>37.72</v>
      </c>
      <c r="D669" t="s">
        <v>13</v>
      </c>
      <c r="E669" t="s">
        <v>29</v>
      </c>
      <c r="F669" t="s">
        <v>47</v>
      </c>
      <c r="G669" t="s">
        <v>144</v>
      </c>
      <c r="H669" t="s">
        <v>48</v>
      </c>
      <c r="I669" t="s">
        <v>33</v>
      </c>
      <c r="J669" t="s">
        <v>155</v>
      </c>
      <c r="K669" s="1">
        <v>0.78362606481481478</v>
      </c>
      <c r="L669">
        <f>YEAR(Coffe_sales[[#This Row],[Date]])</f>
        <v>2024</v>
      </c>
    </row>
    <row r="670" spans="1:12" x14ac:dyDescent="0.2">
      <c r="A670" t="s">
        <v>28</v>
      </c>
      <c r="B670" t="s">
        <v>12</v>
      </c>
      <c r="C670">
        <v>37.72</v>
      </c>
      <c r="D670" t="s">
        <v>13</v>
      </c>
      <c r="E670" t="s">
        <v>29</v>
      </c>
      <c r="F670" t="s">
        <v>47</v>
      </c>
      <c r="G670" t="s">
        <v>144</v>
      </c>
      <c r="H670" t="s">
        <v>48</v>
      </c>
      <c r="I670" t="s">
        <v>33</v>
      </c>
      <c r="J670" t="s">
        <v>155</v>
      </c>
      <c r="K670" s="1">
        <v>0.78444939814814818</v>
      </c>
      <c r="L670">
        <f>YEAR(Coffe_sales[[#This Row],[Date]])</f>
        <v>2024</v>
      </c>
    </row>
    <row r="671" spans="1:12" x14ac:dyDescent="0.2">
      <c r="A671" t="s">
        <v>131</v>
      </c>
      <c r="B671" t="s">
        <v>12</v>
      </c>
      <c r="C671">
        <v>37.72</v>
      </c>
      <c r="D671" t="s">
        <v>21</v>
      </c>
      <c r="E671" t="s">
        <v>29</v>
      </c>
      <c r="F671" t="s">
        <v>47</v>
      </c>
      <c r="G671" t="s">
        <v>144</v>
      </c>
      <c r="H671" t="s">
        <v>48</v>
      </c>
      <c r="I671" t="s">
        <v>33</v>
      </c>
      <c r="J671" t="s">
        <v>155</v>
      </c>
      <c r="K671" s="1">
        <v>0.88684425925925925</v>
      </c>
      <c r="L671">
        <f>YEAR(Coffe_sales[[#This Row],[Date]])</f>
        <v>2024</v>
      </c>
    </row>
    <row r="672" spans="1:12" x14ac:dyDescent="0.2">
      <c r="A672" t="s">
        <v>131</v>
      </c>
      <c r="B672" t="s">
        <v>12</v>
      </c>
      <c r="C672">
        <v>32.82</v>
      </c>
      <c r="D672" t="s">
        <v>26</v>
      </c>
      <c r="E672" t="s">
        <v>29</v>
      </c>
      <c r="F672" t="s">
        <v>47</v>
      </c>
      <c r="G672" t="s">
        <v>144</v>
      </c>
      <c r="H672" t="s">
        <v>48</v>
      </c>
      <c r="I672" t="s">
        <v>33</v>
      </c>
      <c r="J672" t="s">
        <v>155</v>
      </c>
      <c r="K672" s="1">
        <v>0.89423495370370365</v>
      </c>
      <c r="L672">
        <f>YEAR(Coffe_sales[[#This Row],[Date]])</f>
        <v>2024</v>
      </c>
    </row>
    <row r="673" spans="1:12" x14ac:dyDescent="0.2">
      <c r="A673" t="s">
        <v>131</v>
      </c>
      <c r="B673" t="s">
        <v>12</v>
      </c>
      <c r="C673">
        <v>32.82</v>
      </c>
      <c r="D673" t="s">
        <v>26</v>
      </c>
      <c r="E673" t="s">
        <v>29</v>
      </c>
      <c r="F673" t="s">
        <v>47</v>
      </c>
      <c r="G673" t="s">
        <v>144</v>
      </c>
      <c r="H673" t="s">
        <v>48</v>
      </c>
      <c r="I673" t="s">
        <v>33</v>
      </c>
      <c r="J673" t="s">
        <v>155</v>
      </c>
      <c r="K673" s="1">
        <v>0.89502569444444446</v>
      </c>
      <c r="L673">
        <f>YEAR(Coffe_sales[[#This Row],[Date]])</f>
        <v>2024</v>
      </c>
    </row>
    <row r="674" spans="1:12" x14ac:dyDescent="0.2">
      <c r="A674" t="s">
        <v>11</v>
      </c>
      <c r="B674" t="s">
        <v>12</v>
      </c>
      <c r="C674">
        <v>37.72</v>
      </c>
      <c r="D674" t="s">
        <v>21</v>
      </c>
      <c r="E674" t="s">
        <v>14</v>
      </c>
      <c r="F674" t="s">
        <v>50</v>
      </c>
      <c r="G674" t="s">
        <v>144</v>
      </c>
      <c r="H674" t="s">
        <v>18</v>
      </c>
      <c r="I674" t="s">
        <v>33</v>
      </c>
      <c r="J674" t="s">
        <v>156</v>
      </c>
      <c r="K674" s="1">
        <v>0.42938409722222221</v>
      </c>
      <c r="L674">
        <f>YEAR(Coffe_sales[[#This Row],[Date]])</f>
        <v>2024</v>
      </c>
    </row>
    <row r="675" spans="1:12" x14ac:dyDescent="0.2">
      <c r="A675" t="s">
        <v>35</v>
      </c>
      <c r="B675" t="s">
        <v>12</v>
      </c>
      <c r="C675">
        <v>37.72</v>
      </c>
      <c r="D675" t="s">
        <v>52</v>
      </c>
      <c r="E675" t="s">
        <v>14</v>
      </c>
      <c r="F675" t="s">
        <v>50</v>
      </c>
      <c r="G675" t="s">
        <v>144</v>
      </c>
      <c r="H675" t="s">
        <v>18</v>
      </c>
      <c r="I675" t="s">
        <v>33</v>
      </c>
      <c r="J675" t="s">
        <v>156</v>
      </c>
      <c r="K675" s="1">
        <v>0.49425761574074073</v>
      </c>
      <c r="L675">
        <f>YEAR(Coffe_sales[[#This Row],[Date]])</f>
        <v>2024</v>
      </c>
    </row>
    <row r="676" spans="1:12" x14ac:dyDescent="0.2">
      <c r="A676" t="s">
        <v>37</v>
      </c>
      <c r="B676" t="s">
        <v>12</v>
      </c>
      <c r="C676">
        <v>37.72</v>
      </c>
      <c r="D676" t="s">
        <v>13</v>
      </c>
      <c r="E676" t="s">
        <v>29</v>
      </c>
      <c r="F676" t="s">
        <v>50</v>
      </c>
      <c r="G676" t="s">
        <v>144</v>
      </c>
      <c r="H676" t="s">
        <v>18</v>
      </c>
      <c r="I676" t="s">
        <v>33</v>
      </c>
      <c r="J676" t="s">
        <v>156</v>
      </c>
      <c r="K676" s="1">
        <v>0.73700438657407408</v>
      </c>
      <c r="L676">
        <f>YEAR(Coffe_sales[[#This Row],[Date]])</f>
        <v>2024</v>
      </c>
    </row>
    <row r="677" spans="1:12" x14ac:dyDescent="0.2">
      <c r="A677" t="s">
        <v>37</v>
      </c>
      <c r="B677" t="s">
        <v>12</v>
      </c>
      <c r="C677">
        <v>37.72</v>
      </c>
      <c r="D677" t="s">
        <v>13</v>
      </c>
      <c r="E677" t="s">
        <v>29</v>
      </c>
      <c r="F677" t="s">
        <v>50</v>
      </c>
      <c r="G677" t="s">
        <v>144</v>
      </c>
      <c r="H677" t="s">
        <v>18</v>
      </c>
      <c r="I677" t="s">
        <v>33</v>
      </c>
      <c r="J677" t="s">
        <v>156</v>
      </c>
      <c r="K677" s="1">
        <v>0.74129488425925927</v>
      </c>
      <c r="L677">
        <f>YEAR(Coffe_sales[[#This Row],[Date]])</f>
        <v>2024</v>
      </c>
    </row>
    <row r="678" spans="1:12" x14ac:dyDescent="0.2">
      <c r="A678" t="s">
        <v>91</v>
      </c>
      <c r="B678" t="s">
        <v>12</v>
      </c>
      <c r="C678">
        <v>37.72</v>
      </c>
      <c r="D678" t="s">
        <v>21</v>
      </c>
      <c r="E678" t="s">
        <v>29</v>
      </c>
      <c r="F678" t="s">
        <v>50</v>
      </c>
      <c r="G678" t="s">
        <v>144</v>
      </c>
      <c r="H678" t="s">
        <v>18</v>
      </c>
      <c r="I678" t="s">
        <v>33</v>
      </c>
      <c r="J678" t="s">
        <v>156</v>
      </c>
      <c r="K678" s="1">
        <v>0.84483388888888888</v>
      </c>
      <c r="L678">
        <f>YEAR(Coffe_sales[[#This Row],[Date]])</f>
        <v>2024</v>
      </c>
    </row>
    <row r="679" spans="1:12" x14ac:dyDescent="0.2">
      <c r="A679" t="s">
        <v>91</v>
      </c>
      <c r="B679" t="s">
        <v>12</v>
      </c>
      <c r="C679">
        <v>32.82</v>
      </c>
      <c r="D679" t="s">
        <v>26</v>
      </c>
      <c r="E679" t="s">
        <v>29</v>
      </c>
      <c r="F679" t="s">
        <v>50</v>
      </c>
      <c r="G679" t="s">
        <v>144</v>
      </c>
      <c r="H679" t="s">
        <v>18</v>
      </c>
      <c r="I679" t="s">
        <v>33</v>
      </c>
      <c r="J679" t="s">
        <v>156</v>
      </c>
      <c r="K679" s="1">
        <v>0.85109072916666662</v>
      </c>
      <c r="L679">
        <f>YEAR(Coffe_sales[[#This Row],[Date]])</f>
        <v>2024</v>
      </c>
    </row>
    <row r="680" spans="1:12" x14ac:dyDescent="0.2">
      <c r="A680" t="s">
        <v>123</v>
      </c>
      <c r="B680" t="s">
        <v>12</v>
      </c>
      <c r="C680">
        <v>27.92</v>
      </c>
      <c r="D680" t="s">
        <v>24</v>
      </c>
      <c r="E680" t="s">
        <v>14</v>
      </c>
      <c r="F680" t="s">
        <v>53</v>
      </c>
      <c r="G680" t="s">
        <v>144</v>
      </c>
      <c r="H680" t="s">
        <v>54</v>
      </c>
      <c r="I680" t="s">
        <v>33</v>
      </c>
      <c r="J680" t="s">
        <v>157</v>
      </c>
      <c r="K680" s="1">
        <v>0.37111350694444445</v>
      </c>
      <c r="L680">
        <f>YEAR(Coffe_sales[[#This Row],[Date]])</f>
        <v>2024</v>
      </c>
    </row>
    <row r="681" spans="1:12" x14ac:dyDescent="0.2">
      <c r="A681" t="s">
        <v>123</v>
      </c>
      <c r="B681" t="s">
        <v>12</v>
      </c>
      <c r="C681">
        <v>37.72</v>
      </c>
      <c r="D681" t="s">
        <v>13</v>
      </c>
      <c r="E681" t="s">
        <v>14</v>
      </c>
      <c r="F681" t="s">
        <v>53</v>
      </c>
      <c r="G681" t="s">
        <v>144</v>
      </c>
      <c r="H681" t="s">
        <v>54</v>
      </c>
      <c r="I681" t="s">
        <v>33</v>
      </c>
      <c r="J681" t="s">
        <v>157</v>
      </c>
      <c r="K681" s="1">
        <v>0.37321287037037038</v>
      </c>
      <c r="L681">
        <f>YEAR(Coffe_sales[[#This Row],[Date]])</f>
        <v>2024</v>
      </c>
    </row>
    <row r="682" spans="1:12" x14ac:dyDescent="0.2">
      <c r="A682" t="s">
        <v>46</v>
      </c>
      <c r="B682" t="s">
        <v>12</v>
      </c>
      <c r="C682">
        <v>32.82</v>
      </c>
      <c r="D682" t="s">
        <v>26</v>
      </c>
      <c r="E682" t="s">
        <v>14</v>
      </c>
      <c r="F682" t="s">
        <v>53</v>
      </c>
      <c r="G682" t="s">
        <v>144</v>
      </c>
      <c r="H682" t="s">
        <v>54</v>
      </c>
      <c r="I682" t="s">
        <v>33</v>
      </c>
      <c r="J682" t="s">
        <v>157</v>
      </c>
      <c r="K682" s="1">
        <v>0.41001201388888892</v>
      </c>
      <c r="L682">
        <f>YEAR(Coffe_sales[[#This Row],[Date]])</f>
        <v>2024</v>
      </c>
    </row>
    <row r="683" spans="1:12" x14ac:dyDescent="0.2">
      <c r="A683" t="s">
        <v>46</v>
      </c>
      <c r="B683" t="s">
        <v>12</v>
      </c>
      <c r="C683">
        <v>27.92</v>
      </c>
      <c r="D683" t="s">
        <v>41</v>
      </c>
      <c r="E683" t="s">
        <v>14</v>
      </c>
      <c r="F683" t="s">
        <v>53</v>
      </c>
      <c r="G683" t="s">
        <v>144</v>
      </c>
      <c r="H683" t="s">
        <v>54</v>
      </c>
      <c r="I683" t="s">
        <v>33</v>
      </c>
      <c r="J683" t="s">
        <v>157</v>
      </c>
      <c r="K683" s="1">
        <v>0.4147166435185185</v>
      </c>
      <c r="L683">
        <f>YEAR(Coffe_sales[[#This Row],[Date]])</f>
        <v>2024</v>
      </c>
    </row>
    <row r="684" spans="1:12" x14ac:dyDescent="0.2">
      <c r="A684" t="s">
        <v>37</v>
      </c>
      <c r="B684" t="s">
        <v>12</v>
      </c>
      <c r="C684">
        <v>32.82</v>
      </c>
      <c r="D684" t="s">
        <v>26</v>
      </c>
      <c r="E684" t="s">
        <v>29</v>
      </c>
      <c r="F684" t="s">
        <v>53</v>
      </c>
      <c r="G684" t="s">
        <v>144</v>
      </c>
      <c r="H684" t="s">
        <v>54</v>
      </c>
      <c r="I684" t="s">
        <v>33</v>
      </c>
      <c r="J684" t="s">
        <v>157</v>
      </c>
      <c r="K684" s="1">
        <v>0.71178936342592591</v>
      </c>
      <c r="L684">
        <f>YEAR(Coffe_sales[[#This Row],[Date]])</f>
        <v>2024</v>
      </c>
    </row>
    <row r="685" spans="1:12" x14ac:dyDescent="0.2">
      <c r="A685" t="s">
        <v>37</v>
      </c>
      <c r="B685" t="s">
        <v>12</v>
      </c>
      <c r="C685">
        <v>37.72</v>
      </c>
      <c r="D685" t="s">
        <v>21</v>
      </c>
      <c r="E685" t="s">
        <v>29</v>
      </c>
      <c r="F685" t="s">
        <v>53</v>
      </c>
      <c r="G685" t="s">
        <v>144</v>
      </c>
      <c r="H685" t="s">
        <v>54</v>
      </c>
      <c r="I685" t="s">
        <v>33</v>
      </c>
      <c r="J685" t="s">
        <v>157</v>
      </c>
      <c r="K685" s="1">
        <v>0.72762298611111109</v>
      </c>
      <c r="L685">
        <f>YEAR(Coffe_sales[[#This Row],[Date]])</f>
        <v>2024</v>
      </c>
    </row>
    <row r="686" spans="1:12" x14ac:dyDescent="0.2">
      <c r="A686" t="s">
        <v>30</v>
      </c>
      <c r="B686" t="s">
        <v>12</v>
      </c>
      <c r="C686">
        <v>37.72</v>
      </c>
      <c r="D686" t="s">
        <v>13</v>
      </c>
      <c r="E686" t="s">
        <v>29</v>
      </c>
      <c r="F686" t="s">
        <v>53</v>
      </c>
      <c r="G686" t="s">
        <v>144</v>
      </c>
      <c r="H686" t="s">
        <v>54</v>
      </c>
      <c r="I686" t="s">
        <v>33</v>
      </c>
      <c r="J686" t="s">
        <v>157</v>
      </c>
      <c r="K686" s="1">
        <v>0.80716531250000001</v>
      </c>
      <c r="L686">
        <f>YEAR(Coffe_sales[[#This Row],[Date]])</f>
        <v>2024</v>
      </c>
    </row>
    <row r="687" spans="1:12" x14ac:dyDescent="0.2">
      <c r="A687" t="s">
        <v>91</v>
      </c>
      <c r="B687" t="s">
        <v>12</v>
      </c>
      <c r="C687">
        <v>32.82</v>
      </c>
      <c r="D687" t="s">
        <v>26</v>
      </c>
      <c r="E687" t="s">
        <v>29</v>
      </c>
      <c r="F687" t="s">
        <v>53</v>
      </c>
      <c r="G687" t="s">
        <v>144</v>
      </c>
      <c r="H687" t="s">
        <v>54</v>
      </c>
      <c r="I687" t="s">
        <v>33</v>
      </c>
      <c r="J687" t="s">
        <v>157</v>
      </c>
      <c r="K687" s="1">
        <v>0.8478213194444445</v>
      </c>
      <c r="L687">
        <f>YEAR(Coffe_sales[[#This Row],[Date]])</f>
        <v>2024</v>
      </c>
    </row>
    <row r="688" spans="1:12" x14ac:dyDescent="0.2">
      <c r="A688" t="s">
        <v>91</v>
      </c>
      <c r="B688" t="s">
        <v>12</v>
      </c>
      <c r="C688">
        <v>23.02</v>
      </c>
      <c r="D688" t="s">
        <v>45</v>
      </c>
      <c r="E688" t="s">
        <v>29</v>
      </c>
      <c r="F688" t="s">
        <v>53</v>
      </c>
      <c r="G688" t="s">
        <v>144</v>
      </c>
      <c r="H688" t="s">
        <v>54</v>
      </c>
      <c r="I688" t="s">
        <v>33</v>
      </c>
      <c r="J688" t="s">
        <v>157</v>
      </c>
      <c r="K688" s="1">
        <v>0.8637267476851852</v>
      </c>
      <c r="L688">
        <f>YEAR(Coffe_sales[[#This Row],[Date]])</f>
        <v>2024</v>
      </c>
    </row>
    <row r="689" spans="1:12" x14ac:dyDescent="0.2">
      <c r="A689" t="s">
        <v>91</v>
      </c>
      <c r="B689" t="s">
        <v>12</v>
      </c>
      <c r="C689">
        <v>23.02</v>
      </c>
      <c r="D689" t="s">
        <v>45</v>
      </c>
      <c r="E689" t="s">
        <v>29</v>
      </c>
      <c r="F689" t="s">
        <v>53</v>
      </c>
      <c r="G689" t="s">
        <v>144</v>
      </c>
      <c r="H689" t="s">
        <v>54</v>
      </c>
      <c r="I689" t="s">
        <v>33</v>
      </c>
      <c r="J689" t="s">
        <v>157</v>
      </c>
      <c r="K689" s="1">
        <v>0.8645904513888889</v>
      </c>
      <c r="L689">
        <f>YEAR(Coffe_sales[[#This Row],[Date]])</f>
        <v>2024</v>
      </c>
    </row>
    <row r="690" spans="1:12" x14ac:dyDescent="0.2">
      <c r="A690" t="s">
        <v>91</v>
      </c>
      <c r="B690" t="s">
        <v>12</v>
      </c>
      <c r="C690">
        <v>32.82</v>
      </c>
      <c r="D690" t="s">
        <v>26</v>
      </c>
      <c r="E690" t="s">
        <v>29</v>
      </c>
      <c r="F690" t="s">
        <v>53</v>
      </c>
      <c r="G690" t="s">
        <v>144</v>
      </c>
      <c r="H690" t="s">
        <v>54</v>
      </c>
      <c r="I690" t="s">
        <v>33</v>
      </c>
      <c r="J690" t="s">
        <v>157</v>
      </c>
      <c r="K690" s="1">
        <v>0.86687386574074077</v>
      </c>
      <c r="L690">
        <f>YEAR(Coffe_sales[[#This Row],[Date]])</f>
        <v>2024</v>
      </c>
    </row>
    <row r="691" spans="1:12" x14ac:dyDescent="0.2">
      <c r="A691" t="s">
        <v>131</v>
      </c>
      <c r="B691" t="s">
        <v>12</v>
      </c>
      <c r="C691">
        <v>32.82</v>
      </c>
      <c r="D691" t="s">
        <v>26</v>
      </c>
      <c r="E691" t="s">
        <v>29</v>
      </c>
      <c r="F691" t="s">
        <v>53</v>
      </c>
      <c r="G691" t="s">
        <v>144</v>
      </c>
      <c r="H691" t="s">
        <v>54</v>
      </c>
      <c r="I691" t="s">
        <v>33</v>
      </c>
      <c r="J691" t="s">
        <v>157</v>
      </c>
      <c r="K691" s="1">
        <v>0.87671732638888888</v>
      </c>
      <c r="L691">
        <f>YEAR(Coffe_sales[[#This Row],[Date]])</f>
        <v>2024</v>
      </c>
    </row>
    <row r="692" spans="1:12" x14ac:dyDescent="0.2">
      <c r="A692" t="s">
        <v>39</v>
      </c>
      <c r="B692" t="s">
        <v>12</v>
      </c>
      <c r="C692">
        <v>27.92</v>
      </c>
      <c r="D692" t="s">
        <v>41</v>
      </c>
      <c r="E692" t="s">
        <v>14</v>
      </c>
      <c r="F692" t="s">
        <v>15</v>
      </c>
      <c r="G692" t="s">
        <v>144</v>
      </c>
      <c r="H692" t="s">
        <v>17</v>
      </c>
      <c r="I692" t="s">
        <v>33</v>
      </c>
      <c r="J692" t="s">
        <v>158</v>
      </c>
      <c r="K692" s="1">
        <v>0.3237643287037037</v>
      </c>
      <c r="L692">
        <f>YEAR(Coffe_sales[[#This Row],[Date]])</f>
        <v>2024</v>
      </c>
    </row>
    <row r="693" spans="1:12" x14ac:dyDescent="0.2">
      <c r="A693" t="s">
        <v>11</v>
      </c>
      <c r="B693" t="s">
        <v>12</v>
      </c>
      <c r="C693">
        <v>27.92</v>
      </c>
      <c r="D693" t="s">
        <v>24</v>
      </c>
      <c r="E693" t="s">
        <v>14</v>
      </c>
      <c r="F693" t="s">
        <v>15</v>
      </c>
      <c r="G693" t="s">
        <v>144</v>
      </c>
      <c r="H693" t="s">
        <v>17</v>
      </c>
      <c r="I693" t="s">
        <v>33</v>
      </c>
      <c r="J693" t="s">
        <v>158</v>
      </c>
      <c r="K693" s="1">
        <v>0.43786555555555556</v>
      </c>
      <c r="L693">
        <f>YEAR(Coffe_sales[[#This Row],[Date]])</f>
        <v>2024</v>
      </c>
    </row>
    <row r="694" spans="1:12" x14ac:dyDescent="0.2">
      <c r="A694" t="s">
        <v>20</v>
      </c>
      <c r="B694" t="s">
        <v>12</v>
      </c>
      <c r="C694">
        <v>37.72</v>
      </c>
      <c r="D694" t="s">
        <v>13</v>
      </c>
      <c r="E694" t="s">
        <v>22</v>
      </c>
      <c r="F694" t="s">
        <v>15</v>
      </c>
      <c r="G694" t="s">
        <v>144</v>
      </c>
      <c r="H694" t="s">
        <v>17</v>
      </c>
      <c r="I694" t="s">
        <v>33</v>
      </c>
      <c r="J694" t="s">
        <v>158</v>
      </c>
      <c r="K694" s="1">
        <v>0.51020481481481483</v>
      </c>
      <c r="L694">
        <f>YEAR(Coffe_sales[[#This Row],[Date]])</f>
        <v>2024</v>
      </c>
    </row>
    <row r="695" spans="1:12" x14ac:dyDescent="0.2">
      <c r="A695" t="s">
        <v>28</v>
      </c>
      <c r="B695" t="s">
        <v>12</v>
      </c>
      <c r="C695">
        <v>32.82</v>
      </c>
      <c r="D695" t="s">
        <v>26</v>
      </c>
      <c r="E695" t="s">
        <v>29</v>
      </c>
      <c r="F695" t="s">
        <v>15</v>
      </c>
      <c r="G695" t="s">
        <v>144</v>
      </c>
      <c r="H695" t="s">
        <v>17</v>
      </c>
      <c r="I695" t="s">
        <v>33</v>
      </c>
      <c r="J695" t="s">
        <v>158</v>
      </c>
      <c r="K695" s="1">
        <v>0.77075693287037039</v>
      </c>
      <c r="L695">
        <f>YEAR(Coffe_sales[[#This Row],[Date]])</f>
        <v>2024</v>
      </c>
    </row>
    <row r="696" spans="1:12" x14ac:dyDescent="0.2">
      <c r="A696" t="s">
        <v>35</v>
      </c>
      <c r="B696" t="s">
        <v>12</v>
      </c>
      <c r="C696">
        <v>37.72</v>
      </c>
      <c r="D696" t="s">
        <v>52</v>
      </c>
      <c r="E696" t="s">
        <v>14</v>
      </c>
      <c r="F696" t="s">
        <v>32</v>
      </c>
      <c r="G696" t="s">
        <v>144</v>
      </c>
      <c r="H696" t="s">
        <v>33</v>
      </c>
      <c r="I696" t="s">
        <v>33</v>
      </c>
      <c r="J696" t="s">
        <v>159</v>
      </c>
      <c r="K696" s="1">
        <v>0.47641173611111109</v>
      </c>
      <c r="L696">
        <f>YEAR(Coffe_sales[[#This Row],[Date]])</f>
        <v>2024</v>
      </c>
    </row>
    <row r="697" spans="1:12" x14ac:dyDescent="0.2">
      <c r="A697" t="s">
        <v>20</v>
      </c>
      <c r="B697" t="s">
        <v>12</v>
      </c>
      <c r="C697">
        <v>37.72</v>
      </c>
      <c r="D697" t="s">
        <v>13</v>
      </c>
      <c r="E697" t="s">
        <v>22</v>
      </c>
      <c r="F697" t="s">
        <v>32</v>
      </c>
      <c r="G697" t="s">
        <v>144</v>
      </c>
      <c r="H697" t="s">
        <v>33</v>
      </c>
      <c r="I697" t="s">
        <v>33</v>
      </c>
      <c r="J697" t="s">
        <v>159</v>
      </c>
      <c r="K697" s="1">
        <v>0.51490896990740742</v>
      </c>
      <c r="L697">
        <f>YEAR(Coffe_sales[[#This Row],[Date]])</f>
        <v>2024</v>
      </c>
    </row>
    <row r="698" spans="1:12" x14ac:dyDescent="0.2">
      <c r="A698" t="s">
        <v>20</v>
      </c>
      <c r="B698" t="s">
        <v>12</v>
      </c>
      <c r="C698">
        <v>32.82</v>
      </c>
      <c r="D698" t="s">
        <v>26</v>
      </c>
      <c r="E698" t="s">
        <v>22</v>
      </c>
      <c r="F698" t="s">
        <v>32</v>
      </c>
      <c r="G698" t="s">
        <v>144</v>
      </c>
      <c r="H698" t="s">
        <v>33</v>
      </c>
      <c r="I698" t="s">
        <v>33</v>
      </c>
      <c r="J698" t="s">
        <v>159</v>
      </c>
      <c r="K698" s="1">
        <v>0.515821087962963</v>
      </c>
      <c r="L698">
        <f>YEAR(Coffe_sales[[#This Row],[Date]])</f>
        <v>2024</v>
      </c>
    </row>
    <row r="699" spans="1:12" x14ac:dyDescent="0.2">
      <c r="A699" t="s">
        <v>20</v>
      </c>
      <c r="B699" t="s">
        <v>12</v>
      </c>
      <c r="C699">
        <v>23.02</v>
      </c>
      <c r="D699" t="s">
        <v>45</v>
      </c>
      <c r="E699" t="s">
        <v>22</v>
      </c>
      <c r="F699" t="s">
        <v>32</v>
      </c>
      <c r="G699" t="s">
        <v>144</v>
      </c>
      <c r="H699" t="s">
        <v>33</v>
      </c>
      <c r="I699" t="s">
        <v>33</v>
      </c>
      <c r="J699" t="s">
        <v>159</v>
      </c>
      <c r="K699" s="1">
        <v>0.51657599537037036</v>
      </c>
      <c r="L699">
        <f>YEAR(Coffe_sales[[#This Row],[Date]])</f>
        <v>2024</v>
      </c>
    </row>
    <row r="700" spans="1:12" x14ac:dyDescent="0.2">
      <c r="A700" t="s">
        <v>20</v>
      </c>
      <c r="B700" t="s">
        <v>12</v>
      </c>
      <c r="C700">
        <v>37.72</v>
      </c>
      <c r="D700" t="s">
        <v>31</v>
      </c>
      <c r="E700" t="s">
        <v>22</v>
      </c>
      <c r="F700" t="s">
        <v>32</v>
      </c>
      <c r="G700" t="s">
        <v>144</v>
      </c>
      <c r="H700" t="s">
        <v>33</v>
      </c>
      <c r="I700" t="s">
        <v>33</v>
      </c>
      <c r="J700" t="s">
        <v>159</v>
      </c>
      <c r="K700" s="1">
        <v>0.51707326388888886</v>
      </c>
      <c r="L700">
        <f>YEAR(Coffe_sales[[#This Row],[Date]])</f>
        <v>2024</v>
      </c>
    </row>
    <row r="701" spans="1:12" x14ac:dyDescent="0.2">
      <c r="A701" t="s">
        <v>20</v>
      </c>
      <c r="B701" t="s">
        <v>12</v>
      </c>
      <c r="C701">
        <v>32.82</v>
      </c>
      <c r="D701" t="s">
        <v>26</v>
      </c>
      <c r="E701" t="s">
        <v>22</v>
      </c>
      <c r="F701" t="s">
        <v>32</v>
      </c>
      <c r="G701" t="s">
        <v>144</v>
      </c>
      <c r="H701" t="s">
        <v>33</v>
      </c>
      <c r="I701" t="s">
        <v>33</v>
      </c>
      <c r="J701" t="s">
        <v>159</v>
      </c>
      <c r="K701" s="1">
        <v>0.5176384259259259</v>
      </c>
      <c r="L701">
        <f>YEAR(Coffe_sales[[#This Row],[Date]])</f>
        <v>2024</v>
      </c>
    </row>
    <row r="702" spans="1:12" x14ac:dyDescent="0.2">
      <c r="A702" t="s">
        <v>27</v>
      </c>
      <c r="B702" t="s">
        <v>12</v>
      </c>
      <c r="C702">
        <v>32.82</v>
      </c>
      <c r="D702" t="s">
        <v>26</v>
      </c>
      <c r="E702" t="s">
        <v>22</v>
      </c>
      <c r="F702" t="s">
        <v>32</v>
      </c>
      <c r="G702" t="s">
        <v>144</v>
      </c>
      <c r="H702" t="s">
        <v>33</v>
      </c>
      <c r="I702" t="s">
        <v>33</v>
      </c>
      <c r="J702" t="s">
        <v>159</v>
      </c>
      <c r="K702" s="1">
        <v>0.6690961689814815</v>
      </c>
      <c r="L702">
        <f>YEAR(Coffe_sales[[#This Row],[Date]])</f>
        <v>2024</v>
      </c>
    </row>
    <row r="703" spans="1:12" x14ac:dyDescent="0.2">
      <c r="A703" t="s">
        <v>28</v>
      </c>
      <c r="B703" t="s">
        <v>12</v>
      </c>
      <c r="C703">
        <v>27.92</v>
      </c>
      <c r="D703" t="s">
        <v>24</v>
      </c>
      <c r="E703" t="s">
        <v>29</v>
      </c>
      <c r="F703" t="s">
        <v>32</v>
      </c>
      <c r="G703" t="s">
        <v>144</v>
      </c>
      <c r="H703" t="s">
        <v>33</v>
      </c>
      <c r="I703" t="s">
        <v>33</v>
      </c>
      <c r="J703" t="s">
        <v>159</v>
      </c>
      <c r="K703" s="1">
        <v>0.75977572916666669</v>
      </c>
      <c r="L703">
        <f>YEAR(Coffe_sales[[#This Row],[Date]])</f>
        <v>2024</v>
      </c>
    </row>
    <row r="704" spans="1:12" x14ac:dyDescent="0.2">
      <c r="A704" t="s">
        <v>11</v>
      </c>
      <c r="B704" t="s">
        <v>12</v>
      </c>
      <c r="C704">
        <v>32.82</v>
      </c>
      <c r="D704" t="s">
        <v>26</v>
      </c>
      <c r="E704" t="s">
        <v>14</v>
      </c>
      <c r="F704" t="s">
        <v>38</v>
      </c>
      <c r="G704" t="s">
        <v>144</v>
      </c>
      <c r="H704" t="s">
        <v>39</v>
      </c>
      <c r="I704" t="s">
        <v>33</v>
      </c>
      <c r="J704" t="s">
        <v>160</v>
      </c>
      <c r="K704" s="1">
        <v>0.44712333333333332</v>
      </c>
      <c r="L704">
        <f>YEAR(Coffe_sales[[#This Row],[Date]])</f>
        <v>2024</v>
      </c>
    </row>
    <row r="705" spans="1:12" x14ac:dyDescent="0.2">
      <c r="A705" t="s">
        <v>11</v>
      </c>
      <c r="B705" t="s">
        <v>12</v>
      </c>
      <c r="C705">
        <v>37.72</v>
      </c>
      <c r="D705" t="s">
        <v>13</v>
      </c>
      <c r="E705" t="s">
        <v>14</v>
      </c>
      <c r="F705" t="s">
        <v>38</v>
      </c>
      <c r="G705" t="s">
        <v>144</v>
      </c>
      <c r="H705" t="s">
        <v>39</v>
      </c>
      <c r="I705" t="s">
        <v>33</v>
      </c>
      <c r="J705" t="s">
        <v>160</v>
      </c>
      <c r="K705" s="1">
        <v>0.45742321759259258</v>
      </c>
      <c r="L705">
        <f>YEAR(Coffe_sales[[#This Row],[Date]])</f>
        <v>2024</v>
      </c>
    </row>
    <row r="706" spans="1:12" x14ac:dyDescent="0.2">
      <c r="A706" t="s">
        <v>35</v>
      </c>
      <c r="B706" t="s">
        <v>12</v>
      </c>
      <c r="C706">
        <v>37.72</v>
      </c>
      <c r="D706" t="s">
        <v>21</v>
      </c>
      <c r="E706" t="s">
        <v>14</v>
      </c>
      <c r="F706" t="s">
        <v>38</v>
      </c>
      <c r="G706" t="s">
        <v>144</v>
      </c>
      <c r="H706" t="s">
        <v>39</v>
      </c>
      <c r="I706" t="s">
        <v>33</v>
      </c>
      <c r="J706" t="s">
        <v>160</v>
      </c>
      <c r="K706" s="1">
        <v>0.45877535879629627</v>
      </c>
      <c r="L706">
        <f>YEAR(Coffe_sales[[#This Row],[Date]])</f>
        <v>2024</v>
      </c>
    </row>
    <row r="707" spans="1:12" x14ac:dyDescent="0.2">
      <c r="A707" t="s">
        <v>35</v>
      </c>
      <c r="B707" t="s">
        <v>12</v>
      </c>
      <c r="C707">
        <v>37.72</v>
      </c>
      <c r="D707" t="s">
        <v>21</v>
      </c>
      <c r="E707" t="s">
        <v>14</v>
      </c>
      <c r="F707" t="s">
        <v>38</v>
      </c>
      <c r="G707" t="s">
        <v>144</v>
      </c>
      <c r="H707" t="s">
        <v>39</v>
      </c>
      <c r="I707" t="s">
        <v>33</v>
      </c>
      <c r="J707" t="s">
        <v>160</v>
      </c>
      <c r="K707" s="1">
        <v>0.45950796296296298</v>
      </c>
      <c r="L707">
        <f>YEAR(Coffe_sales[[#This Row],[Date]])</f>
        <v>2024</v>
      </c>
    </row>
    <row r="708" spans="1:12" x14ac:dyDescent="0.2">
      <c r="A708" t="s">
        <v>20</v>
      </c>
      <c r="B708" t="s">
        <v>12</v>
      </c>
      <c r="C708">
        <v>32.82</v>
      </c>
      <c r="D708" t="s">
        <v>26</v>
      </c>
      <c r="E708" t="s">
        <v>22</v>
      </c>
      <c r="F708" t="s">
        <v>38</v>
      </c>
      <c r="G708" t="s">
        <v>144</v>
      </c>
      <c r="H708" t="s">
        <v>39</v>
      </c>
      <c r="I708" t="s">
        <v>33</v>
      </c>
      <c r="J708" t="s">
        <v>160</v>
      </c>
      <c r="K708" s="1">
        <v>0.53434749999999998</v>
      </c>
      <c r="L708">
        <f>YEAR(Coffe_sales[[#This Row],[Date]])</f>
        <v>2024</v>
      </c>
    </row>
    <row r="709" spans="1:12" x14ac:dyDescent="0.2">
      <c r="A709" t="s">
        <v>36</v>
      </c>
      <c r="B709" t="s">
        <v>12</v>
      </c>
      <c r="C709">
        <v>23.02</v>
      </c>
      <c r="D709" t="s">
        <v>45</v>
      </c>
      <c r="E709" t="s">
        <v>22</v>
      </c>
      <c r="F709" t="s">
        <v>38</v>
      </c>
      <c r="G709" t="s">
        <v>144</v>
      </c>
      <c r="H709" t="s">
        <v>39</v>
      </c>
      <c r="I709" t="s">
        <v>33</v>
      </c>
      <c r="J709" t="s">
        <v>160</v>
      </c>
      <c r="K709" s="1">
        <v>0.58378462962962963</v>
      </c>
      <c r="L709">
        <f>YEAR(Coffe_sales[[#This Row],[Date]])</f>
        <v>2024</v>
      </c>
    </row>
    <row r="710" spans="1:12" x14ac:dyDescent="0.2">
      <c r="A710" t="s">
        <v>25</v>
      </c>
      <c r="B710" t="s">
        <v>12</v>
      </c>
      <c r="C710">
        <v>32.82</v>
      </c>
      <c r="D710" t="s">
        <v>26</v>
      </c>
      <c r="E710" t="s">
        <v>22</v>
      </c>
      <c r="F710" t="s">
        <v>38</v>
      </c>
      <c r="G710" t="s">
        <v>144</v>
      </c>
      <c r="H710" t="s">
        <v>39</v>
      </c>
      <c r="I710" t="s">
        <v>33</v>
      </c>
      <c r="J710" t="s">
        <v>160</v>
      </c>
      <c r="K710" s="1">
        <v>0.62680939814814818</v>
      </c>
      <c r="L710">
        <f>YEAR(Coffe_sales[[#This Row],[Date]])</f>
        <v>2024</v>
      </c>
    </row>
    <row r="711" spans="1:12" x14ac:dyDescent="0.2">
      <c r="A711" t="s">
        <v>25</v>
      </c>
      <c r="B711" t="s">
        <v>12</v>
      </c>
      <c r="C711">
        <v>32.82</v>
      </c>
      <c r="D711" t="s">
        <v>26</v>
      </c>
      <c r="E711" t="s">
        <v>22</v>
      </c>
      <c r="F711" t="s">
        <v>38</v>
      </c>
      <c r="G711" t="s">
        <v>144</v>
      </c>
      <c r="H711" t="s">
        <v>39</v>
      </c>
      <c r="I711" t="s">
        <v>33</v>
      </c>
      <c r="J711" t="s">
        <v>160</v>
      </c>
      <c r="K711" s="1">
        <v>0.62859283564814816</v>
      </c>
      <c r="L711">
        <f>YEAR(Coffe_sales[[#This Row],[Date]])</f>
        <v>2024</v>
      </c>
    </row>
    <row r="712" spans="1:12" x14ac:dyDescent="0.2">
      <c r="A712" t="s">
        <v>25</v>
      </c>
      <c r="B712" t="s">
        <v>12</v>
      </c>
      <c r="C712">
        <v>37.72</v>
      </c>
      <c r="D712" t="s">
        <v>21</v>
      </c>
      <c r="E712" t="s">
        <v>22</v>
      </c>
      <c r="F712" t="s">
        <v>38</v>
      </c>
      <c r="G712" t="s">
        <v>144</v>
      </c>
      <c r="H712" t="s">
        <v>39</v>
      </c>
      <c r="I712" t="s">
        <v>33</v>
      </c>
      <c r="J712" t="s">
        <v>160</v>
      </c>
      <c r="K712" s="1">
        <v>0.65555084490740745</v>
      </c>
      <c r="L712">
        <f>YEAR(Coffe_sales[[#This Row],[Date]])</f>
        <v>2024</v>
      </c>
    </row>
    <row r="713" spans="1:12" x14ac:dyDescent="0.2">
      <c r="A713" t="s">
        <v>27</v>
      </c>
      <c r="B713" t="s">
        <v>12</v>
      </c>
      <c r="C713">
        <v>37.72</v>
      </c>
      <c r="D713" t="s">
        <v>21</v>
      </c>
      <c r="E713" t="s">
        <v>22</v>
      </c>
      <c r="F713" t="s">
        <v>38</v>
      </c>
      <c r="G713" t="s">
        <v>144</v>
      </c>
      <c r="H713" t="s">
        <v>39</v>
      </c>
      <c r="I713" t="s">
        <v>33</v>
      </c>
      <c r="J713" t="s">
        <v>160</v>
      </c>
      <c r="K713" s="1">
        <v>0.69972825231481484</v>
      </c>
      <c r="L713">
        <f>YEAR(Coffe_sales[[#This Row],[Date]])</f>
        <v>2024</v>
      </c>
    </row>
    <row r="714" spans="1:12" x14ac:dyDescent="0.2">
      <c r="A714" t="s">
        <v>37</v>
      </c>
      <c r="B714" t="s">
        <v>12</v>
      </c>
      <c r="C714">
        <v>32.82</v>
      </c>
      <c r="D714" t="s">
        <v>26</v>
      </c>
      <c r="E714" t="s">
        <v>29</v>
      </c>
      <c r="F714" t="s">
        <v>38</v>
      </c>
      <c r="G714" t="s">
        <v>144</v>
      </c>
      <c r="H714" t="s">
        <v>39</v>
      </c>
      <c r="I714" t="s">
        <v>33</v>
      </c>
      <c r="J714" t="s">
        <v>160</v>
      </c>
      <c r="K714" s="1">
        <v>0.73978318287037037</v>
      </c>
      <c r="L714">
        <f>YEAR(Coffe_sales[[#This Row],[Date]])</f>
        <v>2024</v>
      </c>
    </row>
    <row r="715" spans="1:12" x14ac:dyDescent="0.2">
      <c r="A715" t="s">
        <v>37</v>
      </c>
      <c r="B715" t="s">
        <v>12</v>
      </c>
      <c r="C715">
        <v>32.82</v>
      </c>
      <c r="D715" t="s">
        <v>26</v>
      </c>
      <c r="E715" t="s">
        <v>29</v>
      </c>
      <c r="F715" t="s">
        <v>38</v>
      </c>
      <c r="G715" t="s">
        <v>144</v>
      </c>
      <c r="H715" t="s">
        <v>39</v>
      </c>
      <c r="I715" t="s">
        <v>33</v>
      </c>
      <c r="J715" t="s">
        <v>160</v>
      </c>
      <c r="K715" s="1">
        <v>0.74046937499999999</v>
      </c>
      <c r="L715">
        <f>YEAR(Coffe_sales[[#This Row],[Date]])</f>
        <v>2024</v>
      </c>
    </row>
    <row r="716" spans="1:12" x14ac:dyDescent="0.2">
      <c r="A716" t="s">
        <v>123</v>
      </c>
      <c r="B716" t="s">
        <v>12</v>
      </c>
      <c r="C716">
        <v>27.92</v>
      </c>
      <c r="D716" t="s">
        <v>24</v>
      </c>
      <c r="E716" t="s">
        <v>14</v>
      </c>
      <c r="F716" t="s">
        <v>42</v>
      </c>
      <c r="G716" t="s">
        <v>144</v>
      </c>
      <c r="H716" t="s">
        <v>43</v>
      </c>
      <c r="I716" t="s">
        <v>33</v>
      </c>
      <c r="J716" t="s">
        <v>161</v>
      </c>
      <c r="K716" s="1">
        <v>0.3731949537037037</v>
      </c>
      <c r="L716">
        <f>YEAR(Coffe_sales[[#This Row],[Date]])</f>
        <v>2024</v>
      </c>
    </row>
    <row r="717" spans="1:12" x14ac:dyDescent="0.2">
      <c r="A717" t="s">
        <v>11</v>
      </c>
      <c r="B717" t="s">
        <v>12</v>
      </c>
      <c r="C717">
        <v>27.92</v>
      </c>
      <c r="D717" t="s">
        <v>41</v>
      </c>
      <c r="E717" t="s">
        <v>14</v>
      </c>
      <c r="F717" t="s">
        <v>42</v>
      </c>
      <c r="G717" t="s">
        <v>144</v>
      </c>
      <c r="H717" t="s">
        <v>43</v>
      </c>
      <c r="I717" t="s">
        <v>33</v>
      </c>
      <c r="J717" t="s">
        <v>161</v>
      </c>
      <c r="K717" s="1">
        <v>0.42505947916666664</v>
      </c>
      <c r="L717">
        <f>YEAR(Coffe_sales[[#This Row],[Date]])</f>
        <v>2024</v>
      </c>
    </row>
    <row r="718" spans="1:12" x14ac:dyDescent="0.2">
      <c r="A718" t="s">
        <v>11</v>
      </c>
      <c r="B718" t="s">
        <v>12</v>
      </c>
      <c r="C718">
        <v>27.92</v>
      </c>
      <c r="D718" t="s">
        <v>41</v>
      </c>
      <c r="E718" t="s">
        <v>14</v>
      </c>
      <c r="F718" t="s">
        <v>42</v>
      </c>
      <c r="G718" t="s">
        <v>144</v>
      </c>
      <c r="H718" t="s">
        <v>43</v>
      </c>
      <c r="I718" t="s">
        <v>33</v>
      </c>
      <c r="J718" t="s">
        <v>161</v>
      </c>
      <c r="K718" s="1">
        <v>0.42612934027777777</v>
      </c>
      <c r="L718">
        <f>YEAR(Coffe_sales[[#This Row],[Date]])</f>
        <v>2024</v>
      </c>
    </row>
    <row r="719" spans="1:12" x14ac:dyDescent="0.2">
      <c r="A719" t="s">
        <v>11</v>
      </c>
      <c r="B719" t="s">
        <v>12</v>
      </c>
      <c r="C719">
        <v>37.72</v>
      </c>
      <c r="D719" t="s">
        <v>52</v>
      </c>
      <c r="E719" t="s">
        <v>14</v>
      </c>
      <c r="F719" t="s">
        <v>42</v>
      </c>
      <c r="G719" t="s">
        <v>144</v>
      </c>
      <c r="H719" t="s">
        <v>43</v>
      </c>
      <c r="I719" t="s">
        <v>33</v>
      </c>
      <c r="J719" t="s">
        <v>161</v>
      </c>
      <c r="K719" s="1">
        <v>0.45545842592592595</v>
      </c>
      <c r="L719">
        <f>YEAR(Coffe_sales[[#This Row],[Date]])</f>
        <v>2024</v>
      </c>
    </row>
    <row r="720" spans="1:12" x14ac:dyDescent="0.2">
      <c r="A720" t="s">
        <v>36</v>
      </c>
      <c r="B720" t="s">
        <v>12</v>
      </c>
      <c r="C720">
        <v>37.72</v>
      </c>
      <c r="D720" t="s">
        <v>52</v>
      </c>
      <c r="E720" t="s">
        <v>22</v>
      </c>
      <c r="F720" t="s">
        <v>42</v>
      </c>
      <c r="G720" t="s">
        <v>144</v>
      </c>
      <c r="H720" t="s">
        <v>43</v>
      </c>
      <c r="I720" t="s">
        <v>33</v>
      </c>
      <c r="J720" t="s">
        <v>161</v>
      </c>
      <c r="K720" s="1">
        <v>0.61915950231481487</v>
      </c>
      <c r="L720">
        <f>YEAR(Coffe_sales[[#This Row],[Date]])</f>
        <v>2024</v>
      </c>
    </row>
    <row r="721" spans="1:12" x14ac:dyDescent="0.2">
      <c r="A721" t="s">
        <v>27</v>
      </c>
      <c r="B721" t="s">
        <v>12</v>
      </c>
      <c r="C721">
        <v>37.72</v>
      </c>
      <c r="D721" t="s">
        <v>52</v>
      </c>
      <c r="E721" t="s">
        <v>22</v>
      </c>
      <c r="F721" t="s">
        <v>42</v>
      </c>
      <c r="G721" t="s">
        <v>144</v>
      </c>
      <c r="H721" t="s">
        <v>43</v>
      </c>
      <c r="I721" t="s">
        <v>33</v>
      </c>
      <c r="J721" t="s">
        <v>161</v>
      </c>
      <c r="K721" s="1">
        <v>0.70154445601851856</v>
      </c>
      <c r="L721">
        <f>YEAR(Coffe_sales[[#This Row],[Date]])</f>
        <v>2024</v>
      </c>
    </row>
    <row r="722" spans="1:12" x14ac:dyDescent="0.2">
      <c r="A722" t="s">
        <v>27</v>
      </c>
      <c r="B722" t="s">
        <v>12</v>
      </c>
      <c r="C722">
        <v>37.72</v>
      </c>
      <c r="D722" t="s">
        <v>52</v>
      </c>
      <c r="E722" t="s">
        <v>22</v>
      </c>
      <c r="F722" t="s">
        <v>42</v>
      </c>
      <c r="G722" t="s">
        <v>144</v>
      </c>
      <c r="H722" t="s">
        <v>43</v>
      </c>
      <c r="I722" t="s">
        <v>33</v>
      </c>
      <c r="J722" t="s">
        <v>161</v>
      </c>
      <c r="K722" s="1">
        <v>0.70221108796296294</v>
      </c>
      <c r="L722">
        <f>YEAR(Coffe_sales[[#This Row],[Date]])</f>
        <v>2024</v>
      </c>
    </row>
    <row r="723" spans="1:12" x14ac:dyDescent="0.2">
      <c r="A723" t="s">
        <v>27</v>
      </c>
      <c r="B723" t="s">
        <v>12</v>
      </c>
      <c r="C723">
        <v>27.92</v>
      </c>
      <c r="D723" t="s">
        <v>24</v>
      </c>
      <c r="E723" t="s">
        <v>22</v>
      </c>
      <c r="F723" t="s">
        <v>42</v>
      </c>
      <c r="G723" t="s">
        <v>144</v>
      </c>
      <c r="H723" t="s">
        <v>43</v>
      </c>
      <c r="I723" t="s">
        <v>33</v>
      </c>
      <c r="J723" t="s">
        <v>161</v>
      </c>
      <c r="K723" s="1">
        <v>0.70319833333333337</v>
      </c>
      <c r="L723">
        <f>YEAR(Coffe_sales[[#This Row],[Date]])</f>
        <v>2024</v>
      </c>
    </row>
    <row r="724" spans="1:12" x14ac:dyDescent="0.2">
      <c r="A724" t="s">
        <v>28</v>
      </c>
      <c r="B724" t="s">
        <v>12</v>
      </c>
      <c r="C724">
        <v>27.92</v>
      </c>
      <c r="D724" t="s">
        <v>24</v>
      </c>
      <c r="E724" t="s">
        <v>29</v>
      </c>
      <c r="F724" t="s">
        <v>42</v>
      </c>
      <c r="G724" t="s">
        <v>144</v>
      </c>
      <c r="H724" t="s">
        <v>43</v>
      </c>
      <c r="I724" t="s">
        <v>33</v>
      </c>
      <c r="J724" t="s">
        <v>161</v>
      </c>
      <c r="K724" s="1">
        <v>0.78564387731481478</v>
      </c>
      <c r="L724">
        <f>YEAR(Coffe_sales[[#This Row],[Date]])</f>
        <v>2024</v>
      </c>
    </row>
    <row r="725" spans="1:12" x14ac:dyDescent="0.2">
      <c r="A725" t="s">
        <v>131</v>
      </c>
      <c r="B725" t="s">
        <v>12</v>
      </c>
      <c r="C725">
        <v>32.82</v>
      </c>
      <c r="D725" t="s">
        <v>26</v>
      </c>
      <c r="E725" t="s">
        <v>29</v>
      </c>
      <c r="F725" t="s">
        <v>42</v>
      </c>
      <c r="G725" t="s">
        <v>144</v>
      </c>
      <c r="H725" t="s">
        <v>43</v>
      </c>
      <c r="I725" t="s">
        <v>33</v>
      </c>
      <c r="J725" t="s">
        <v>161</v>
      </c>
      <c r="K725" s="1">
        <v>0.88624403935185181</v>
      </c>
      <c r="L725">
        <f>YEAR(Coffe_sales[[#This Row],[Date]])</f>
        <v>2024</v>
      </c>
    </row>
    <row r="726" spans="1:12" x14ac:dyDescent="0.2">
      <c r="A726" t="s">
        <v>36</v>
      </c>
      <c r="B726" t="s">
        <v>12</v>
      </c>
      <c r="C726">
        <v>27.92</v>
      </c>
      <c r="D726" t="s">
        <v>24</v>
      </c>
      <c r="E726" t="s">
        <v>22</v>
      </c>
      <c r="F726" t="s">
        <v>47</v>
      </c>
      <c r="G726" t="s">
        <v>144</v>
      </c>
      <c r="H726" t="s">
        <v>48</v>
      </c>
      <c r="I726" t="s">
        <v>33</v>
      </c>
      <c r="J726" t="s">
        <v>162</v>
      </c>
      <c r="K726" s="1">
        <v>0.58618200231481477</v>
      </c>
      <c r="L726">
        <f>YEAR(Coffe_sales[[#This Row],[Date]])</f>
        <v>2024</v>
      </c>
    </row>
    <row r="727" spans="1:12" x14ac:dyDescent="0.2">
      <c r="A727" t="s">
        <v>36</v>
      </c>
      <c r="B727" t="s">
        <v>12</v>
      </c>
      <c r="C727">
        <v>37.72</v>
      </c>
      <c r="D727" t="s">
        <v>52</v>
      </c>
      <c r="E727" t="s">
        <v>22</v>
      </c>
      <c r="F727" t="s">
        <v>47</v>
      </c>
      <c r="G727" t="s">
        <v>144</v>
      </c>
      <c r="H727" t="s">
        <v>48</v>
      </c>
      <c r="I727" t="s">
        <v>33</v>
      </c>
      <c r="J727" t="s">
        <v>162</v>
      </c>
      <c r="K727" s="1">
        <v>0.58694806712962966</v>
      </c>
      <c r="L727">
        <f>YEAR(Coffe_sales[[#This Row],[Date]])</f>
        <v>2024</v>
      </c>
    </row>
    <row r="728" spans="1:12" x14ac:dyDescent="0.2">
      <c r="A728" t="s">
        <v>30</v>
      </c>
      <c r="B728" t="s">
        <v>12</v>
      </c>
      <c r="C728">
        <v>37.72</v>
      </c>
      <c r="D728" t="s">
        <v>52</v>
      </c>
      <c r="E728" t="s">
        <v>29</v>
      </c>
      <c r="F728" t="s">
        <v>47</v>
      </c>
      <c r="G728" t="s">
        <v>144</v>
      </c>
      <c r="H728" t="s">
        <v>48</v>
      </c>
      <c r="I728" t="s">
        <v>33</v>
      </c>
      <c r="J728" t="s">
        <v>162</v>
      </c>
      <c r="K728" s="1">
        <v>0.80602512731481479</v>
      </c>
      <c r="L728">
        <f>YEAR(Coffe_sales[[#This Row],[Date]])</f>
        <v>2024</v>
      </c>
    </row>
    <row r="729" spans="1:12" x14ac:dyDescent="0.2">
      <c r="A729" t="s">
        <v>30</v>
      </c>
      <c r="B729" t="s">
        <v>12</v>
      </c>
      <c r="C729">
        <v>37.72</v>
      </c>
      <c r="D729" t="s">
        <v>52</v>
      </c>
      <c r="E729" t="s">
        <v>29</v>
      </c>
      <c r="F729" t="s">
        <v>47</v>
      </c>
      <c r="G729" t="s">
        <v>144</v>
      </c>
      <c r="H729" t="s">
        <v>48</v>
      </c>
      <c r="I729" t="s">
        <v>33</v>
      </c>
      <c r="J729" t="s">
        <v>162</v>
      </c>
      <c r="K729" s="1">
        <v>0.80670013888888892</v>
      </c>
      <c r="L729">
        <f>YEAR(Coffe_sales[[#This Row],[Date]])</f>
        <v>2024</v>
      </c>
    </row>
    <row r="730" spans="1:12" x14ac:dyDescent="0.2">
      <c r="A730" t="s">
        <v>91</v>
      </c>
      <c r="B730" t="s">
        <v>12</v>
      </c>
      <c r="C730">
        <v>27.92</v>
      </c>
      <c r="D730" t="s">
        <v>41</v>
      </c>
      <c r="E730" t="s">
        <v>29</v>
      </c>
      <c r="F730" t="s">
        <v>47</v>
      </c>
      <c r="G730" t="s">
        <v>144</v>
      </c>
      <c r="H730" t="s">
        <v>48</v>
      </c>
      <c r="I730" t="s">
        <v>33</v>
      </c>
      <c r="J730" t="s">
        <v>162</v>
      </c>
      <c r="K730" s="1">
        <v>0.85821177083333333</v>
      </c>
      <c r="L730">
        <f>YEAR(Coffe_sales[[#This Row],[Date]])</f>
        <v>2024</v>
      </c>
    </row>
    <row r="731" spans="1:12" x14ac:dyDescent="0.2">
      <c r="A731" t="s">
        <v>131</v>
      </c>
      <c r="B731" t="s">
        <v>12</v>
      </c>
      <c r="C731">
        <v>32.82</v>
      </c>
      <c r="D731" t="s">
        <v>26</v>
      </c>
      <c r="E731" t="s">
        <v>29</v>
      </c>
      <c r="F731" t="s">
        <v>47</v>
      </c>
      <c r="G731" t="s">
        <v>144</v>
      </c>
      <c r="H731" t="s">
        <v>48</v>
      </c>
      <c r="I731" t="s">
        <v>33</v>
      </c>
      <c r="J731" t="s">
        <v>162</v>
      </c>
      <c r="K731" s="1">
        <v>0.8894621064814815</v>
      </c>
      <c r="L731">
        <f>YEAR(Coffe_sales[[#This Row],[Date]])</f>
        <v>2024</v>
      </c>
    </row>
    <row r="732" spans="1:12" x14ac:dyDescent="0.2">
      <c r="A732" t="s">
        <v>131</v>
      </c>
      <c r="B732" t="s">
        <v>12</v>
      </c>
      <c r="C732">
        <v>32.82</v>
      </c>
      <c r="D732" t="s">
        <v>26</v>
      </c>
      <c r="E732" t="s">
        <v>29</v>
      </c>
      <c r="F732" t="s">
        <v>47</v>
      </c>
      <c r="G732" t="s">
        <v>144</v>
      </c>
      <c r="H732" t="s">
        <v>48</v>
      </c>
      <c r="I732" t="s">
        <v>33</v>
      </c>
      <c r="J732" t="s">
        <v>162</v>
      </c>
      <c r="K732" s="1">
        <v>0.89049210648148147</v>
      </c>
      <c r="L732">
        <f>YEAR(Coffe_sales[[#This Row],[Date]])</f>
        <v>2024</v>
      </c>
    </row>
    <row r="733" spans="1:12" x14ac:dyDescent="0.2">
      <c r="A733" t="s">
        <v>39</v>
      </c>
      <c r="B733" t="s">
        <v>12</v>
      </c>
      <c r="C733">
        <v>37.72</v>
      </c>
      <c r="D733" t="s">
        <v>13</v>
      </c>
      <c r="E733" t="s">
        <v>14</v>
      </c>
      <c r="F733" t="s">
        <v>50</v>
      </c>
      <c r="G733" t="s">
        <v>144</v>
      </c>
      <c r="H733" t="s">
        <v>18</v>
      </c>
      <c r="I733" t="s">
        <v>33</v>
      </c>
      <c r="J733" t="s">
        <v>163</v>
      </c>
      <c r="K733" s="1">
        <v>0.32453510416666664</v>
      </c>
      <c r="L733">
        <f>YEAR(Coffe_sales[[#This Row],[Date]])</f>
        <v>2024</v>
      </c>
    </row>
    <row r="734" spans="1:12" x14ac:dyDescent="0.2">
      <c r="A734" t="s">
        <v>123</v>
      </c>
      <c r="B734" t="s">
        <v>12</v>
      </c>
      <c r="C734">
        <v>27.92</v>
      </c>
      <c r="D734" t="s">
        <v>41</v>
      </c>
      <c r="E734" t="s">
        <v>14</v>
      </c>
      <c r="F734" t="s">
        <v>50</v>
      </c>
      <c r="G734" t="s">
        <v>144</v>
      </c>
      <c r="H734" t="s">
        <v>18</v>
      </c>
      <c r="I734" t="s">
        <v>33</v>
      </c>
      <c r="J734" t="s">
        <v>163</v>
      </c>
      <c r="K734" s="1">
        <v>0.34576976851851854</v>
      </c>
      <c r="L734">
        <f>YEAR(Coffe_sales[[#This Row],[Date]])</f>
        <v>2024</v>
      </c>
    </row>
    <row r="735" spans="1:12" x14ac:dyDescent="0.2">
      <c r="A735" t="s">
        <v>11</v>
      </c>
      <c r="B735" t="s">
        <v>12</v>
      </c>
      <c r="C735">
        <v>27.92</v>
      </c>
      <c r="D735" t="s">
        <v>24</v>
      </c>
      <c r="E735" t="s">
        <v>14</v>
      </c>
      <c r="F735" t="s">
        <v>50</v>
      </c>
      <c r="G735" t="s">
        <v>144</v>
      </c>
      <c r="H735" t="s">
        <v>18</v>
      </c>
      <c r="I735" t="s">
        <v>33</v>
      </c>
      <c r="J735" t="s">
        <v>163</v>
      </c>
      <c r="K735" s="1">
        <v>0.45417236111111109</v>
      </c>
      <c r="L735">
        <f>YEAR(Coffe_sales[[#This Row],[Date]])</f>
        <v>2024</v>
      </c>
    </row>
    <row r="736" spans="1:12" x14ac:dyDescent="0.2">
      <c r="A736" t="s">
        <v>35</v>
      </c>
      <c r="B736" t="s">
        <v>12</v>
      </c>
      <c r="C736">
        <v>37.72</v>
      </c>
      <c r="D736" t="s">
        <v>13</v>
      </c>
      <c r="E736" t="s">
        <v>14</v>
      </c>
      <c r="F736" t="s">
        <v>50</v>
      </c>
      <c r="G736" t="s">
        <v>144</v>
      </c>
      <c r="H736" t="s">
        <v>18</v>
      </c>
      <c r="I736" t="s">
        <v>33</v>
      </c>
      <c r="J736" t="s">
        <v>163</v>
      </c>
      <c r="K736" s="1">
        <v>0.4662940625</v>
      </c>
      <c r="L736">
        <f>YEAR(Coffe_sales[[#This Row],[Date]])</f>
        <v>2024</v>
      </c>
    </row>
    <row r="737" spans="1:12" x14ac:dyDescent="0.2">
      <c r="A737" t="s">
        <v>35</v>
      </c>
      <c r="B737" t="s">
        <v>12</v>
      </c>
      <c r="C737">
        <v>37.72</v>
      </c>
      <c r="D737" t="s">
        <v>31</v>
      </c>
      <c r="E737" t="s">
        <v>14</v>
      </c>
      <c r="F737" t="s">
        <v>50</v>
      </c>
      <c r="G737" t="s">
        <v>144</v>
      </c>
      <c r="H737" t="s">
        <v>18</v>
      </c>
      <c r="I737" t="s">
        <v>33</v>
      </c>
      <c r="J737" t="s">
        <v>163</v>
      </c>
      <c r="K737" s="1">
        <v>0.46703023148148148</v>
      </c>
      <c r="L737">
        <f>YEAR(Coffe_sales[[#This Row],[Date]])</f>
        <v>2024</v>
      </c>
    </row>
    <row r="738" spans="1:12" x14ac:dyDescent="0.2">
      <c r="A738" t="s">
        <v>36</v>
      </c>
      <c r="B738" t="s">
        <v>12</v>
      </c>
      <c r="C738">
        <v>32.82</v>
      </c>
      <c r="D738" t="s">
        <v>26</v>
      </c>
      <c r="E738" t="s">
        <v>22</v>
      </c>
      <c r="F738" t="s">
        <v>50</v>
      </c>
      <c r="G738" t="s">
        <v>144</v>
      </c>
      <c r="H738" t="s">
        <v>18</v>
      </c>
      <c r="I738" t="s">
        <v>33</v>
      </c>
      <c r="J738" t="s">
        <v>163</v>
      </c>
      <c r="K738" s="1">
        <v>0.59833631944444443</v>
      </c>
      <c r="L738">
        <f>YEAR(Coffe_sales[[#This Row],[Date]])</f>
        <v>2024</v>
      </c>
    </row>
    <row r="739" spans="1:12" x14ac:dyDescent="0.2">
      <c r="A739" t="s">
        <v>28</v>
      </c>
      <c r="B739" t="s">
        <v>12</v>
      </c>
      <c r="C739">
        <v>37.72</v>
      </c>
      <c r="D739" t="s">
        <v>52</v>
      </c>
      <c r="E739" t="s">
        <v>29</v>
      </c>
      <c r="F739" t="s">
        <v>50</v>
      </c>
      <c r="G739" t="s">
        <v>144</v>
      </c>
      <c r="H739" t="s">
        <v>18</v>
      </c>
      <c r="I739" t="s">
        <v>33</v>
      </c>
      <c r="J739" t="s">
        <v>163</v>
      </c>
      <c r="K739" s="1">
        <v>0.76994718750000002</v>
      </c>
      <c r="L739">
        <f>YEAR(Coffe_sales[[#This Row],[Date]])</f>
        <v>2024</v>
      </c>
    </row>
    <row r="740" spans="1:12" x14ac:dyDescent="0.2">
      <c r="A740" t="s">
        <v>28</v>
      </c>
      <c r="B740" t="s">
        <v>12</v>
      </c>
      <c r="C740">
        <v>37.72</v>
      </c>
      <c r="D740" t="s">
        <v>13</v>
      </c>
      <c r="E740" t="s">
        <v>29</v>
      </c>
      <c r="F740" t="s">
        <v>50</v>
      </c>
      <c r="G740" t="s">
        <v>144</v>
      </c>
      <c r="H740" t="s">
        <v>18</v>
      </c>
      <c r="I740" t="s">
        <v>33</v>
      </c>
      <c r="J740" t="s">
        <v>163</v>
      </c>
      <c r="K740" s="1">
        <v>0.7708213078703704</v>
      </c>
      <c r="L740">
        <f>YEAR(Coffe_sales[[#This Row],[Date]])</f>
        <v>2024</v>
      </c>
    </row>
    <row r="741" spans="1:12" x14ac:dyDescent="0.2">
      <c r="A741" t="s">
        <v>30</v>
      </c>
      <c r="B741" t="s">
        <v>12</v>
      </c>
      <c r="C741">
        <v>32.82</v>
      </c>
      <c r="D741" t="s">
        <v>26</v>
      </c>
      <c r="E741" t="s">
        <v>29</v>
      </c>
      <c r="F741" t="s">
        <v>50</v>
      </c>
      <c r="G741" t="s">
        <v>144</v>
      </c>
      <c r="H741" t="s">
        <v>18</v>
      </c>
      <c r="I741" t="s">
        <v>33</v>
      </c>
      <c r="J741" t="s">
        <v>163</v>
      </c>
      <c r="K741" s="1">
        <v>0.8135566319444445</v>
      </c>
      <c r="L741">
        <f>YEAR(Coffe_sales[[#This Row],[Date]])</f>
        <v>2024</v>
      </c>
    </row>
    <row r="742" spans="1:12" x14ac:dyDescent="0.2">
      <c r="A742" t="s">
        <v>131</v>
      </c>
      <c r="B742" t="s">
        <v>12</v>
      </c>
      <c r="C742">
        <v>37.72</v>
      </c>
      <c r="D742" t="s">
        <v>52</v>
      </c>
      <c r="E742" t="s">
        <v>29</v>
      </c>
      <c r="F742" t="s">
        <v>50</v>
      </c>
      <c r="G742" t="s">
        <v>144</v>
      </c>
      <c r="H742" t="s">
        <v>18</v>
      </c>
      <c r="I742" t="s">
        <v>33</v>
      </c>
      <c r="J742" t="s">
        <v>163</v>
      </c>
      <c r="K742" s="1">
        <v>0.89513292824074076</v>
      </c>
      <c r="L742">
        <f>YEAR(Coffe_sales[[#This Row],[Date]])</f>
        <v>2024</v>
      </c>
    </row>
    <row r="743" spans="1:12" x14ac:dyDescent="0.2">
      <c r="A743" t="s">
        <v>131</v>
      </c>
      <c r="B743" t="s">
        <v>12</v>
      </c>
      <c r="C743">
        <v>32.82</v>
      </c>
      <c r="D743" t="s">
        <v>26</v>
      </c>
      <c r="E743" t="s">
        <v>29</v>
      </c>
      <c r="F743" t="s">
        <v>50</v>
      </c>
      <c r="G743" t="s">
        <v>144</v>
      </c>
      <c r="H743" t="s">
        <v>18</v>
      </c>
      <c r="I743" t="s">
        <v>33</v>
      </c>
      <c r="J743" t="s">
        <v>163</v>
      </c>
      <c r="K743" s="1">
        <v>0.89587365740740743</v>
      </c>
      <c r="L743">
        <f>YEAR(Coffe_sales[[#This Row],[Date]])</f>
        <v>2024</v>
      </c>
    </row>
    <row r="744" spans="1:12" x14ac:dyDescent="0.2">
      <c r="A744" t="s">
        <v>11</v>
      </c>
      <c r="B744" t="s">
        <v>12</v>
      </c>
      <c r="C744">
        <v>37.72</v>
      </c>
      <c r="D744" t="s">
        <v>13</v>
      </c>
      <c r="E744" t="s">
        <v>14</v>
      </c>
      <c r="F744" t="s">
        <v>53</v>
      </c>
      <c r="G744" t="s">
        <v>144</v>
      </c>
      <c r="H744" t="s">
        <v>54</v>
      </c>
      <c r="I744" t="s">
        <v>33</v>
      </c>
      <c r="J744" t="s">
        <v>164</v>
      </c>
      <c r="K744" s="1">
        <v>0.4514635763888889</v>
      </c>
      <c r="L744">
        <f>YEAR(Coffe_sales[[#This Row],[Date]])</f>
        <v>2024</v>
      </c>
    </row>
    <row r="745" spans="1:12" x14ac:dyDescent="0.2">
      <c r="A745" t="s">
        <v>28</v>
      </c>
      <c r="B745" t="s">
        <v>12</v>
      </c>
      <c r="C745">
        <v>37.72</v>
      </c>
      <c r="D745" t="s">
        <v>13</v>
      </c>
      <c r="E745" t="s">
        <v>29</v>
      </c>
      <c r="F745" t="s">
        <v>53</v>
      </c>
      <c r="G745" t="s">
        <v>144</v>
      </c>
      <c r="H745" t="s">
        <v>54</v>
      </c>
      <c r="I745" t="s">
        <v>33</v>
      </c>
      <c r="J745" t="s">
        <v>164</v>
      </c>
      <c r="K745" s="1">
        <v>0.79099631944444448</v>
      </c>
      <c r="L745">
        <f>YEAR(Coffe_sales[[#This Row],[Date]])</f>
        <v>2024</v>
      </c>
    </row>
    <row r="746" spans="1:12" x14ac:dyDescent="0.2">
      <c r="A746" t="s">
        <v>30</v>
      </c>
      <c r="B746" t="s">
        <v>12</v>
      </c>
      <c r="C746">
        <v>37.72</v>
      </c>
      <c r="D746" t="s">
        <v>13</v>
      </c>
      <c r="E746" t="s">
        <v>29</v>
      </c>
      <c r="F746" t="s">
        <v>53</v>
      </c>
      <c r="G746" t="s">
        <v>144</v>
      </c>
      <c r="H746" t="s">
        <v>54</v>
      </c>
      <c r="I746" t="s">
        <v>33</v>
      </c>
      <c r="J746" t="s">
        <v>164</v>
      </c>
      <c r="K746" s="1">
        <v>0.79166940972222222</v>
      </c>
      <c r="L746">
        <f>YEAR(Coffe_sales[[#This Row],[Date]])</f>
        <v>2024</v>
      </c>
    </row>
    <row r="747" spans="1:12" x14ac:dyDescent="0.2">
      <c r="A747" t="s">
        <v>131</v>
      </c>
      <c r="B747" t="s">
        <v>12</v>
      </c>
      <c r="C747">
        <v>37.72</v>
      </c>
      <c r="D747" t="s">
        <v>13</v>
      </c>
      <c r="E747" t="s">
        <v>29</v>
      </c>
      <c r="F747" t="s">
        <v>53</v>
      </c>
      <c r="G747" t="s">
        <v>144</v>
      </c>
      <c r="H747" t="s">
        <v>54</v>
      </c>
      <c r="I747" t="s">
        <v>33</v>
      </c>
      <c r="J747" t="s">
        <v>164</v>
      </c>
      <c r="K747" s="1">
        <v>0.90219922453703705</v>
      </c>
      <c r="L747">
        <f>YEAR(Coffe_sales[[#This Row],[Date]])</f>
        <v>2024</v>
      </c>
    </row>
    <row r="748" spans="1:12" x14ac:dyDescent="0.2">
      <c r="A748" t="s">
        <v>131</v>
      </c>
      <c r="B748" t="s">
        <v>12</v>
      </c>
      <c r="C748">
        <v>37.72</v>
      </c>
      <c r="D748" t="s">
        <v>13</v>
      </c>
      <c r="E748" t="s">
        <v>29</v>
      </c>
      <c r="F748" t="s">
        <v>53</v>
      </c>
      <c r="G748" t="s">
        <v>144</v>
      </c>
      <c r="H748" t="s">
        <v>54</v>
      </c>
      <c r="I748" t="s">
        <v>33</v>
      </c>
      <c r="J748" t="s">
        <v>164</v>
      </c>
      <c r="K748" s="1">
        <v>0.9150527083333333</v>
      </c>
      <c r="L748">
        <f>YEAR(Coffe_sales[[#This Row],[Date]])</f>
        <v>2024</v>
      </c>
    </row>
    <row r="749" spans="1:12" x14ac:dyDescent="0.2">
      <c r="A749" t="s">
        <v>131</v>
      </c>
      <c r="B749" t="s">
        <v>12</v>
      </c>
      <c r="C749">
        <v>32.82</v>
      </c>
      <c r="D749" t="s">
        <v>26</v>
      </c>
      <c r="E749" t="s">
        <v>29</v>
      </c>
      <c r="F749" t="s">
        <v>53</v>
      </c>
      <c r="G749" t="s">
        <v>144</v>
      </c>
      <c r="H749" t="s">
        <v>54</v>
      </c>
      <c r="I749" t="s">
        <v>33</v>
      </c>
      <c r="J749" t="s">
        <v>164</v>
      </c>
      <c r="K749" s="1">
        <v>0.91617590277777783</v>
      </c>
      <c r="L749">
        <f>YEAR(Coffe_sales[[#This Row],[Date]])</f>
        <v>2024</v>
      </c>
    </row>
    <row r="750" spans="1:12" x14ac:dyDescent="0.2">
      <c r="A750" t="s">
        <v>46</v>
      </c>
      <c r="B750" t="s">
        <v>12</v>
      </c>
      <c r="C750">
        <v>37.72</v>
      </c>
      <c r="D750" t="s">
        <v>13</v>
      </c>
      <c r="E750" t="s">
        <v>14</v>
      </c>
      <c r="F750" t="s">
        <v>15</v>
      </c>
      <c r="G750" t="s">
        <v>144</v>
      </c>
      <c r="H750" t="s">
        <v>17</v>
      </c>
      <c r="I750" t="s">
        <v>33</v>
      </c>
      <c r="J750" t="s">
        <v>165</v>
      </c>
      <c r="K750" s="1">
        <v>0.4166195601851852</v>
      </c>
      <c r="L750">
        <f>YEAR(Coffe_sales[[#This Row],[Date]])</f>
        <v>2024</v>
      </c>
    </row>
    <row r="751" spans="1:12" x14ac:dyDescent="0.2">
      <c r="A751" t="s">
        <v>11</v>
      </c>
      <c r="B751" t="s">
        <v>12</v>
      </c>
      <c r="C751">
        <v>27.92</v>
      </c>
      <c r="D751" t="s">
        <v>24</v>
      </c>
      <c r="E751" t="s">
        <v>14</v>
      </c>
      <c r="F751" t="s">
        <v>15</v>
      </c>
      <c r="G751" t="s">
        <v>144</v>
      </c>
      <c r="H751" t="s">
        <v>17</v>
      </c>
      <c r="I751" t="s">
        <v>33</v>
      </c>
      <c r="J751" t="s">
        <v>165</v>
      </c>
      <c r="K751" s="1">
        <v>0.41782619212962963</v>
      </c>
      <c r="L751">
        <f>YEAR(Coffe_sales[[#This Row],[Date]])</f>
        <v>2024</v>
      </c>
    </row>
    <row r="752" spans="1:12" x14ac:dyDescent="0.2">
      <c r="A752" t="s">
        <v>23</v>
      </c>
      <c r="B752" t="s">
        <v>12</v>
      </c>
      <c r="C752">
        <v>32.82</v>
      </c>
      <c r="D752" t="s">
        <v>26</v>
      </c>
      <c r="E752" t="s">
        <v>22</v>
      </c>
      <c r="F752" t="s">
        <v>15</v>
      </c>
      <c r="G752" t="s">
        <v>144</v>
      </c>
      <c r="H752" t="s">
        <v>17</v>
      </c>
      <c r="I752" t="s">
        <v>33</v>
      </c>
      <c r="J752" t="s">
        <v>165</v>
      </c>
      <c r="K752" s="1">
        <v>0.55508583333333328</v>
      </c>
      <c r="L752">
        <f>YEAR(Coffe_sales[[#This Row],[Date]])</f>
        <v>2024</v>
      </c>
    </row>
    <row r="753" spans="1:12" x14ac:dyDescent="0.2">
      <c r="A753" t="s">
        <v>23</v>
      </c>
      <c r="B753" t="s">
        <v>12</v>
      </c>
      <c r="C753">
        <v>32.82</v>
      </c>
      <c r="D753" t="s">
        <v>26</v>
      </c>
      <c r="E753" t="s">
        <v>22</v>
      </c>
      <c r="F753" t="s">
        <v>15</v>
      </c>
      <c r="G753" t="s">
        <v>144</v>
      </c>
      <c r="H753" t="s">
        <v>17</v>
      </c>
      <c r="I753" t="s">
        <v>33</v>
      </c>
      <c r="J753" t="s">
        <v>165</v>
      </c>
      <c r="K753" s="1">
        <v>0.55592028935185189</v>
      </c>
      <c r="L753">
        <f>YEAR(Coffe_sales[[#This Row],[Date]])</f>
        <v>2024</v>
      </c>
    </row>
    <row r="754" spans="1:12" x14ac:dyDescent="0.2">
      <c r="A754" t="s">
        <v>28</v>
      </c>
      <c r="B754" t="s">
        <v>12</v>
      </c>
      <c r="C754">
        <v>23.02</v>
      </c>
      <c r="D754" t="s">
        <v>45</v>
      </c>
      <c r="E754" t="s">
        <v>29</v>
      </c>
      <c r="F754" t="s">
        <v>15</v>
      </c>
      <c r="G754" t="s">
        <v>144</v>
      </c>
      <c r="H754" t="s">
        <v>17</v>
      </c>
      <c r="I754" t="s">
        <v>33</v>
      </c>
      <c r="J754" t="s">
        <v>165</v>
      </c>
      <c r="K754" s="1">
        <v>0.75851925925925923</v>
      </c>
      <c r="L754">
        <f>YEAR(Coffe_sales[[#This Row],[Date]])</f>
        <v>2024</v>
      </c>
    </row>
    <row r="755" spans="1:12" x14ac:dyDescent="0.2">
      <c r="A755" t="s">
        <v>30</v>
      </c>
      <c r="B755" t="s">
        <v>12</v>
      </c>
      <c r="C755">
        <v>37.72</v>
      </c>
      <c r="D755" t="s">
        <v>13</v>
      </c>
      <c r="E755" t="s">
        <v>29</v>
      </c>
      <c r="F755" t="s">
        <v>15</v>
      </c>
      <c r="G755" t="s">
        <v>144</v>
      </c>
      <c r="H755" t="s">
        <v>17</v>
      </c>
      <c r="I755" t="s">
        <v>33</v>
      </c>
      <c r="J755" t="s">
        <v>165</v>
      </c>
      <c r="K755" s="1">
        <v>0.81280846064814816</v>
      </c>
      <c r="L755">
        <f>YEAR(Coffe_sales[[#This Row],[Date]])</f>
        <v>2024</v>
      </c>
    </row>
    <row r="756" spans="1:12" x14ac:dyDescent="0.2">
      <c r="A756" t="s">
        <v>30</v>
      </c>
      <c r="B756" t="s">
        <v>12</v>
      </c>
      <c r="C756">
        <v>37.72</v>
      </c>
      <c r="D756" t="s">
        <v>52</v>
      </c>
      <c r="E756" t="s">
        <v>29</v>
      </c>
      <c r="F756" t="s">
        <v>15</v>
      </c>
      <c r="G756" t="s">
        <v>144</v>
      </c>
      <c r="H756" t="s">
        <v>17</v>
      </c>
      <c r="I756" t="s">
        <v>33</v>
      </c>
      <c r="J756" t="s">
        <v>165</v>
      </c>
      <c r="K756" s="1">
        <v>0.82437732638888894</v>
      </c>
      <c r="L756">
        <f>YEAR(Coffe_sales[[#This Row],[Date]])</f>
        <v>2024</v>
      </c>
    </row>
    <row r="757" spans="1:12" x14ac:dyDescent="0.2">
      <c r="A757" t="s">
        <v>30</v>
      </c>
      <c r="B757" t="s">
        <v>12</v>
      </c>
      <c r="C757">
        <v>37.72</v>
      </c>
      <c r="D757" t="s">
        <v>52</v>
      </c>
      <c r="E757" t="s">
        <v>29</v>
      </c>
      <c r="F757" t="s">
        <v>15</v>
      </c>
      <c r="G757" t="s">
        <v>144</v>
      </c>
      <c r="H757" t="s">
        <v>17</v>
      </c>
      <c r="I757" t="s">
        <v>33</v>
      </c>
      <c r="J757" t="s">
        <v>165</v>
      </c>
      <c r="K757" s="1">
        <v>0.82507769675925924</v>
      </c>
      <c r="L757">
        <f>YEAR(Coffe_sales[[#This Row],[Date]])</f>
        <v>2024</v>
      </c>
    </row>
    <row r="758" spans="1:12" x14ac:dyDescent="0.2">
      <c r="A758" t="s">
        <v>30</v>
      </c>
      <c r="B758" t="s">
        <v>12</v>
      </c>
      <c r="C758">
        <v>37.72</v>
      </c>
      <c r="D758" t="s">
        <v>52</v>
      </c>
      <c r="E758" t="s">
        <v>29</v>
      </c>
      <c r="F758" t="s">
        <v>15</v>
      </c>
      <c r="G758" t="s">
        <v>144</v>
      </c>
      <c r="H758" t="s">
        <v>17</v>
      </c>
      <c r="I758" t="s">
        <v>33</v>
      </c>
      <c r="J758" t="s">
        <v>165</v>
      </c>
      <c r="K758" s="1">
        <v>0.8263252893518519</v>
      </c>
      <c r="L758">
        <f>YEAR(Coffe_sales[[#This Row],[Date]])</f>
        <v>2024</v>
      </c>
    </row>
    <row r="759" spans="1:12" x14ac:dyDescent="0.2">
      <c r="A759" t="s">
        <v>30</v>
      </c>
      <c r="B759" t="s">
        <v>12</v>
      </c>
      <c r="C759">
        <v>37.72</v>
      </c>
      <c r="D759" t="s">
        <v>52</v>
      </c>
      <c r="E759" t="s">
        <v>29</v>
      </c>
      <c r="F759" t="s">
        <v>15</v>
      </c>
      <c r="G759" t="s">
        <v>144</v>
      </c>
      <c r="H759" t="s">
        <v>17</v>
      </c>
      <c r="I759" t="s">
        <v>33</v>
      </c>
      <c r="J759" t="s">
        <v>165</v>
      </c>
      <c r="K759" s="1">
        <v>0.82708577546296291</v>
      </c>
      <c r="L759">
        <f>YEAR(Coffe_sales[[#This Row],[Date]])</f>
        <v>2024</v>
      </c>
    </row>
    <row r="760" spans="1:12" x14ac:dyDescent="0.2">
      <c r="A760" t="s">
        <v>30</v>
      </c>
      <c r="B760" t="s">
        <v>12</v>
      </c>
      <c r="C760">
        <v>27.92</v>
      </c>
      <c r="D760" t="s">
        <v>24</v>
      </c>
      <c r="E760" t="s">
        <v>29</v>
      </c>
      <c r="F760" t="s">
        <v>15</v>
      </c>
      <c r="G760" t="s">
        <v>144</v>
      </c>
      <c r="H760" t="s">
        <v>17</v>
      </c>
      <c r="I760" t="s">
        <v>33</v>
      </c>
      <c r="J760" t="s">
        <v>165</v>
      </c>
      <c r="K760" s="1">
        <v>0.82799508101851849</v>
      </c>
      <c r="L760">
        <f>YEAR(Coffe_sales[[#This Row],[Date]])</f>
        <v>2024</v>
      </c>
    </row>
    <row r="761" spans="1:12" x14ac:dyDescent="0.2">
      <c r="A761" t="s">
        <v>30</v>
      </c>
      <c r="B761" t="s">
        <v>12</v>
      </c>
      <c r="C761">
        <v>32.82</v>
      </c>
      <c r="D761" t="s">
        <v>26</v>
      </c>
      <c r="E761" t="s">
        <v>29</v>
      </c>
      <c r="F761" t="s">
        <v>15</v>
      </c>
      <c r="G761" t="s">
        <v>144</v>
      </c>
      <c r="H761" t="s">
        <v>17</v>
      </c>
      <c r="I761" t="s">
        <v>33</v>
      </c>
      <c r="J761" t="s">
        <v>165</v>
      </c>
      <c r="K761" s="1">
        <v>0.83029099537037032</v>
      </c>
      <c r="L761">
        <f>YEAR(Coffe_sales[[#This Row],[Date]])</f>
        <v>2024</v>
      </c>
    </row>
    <row r="762" spans="1:12" x14ac:dyDescent="0.2">
      <c r="A762" t="s">
        <v>123</v>
      </c>
      <c r="B762" t="s">
        <v>12</v>
      </c>
      <c r="C762">
        <v>27.92</v>
      </c>
      <c r="D762" t="s">
        <v>41</v>
      </c>
      <c r="E762" t="s">
        <v>14</v>
      </c>
      <c r="F762" t="s">
        <v>32</v>
      </c>
      <c r="G762" t="s">
        <v>144</v>
      </c>
      <c r="H762" t="s">
        <v>33</v>
      </c>
      <c r="I762" t="s">
        <v>33</v>
      </c>
      <c r="J762" t="s">
        <v>166</v>
      </c>
      <c r="K762" s="1">
        <v>0.36099853009259258</v>
      </c>
      <c r="L762">
        <f>YEAR(Coffe_sales[[#This Row],[Date]])</f>
        <v>2024</v>
      </c>
    </row>
    <row r="763" spans="1:12" x14ac:dyDescent="0.2">
      <c r="A763" t="s">
        <v>46</v>
      </c>
      <c r="B763" t="s">
        <v>12</v>
      </c>
      <c r="C763">
        <v>32.82</v>
      </c>
      <c r="D763" t="s">
        <v>26</v>
      </c>
      <c r="E763" t="s">
        <v>14</v>
      </c>
      <c r="F763" t="s">
        <v>32</v>
      </c>
      <c r="G763" t="s">
        <v>144</v>
      </c>
      <c r="H763" t="s">
        <v>33</v>
      </c>
      <c r="I763" t="s">
        <v>33</v>
      </c>
      <c r="J763" t="s">
        <v>166</v>
      </c>
      <c r="K763" s="1">
        <v>0.40125901620370369</v>
      </c>
      <c r="L763">
        <f>YEAR(Coffe_sales[[#This Row],[Date]])</f>
        <v>2024</v>
      </c>
    </row>
    <row r="764" spans="1:12" x14ac:dyDescent="0.2">
      <c r="A764" t="s">
        <v>20</v>
      </c>
      <c r="B764" t="s">
        <v>12</v>
      </c>
      <c r="C764">
        <v>32.82</v>
      </c>
      <c r="D764" t="s">
        <v>26</v>
      </c>
      <c r="E764" t="s">
        <v>22</v>
      </c>
      <c r="F764" t="s">
        <v>32</v>
      </c>
      <c r="G764" t="s">
        <v>144</v>
      </c>
      <c r="H764" t="s">
        <v>33</v>
      </c>
      <c r="I764" t="s">
        <v>33</v>
      </c>
      <c r="J764" t="s">
        <v>166</v>
      </c>
      <c r="K764" s="1">
        <v>0.53698542824074069</v>
      </c>
      <c r="L764">
        <f>YEAR(Coffe_sales[[#This Row],[Date]])</f>
        <v>2024</v>
      </c>
    </row>
    <row r="765" spans="1:12" x14ac:dyDescent="0.2">
      <c r="A765" t="s">
        <v>25</v>
      </c>
      <c r="B765" t="s">
        <v>12</v>
      </c>
      <c r="C765">
        <v>37.72</v>
      </c>
      <c r="D765" t="s">
        <v>13</v>
      </c>
      <c r="E765" t="s">
        <v>22</v>
      </c>
      <c r="F765" t="s">
        <v>32</v>
      </c>
      <c r="G765" t="s">
        <v>144</v>
      </c>
      <c r="H765" t="s">
        <v>33</v>
      </c>
      <c r="I765" t="s">
        <v>33</v>
      </c>
      <c r="J765" t="s">
        <v>166</v>
      </c>
      <c r="K765" s="1">
        <v>0.65092751157407402</v>
      </c>
      <c r="L765">
        <f>YEAR(Coffe_sales[[#This Row],[Date]])</f>
        <v>2024</v>
      </c>
    </row>
    <row r="766" spans="1:12" x14ac:dyDescent="0.2">
      <c r="A766" t="s">
        <v>125</v>
      </c>
      <c r="B766" t="s">
        <v>12</v>
      </c>
      <c r="C766">
        <v>37.72</v>
      </c>
      <c r="D766" t="s">
        <v>52</v>
      </c>
      <c r="E766" t="s">
        <v>29</v>
      </c>
      <c r="F766" t="s">
        <v>32</v>
      </c>
      <c r="G766" t="s">
        <v>144</v>
      </c>
      <c r="H766" t="s">
        <v>33</v>
      </c>
      <c r="I766" t="s">
        <v>33</v>
      </c>
      <c r="J766" t="s">
        <v>166</v>
      </c>
      <c r="K766" s="1">
        <v>0.92387729166666666</v>
      </c>
      <c r="L766">
        <f>YEAR(Coffe_sales[[#This Row],[Date]])</f>
        <v>2024</v>
      </c>
    </row>
    <row r="767" spans="1:12" x14ac:dyDescent="0.2">
      <c r="A767" t="s">
        <v>28</v>
      </c>
      <c r="B767" t="s">
        <v>12</v>
      </c>
      <c r="C767">
        <v>32.82</v>
      </c>
      <c r="D767" t="s">
        <v>26</v>
      </c>
      <c r="E767" t="s">
        <v>29</v>
      </c>
      <c r="F767" t="s">
        <v>38</v>
      </c>
      <c r="G767" t="s">
        <v>144</v>
      </c>
      <c r="H767" t="s">
        <v>39</v>
      </c>
      <c r="I767" t="s">
        <v>33</v>
      </c>
      <c r="J767" t="s">
        <v>167</v>
      </c>
      <c r="K767" s="1">
        <v>0.75834960648148153</v>
      </c>
      <c r="L767">
        <f>YEAR(Coffe_sales[[#This Row],[Date]])</f>
        <v>2024</v>
      </c>
    </row>
    <row r="768" spans="1:12" x14ac:dyDescent="0.2">
      <c r="A768" t="s">
        <v>28</v>
      </c>
      <c r="B768" t="s">
        <v>12</v>
      </c>
      <c r="C768">
        <v>32.82</v>
      </c>
      <c r="D768" t="s">
        <v>26</v>
      </c>
      <c r="E768" t="s">
        <v>29</v>
      </c>
      <c r="F768" t="s">
        <v>38</v>
      </c>
      <c r="G768" t="s">
        <v>144</v>
      </c>
      <c r="H768" t="s">
        <v>39</v>
      </c>
      <c r="I768" t="s">
        <v>33</v>
      </c>
      <c r="J768" t="s">
        <v>167</v>
      </c>
      <c r="K768" s="1">
        <v>0.75961386574074075</v>
      </c>
      <c r="L768">
        <f>YEAR(Coffe_sales[[#This Row],[Date]])</f>
        <v>2024</v>
      </c>
    </row>
    <row r="769" spans="1:12" x14ac:dyDescent="0.2">
      <c r="A769" t="s">
        <v>131</v>
      </c>
      <c r="B769" t="s">
        <v>12</v>
      </c>
      <c r="C769">
        <v>37.72</v>
      </c>
      <c r="D769" t="s">
        <v>52</v>
      </c>
      <c r="E769" t="s">
        <v>29</v>
      </c>
      <c r="F769" t="s">
        <v>38</v>
      </c>
      <c r="G769" t="s">
        <v>144</v>
      </c>
      <c r="H769" t="s">
        <v>39</v>
      </c>
      <c r="I769" t="s">
        <v>33</v>
      </c>
      <c r="J769" t="s">
        <v>167</v>
      </c>
      <c r="K769" s="1">
        <v>0.87971013888888894</v>
      </c>
      <c r="L769">
        <f>YEAR(Coffe_sales[[#This Row],[Date]])</f>
        <v>2024</v>
      </c>
    </row>
    <row r="770" spans="1:12" x14ac:dyDescent="0.2">
      <c r="A770" t="s">
        <v>131</v>
      </c>
      <c r="B770" t="s">
        <v>12</v>
      </c>
      <c r="C770">
        <v>37.72</v>
      </c>
      <c r="D770" t="s">
        <v>13</v>
      </c>
      <c r="E770" t="s">
        <v>29</v>
      </c>
      <c r="F770" t="s">
        <v>38</v>
      </c>
      <c r="G770" t="s">
        <v>144</v>
      </c>
      <c r="H770" t="s">
        <v>39</v>
      </c>
      <c r="I770" t="s">
        <v>33</v>
      </c>
      <c r="J770" t="s">
        <v>167</v>
      </c>
      <c r="K770" s="1">
        <v>0.89522943287037038</v>
      </c>
      <c r="L770">
        <f>YEAR(Coffe_sales[[#This Row],[Date]])</f>
        <v>2024</v>
      </c>
    </row>
    <row r="771" spans="1:12" x14ac:dyDescent="0.2">
      <c r="A771" t="s">
        <v>131</v>
      </c>
      <c r="B771" t="s">
        <v>12</v>
      </c>
      <c r="C771">
        <v>37.72</v>
      </c>
      <c r="D771" t="s">
        <v>52</v>
      </c>
      <c r="E771" t="s">
        <v>29</v>
      </c>
      <c r="F771" t="s">
        <v>38</v>
      </c>
      <c r="G771" t="s">
        <v>144</v>
      </c>
      <c r="H771" t="s">
        <v>39</v>
      </c>
      <c r="I771" t="s">
        <v>33</v>
      </c>
      <c r="J771" t="s">
        <v>167</v>
      </c>
      <c r="K771" s="1">
        <v>0.89625434027777773</v>
      </c>
      <c r="L771">
        <f>YEAR(Coffe_sales[[#This Row],[Date]])</f>
        <v>2024</v>
      </c>
    </row>
    <row r="772" spans="1:12" x14ac:dyDescent="0.2">
      <c r="A772" t="s">
        <v>35</v>
      </c>
      <c r="B772" t="s">
        <v>12</v>
      </c>
      <c r="C772">
        <v>32.82</v>
      </c>
      <c r="D772" t="s">
        <v>26</v>
      </c>
      <c r="E772" t="s">
        <v>14</v>
      </c>
      <c r="F772" t="s">
        <v>42</v>
      </c>
      <c r="G772" t="s">
        <v>144</v>
      </c>
      <c r="H772" t="s">
        <v>43</v>
      </c>
      <c r="I772" t="s">
        <v>33</v>
      </c>
      <c r="J772" t="s">
        <v>168</v>
      </c>
      <c r="K772" s="1">
        <v>0.48935114583333333</v>
      </c>
      <c r="L772">
        <f>YEAR(Coffe_sales[[#This Row],[Date]])</f>
        <v>2024</v>
      </c>
    </row>
    <row r="773" spans="1:12" x14ac:dyDescent="0.2">
      <c r="A773" t="s">
        <v>35</v>
      </c>
      <c r="B773" t="s">
        <v>12</v>
      </c>
      <c r="C773">
        <v>37.72</v>
      </c>
      <c r="D773" t="s">
        <v>52</v>
      </c>
      <c r="E773" t="s">
        <v>14</v>
      </c>
      <c r="F773" t="s">
        <v>42</v>
      </c>
      <c r="G773" t="s">
        <v>144</v>
      </c>
      <c r="H773" t="s">
        <v>43</v>
      </c>
      <c r="I773" t="s">
        <v>33</v>
      </c>
      <c r="J773" t="s">
        <v>168</v>
      </c>
      <c r="K773" s="1">
        <v>0.49277828703703702</v>
      </c>
      <c r="L773">
        <f>YEAR(Coffe_sales[[#This Row],[Date]])</f>
        <v>2024</v>
      </c>
    </row>
    <row r="774" spans="1:12" x14ac:dyDescent="0.2">
      <c r="A774" t="s">
        <v>35</v>
      </c>
      <c r="B774" t="s">
        <v>12</v>
      </c>
      <c r="C774">
        <v>37.72</v>
      </c>
      <c r="D774" t="s">
        <v>52</v>
      </c>
      <c r="E774" t="s">
        <v>14</v>
      </c>
      <c r="F774" t="s">
        <v>42</v>
      </c>
      <c r="G774" t="s">
        <v>144</v>
      </c>
      <c r="H774" t="s">
        <v>43</v>
      </c>
      <c r="I774" t="s">
        <v>33</v>
      </c>
      <c r="J774" t="s">
        <v>168</v>
      </c>
      <c r="K774" s="1">
        <v>0.49356574074074072</v>
      </c>
      <c r="L774">
        <f>YEAR(Coffe_sales[[#This Row],[Date]])</f>
        <v>2024</v>
      </c>
    </row>
    <row r="775" spans="1:12" x14ac:dyDescent="0.2">
      <c r="A775" t="s">
        <v>25</v>
      </c>
      <c r="B775" t="s">
        <v>12</v>
      </c>
      <c r="C775">
        <v>37.72</v>
      </c>
      <c r="D775" t="s">
        <v>13</v>
      </c>
      <c r="E775" t="s">
        <v>22</v>
      </c>
      <c r="F775" t="s">
        <v>42</v>
      </c>
      <c r="G775" t="s">
        <v>144</v>
      </c>
      <c r="H775" t="s">
        <v>43</v>
      </c>
      <c r="I775" t="s">
        <v>33</v>
      </c>
      <c r="J775" t="s">
        <v>168</v>
      </c>
      <c r="K775" s="1">
        <v>0.62672447916666663</v>
      </c>
      <c r="L775">
        <f>YEAR(Coffe_sales[[#This Row],[Date]])</f>
        <v>2024</v>
      </c>
    </row>
    <row r="776" spans="1:12" x14ac:dyDescent="0.2">
      <c r="A776" t="s">
        <v>27</v>
      </c>
      <c r="B776" t="s">
        <v>12</v>
      </c>
      <c r="C776">
        <v>37.72</v>
      </c>
      <c r="D776" t="s">
        <v>52</v>
      </c>
      <c r="E776" t="s">
        <v>22</v>
      </c>
      <c r="F776" t="s">
        <v>42</v>
      </c>
      <c r="G776" t="s">
        <v>144</v>
      </c>
      <c r="H776" t="s">
        <v>43</v>
      </c>
      <c r="I776" t="s">
        <v>33</v>
      </c>
      <c r="J776" t="s">
        <v>168</v>
      </c>
      <c r="K776" s="1">
        <v>0.69861774305555557</v>
      </c>
      <c r="L776">
        <f>YEAR(Coffe_sales[[#This Row],[Date]])</f>
        <v>2024</v>
      </c>
    </row>
    <row r="777" spans="1:12" x14ac:dyDescent="0.2">
      <c r="A777" t="s">
        <v>27</v>
      </c>
      <c r="B777" t="s">
        <v>12</v>
      </c>
      <c r="C777">
        <v>37.72</v>
      </c>
      <c r="D777" t="s">
        <v>52</v>
      </c>
      <c r="E777" t="s">
        <v>22</v>
      </c>
      <c r="F777" t="s">
        <v>42</v>
      </c>
      <c r="G777" t="s">
        <v>144</v>
      </c>
      <c r="H777" t="s">
        <v>43</v>
      </c>
      <c r="I777" t="s">
        <v>33</v>
      </c>
      <c r="J777" t="s">
        <v>168</v>
      </c>
      <c r="K777" s="1">
        <v>0.6993102893518518</v>
      </c>
      <c r="L777">
        <f>YEAR(Coffe_sales[[#This Row],[Date]])</f>
        <v>2024</v>
      </c>
    </row>
    <row r="778" spans="1:12" x14ac:dyDescent="0.2">
      <c r="A778" t="s">
        <v>123</v>
      </c>
      <c r="B778" t="s">
        <v>12</v>
      </c>
      <c r="C778">
        <v>37.72</v>
      </c>
      <c r="D778" t="s">
        <v>13</v>
      </c>
      <c r="E778" t="s">
        <v>14</v>
      </c>
      <c r="F778" t="s">
        <v>47</v>
      </c>
      <c r="G778" t="s">
        <v>144</v>
      </c>
      <c r="H778" t="s">
        <v>48</v>
      </c>
      <c r="I778" t="s">
        <v>33</v>
      </c>
      <c r="J778" t="s">
        <v>169</v>
      </c>
      <c r="K778" s="1">
        <v>0.34680837962962963</v>
      </c>
      <c r="L778">
        <f>YEAR(Coffe_sales[[#This Row],[Date]])</f>
        <v>2024</v>
      </c>
    </row>
    <row r="779" spans="1:12" x14ac:dyDescent="0.2">
      <c r="A779" t="s">
        <v>11</v>
      </c>
      <c r="B779" t="s">
        <v>12</v>
      </c>
      <c r="C779">
        <v>32.82</v>
      </c>
      <c r="D779" t="s">
        <v>26</v>
      </c>
      <c r="E779" t="s">
        <v>14</v>
      </c>
      <c r="F779" t="s">
        <v>47</v>
      </c>
      <c r="G779" t="s">
        <v>144</v>
      </c>
      <c r="H779" t="s">
        <v>48</v>
      </c>
      <c r="I779" t="s">
        <v>33</v>
      </c>
      <c r="J779" t="s">
        <v>169</v>
      </c>
      <c r="K779" s="1">
        <v>0.43641675925925927</v>
      </c>
      <c r="L779">
        <f>YEAR(Coffe_sales[[#This Row],[Date]])</f>
        <v>2024</v>
      </c>
    </row>
    <row r="780" spans="1:12" x14ac:dyDescent="0.2">
      <c r="A780" t="s">
        <v>11</v>
      </c>
      <c r="B780" t="s">
        <v>12</v>
      </c>
      <c r="C780">
        <v>32.82</v>
      </c>
      <c r="D780" t="s">
        <v>26</v>
      </c>
      <c r="E780" t="s">
        <v>14</v>
      </c>
      <c r="F780" t="s">
        <v>47</v>
      </c>
      <c r="G780" t="s">
        <v>144</v>
      </c>
      <c r="H780" t="s">
        <v>48</v>
      </c>
      <c r="I780" t="s">
        <v>33</v>
      </c>
      <c r="J780" t="s">
        <v>169</v>
      </c>
      <c r="K780" s="1">
        <v>0.43729641203703706</v>
      </c>
      <c r="L780">
        <f>YEAR(Coffe_sales[[#This Row],[Date]])</f>
        <v>2024</v>
      </c>
    </row>
    <row r="781" spans="1:12" x14ac:dyDescent="0.2">
      <c r="A781" t="s">
        <v>35</v>
      </c>
      <c r="B781" t="s">
        <v>12</v>
      </c>
      <c r="C781">
        <v>37.72</v>
      </c>
      <c r="D781" t="s">
        <v>52</v>
      </c>
      <c r="E781" t="s">
        <v>14</v>
      </c>
      <c r="F781" t="s">
        <v>47</v>
      </c>
      <c r="G781" t="s">
        <v>144</v>
      </c>
      <c r="H781" t="s">
        <v>48</v>
      </c>
      <c r="I781" t="s">
        <v>33</v>
      </c>
      <c r="J781" t="s">
        <v>169</v>
      </c>
      <c r="K781" s="1">
        <v>0.4825497222222222</v>
      </c>
      <c r="L781">
        <f>YEAR(Coffe_sales[[#This Row],[Date]])</f>
        <v>2024</v>
      </c>
    </row>
    <row r="782" spans="1:12" x14ac:dyDescent="0.2">
      <c r="A782" t="s">
        <v>46</v>
      </c>
      <c r="B782" t="s">
        <v>12</v>
      </c>
      <c r="C782">
        <v>37.72</v>
      </c>
      <c r="D782" t="s">
        <v>13</v>
      </c>
      <c r="E782" t="s">
        <v>14</v>
      </c>
      <c r="F782" t="s">
        <v>50</v>
      </c>
      <c r="G782" t="s">
        <v>144</v>
      </c>
      <c r="H782" t="s">
        <v>18</v>
      </c>
      <c r="I782" t="s">
        <v>33</v>
      </c>
      <c r="J782" t="s">
        <v>170</v>
      </c>
      <c r="K782" s="1">
        <v>0.39793641203703706</v>
      </c>
      <c r="L782">
        <f>YEAR(Coffe_sales[[#This Row],[Date]])</f>
        <v>2024</v>
      </c>
    </row>
    <row r="783" spans="1:12" x14ac:dyDescent="0.2">
      <c r="A783" t="s">
        <v>27</v>
      </c>
      <c r="B783" t="s">
        <v>12</v>
      </c>
      <c r="C783">
        <v>23.02</v>
      </c>
      <c r="D783" t="s">
        <v>45</v>
      </c>
      <c r="E783" t="s">
        <v>22</v>
      </c>
      <c r="F783" t="s">
        <v>50</v>
      </c>
      <c r="G783" t="s">
        <v>144</v>
      </c>
      <c r="H783" t="s">
        <v>18</v>
      </c>
      <c r="I783" t="s">
        <v>33</v>
      </c>
      <c r="J783" t="s">
        <v>170</v>
      </c>
      <c r="K783" s="1">
        <v>0.68922978009259261</v>
      </c>
      <c r="L783">
        <f>YEAR(Coffe_sales[[#This Row],[Date]])</f>
        <v>2024</v>
      </c>
    </row>
    <row r="784" spans="1:12" x14ac:dyDescent="0.2">
      <c r="A784" t="s">
        <v>27</v>
      </c>
      <c r="B784" t="s">
        <v>12</v>
      </c>
      <c r="C784">
        <v>27.92</v>
      </c>
      <c r="D784" t="s">
        <v>24</v>
      </c>
      <c r="E784" t="s">
        <v>22</v>
      </c>
      <c r="F784" t="s">
        <v>50</v>
      </c>
      <c r="G784" t="s">
        <v>144</v>
      </c>
      <c r="H784" t="s">
        <v>18</v>
      </c>
      <c r="I784" t="s">
        <v>33</v>
      </c>
      <c r="J784" t="s">
        <v>170</v>
      </c>
      <c r="K784" s="1">
        <v>0.69029637731481486</v>
      </c>
      <c r="L784">
        <f>YEAR(Coffe_sales[[#This Row],[Date]])</f>
        <v>2024</v>
      </c>
    </row>
    <row r="785" spans="1:12" x14ac:dyDescent="0.2">
      <c r="A785" t="s">
        <v>131</v>
      </c>
      <c r="B785" t="s">
        <v>12</v>
      </c>
      <c r="C785">
        <v>37.72</v>
      </c>
      <c r="D785" t="s">
        <v>13</v>
      </c>
      <c r="E785" t="s">
        <v>29</v>
      </c>
      <c r="F785" t="s">
        <v>50</v>
      </c>
      <c r="G785" t="s">
        <v>144</v>
      </c>
      <c r="H785" t="s">
        <v>18</v>
      </c>
      <c r="I785" t="s">
        <v>33</v>
      </c>
      <c r="J785" t="s">
        <v>170</v>
      </c>
      <c r="K785" s="1">
        <v>0.89020018518518518</v>
      </c>
      <c r="L785">
        <f>YEAR(Coffe_sales[[#This Row],[Date]])</f>
        <v>2024</v>
      </c>
    </row>
    <row r="786" spans="1:12" x14ac:dyDescent="0.2">
      <c r="A786" t="s">
        <v>131</v>
      </c>
      <c r="B786" t="s">
        <v>12</v>
      </c>
      <c r="C786">
        <v>37.72</v>
      </c>
      <c r="D786" t="s">
        <v>52</v>
      </c>
      <c r="E786" t="s">
        <v>29</v>
      </c>
      <c r="F786" t="s">
        <v>50</v>
      </c>
      <c r="G786" t="s">
        <v>144</v>
      </c>
      <c r="H786" t="s">
        <v>18</v>
      </c>
      <c r="I786" t="s">
        <v>33</v>
      </c>
      <c r="J786" t="s">
        <v>170</v>
      </c>
      <c r="K786" s="1">
        <v>0.89375934027777781</v>
      </c>
      <c r="L786">
        <f>YEAR(Coffe_sales[[#This Row],[Date]])</f>
        <v>2024</v>
      </c>
    </row>
    <row r="787" spans="1:12" x14ac:dyDescent="0.2">
      <c r="A787" t="s">
        <v>131</v>
      </c>
      <c r="B787" t="s">
        <v>12</v>
      </c>
      <c r="C787">
        <v>32.82</v>
      </c>
      <c r="D787" t="s">
        <v>26</v>
      </c>
      <c r="E787" t="s">
        <v>29</v>
      </c>
      <c r="F787" t="s">
        <v>50</v>
      </c>
      <c r="G787" t="s">
        <v>144</v>
      </c>
      <c r="H787" t="s">
        <v>18</v>
      </c>
      <c r="I787" t="s">
        <v>33</v>
      </c>
      <c r="J787" t="s">
        <v>170</v>
      </c>
      <c r="K787" s="1">
        <v>0.89461303240740742</v>
      </c>
      <c r="L787">
        <f>YEAR(Coffe_sales[[#This Row],[Date]])</f>
        <v>2024</v>
      </c>
    </row>
    <row r="788" spans="1:12" x14ac:dyDescent="0.2">
      <c r="A788" t="s">
        <v>46</v>
      </c>
      <c r="B788" t="s">
        <v>12</v>
      </c>
      <c r="C788">
        <v>32.82</v>
      </c>
      <c r="D788" t="s">
        <v>26</v>
      </c>
      <c r="E788" t="s">
        <v>14</v>
      </c>
      <c r="F788" t="s">
        <v>53</v>
      </c>
      <c r="G788" t="s">
        <v>144</v>
      </c>
      <c r="H788" t="s">
        <v>54</v>
      </c>
      <c r="I788" t="s">
        <v>33</v>
      </c>
      <c r="J788" t="s">
        <v>171</v>
      </c>
      <c r="K788" s="1">
        <v>0.38591635416666664</v>
      </c>
      <c r="L788">
        <f>YEAR(Coffe_sales[[#This Row],[Date]])</f>
        <v>2024</v>
      </c>
    </row>
    <row r="789" spans="1:12" x14ac:dyDescent="0.2">
      <c r="A789" t="s">
        <v>27</v>
      </c>
      <c r="B789" t="s">
        <v>12</v>
      </c>
      <c r="C789">
        <v>27.92</v>
      </c>
      <c r="D789" t="s">
        <v>41</v>
      </c>
      <c r="E789" t="s">
        <v>22</v>
      </c>
      <c r="F789" t="s">
        <v>53</v>
      </c>
      <c r="G789" t="s">
        <v>144</v>
      </c>
      <c r="H789" t="s">
        <v>54</v>
      </c>
      <c r="I789" t="s">
        <v>33</v>
      </c>
      <c r="J789" t="s">
        <v>171</v>
      </c>
      <c r="K789" s="1">
        <v>0.67486111111111113</v>
      </c>
      <c r="L789">
        <f>YEAR(Coffe_sales[[#This Row],[Date]])</f>
        <v>2024</v>
      </c>
    </row>
    <row r="790" spans="1:12" x14ac:dyDescent="0.2">
      <c r="A790" t="s">
        <v>131</v>
      </c>
      <c r="B790" t="s">
        <v>12</v>
      </c>
      <c r="C790">
        <v>32.82</v>
      </c>
      <c r="D790" t="s">
        <v>26</v>
      </c>
      <c r="E790" t="s">
        <v>29</v>
      </c>
      <c r="F790" t="s">
        <v>53</v>
      </c>
      <c r="G790" t="s">
        <v>144</v>
      </c>
      <c r="H790" t="s">
        <v>54</v>
      </c>
      <c r="I790" t="s">
        <v>33</v>
      </c>
      <c r="J790" t="s">
        <v>171</v>
      </c>
      <c r="K790" s="1">
        <v>0.90559458333333331</v>
      </c>
      <c r="L790">
        <f>YEAR(Coffe_sales[[#This Row],[Date]])</f>
        <v>2024</v>
      </c>
    </row>
    <row r="791" spans="1:12" x14ac:dyDescent="0.2">
      <c r="A791" t="s">
        <v>131</v>
      </c>
      <c r="B791" t="s">
        <v>12</v>
      </c>
      <c r="C791">
        <v>37.72</v>
      </c>
      <c r="D791" t="s">
        <v>52</v>
      </c>
      <c r="E791" t="s">
        <v>29</v>
      </c>
      <c r="F791" t="s">
        <v>53</v>
      </c>
      <c r="G791" t="s">
        <v>144</v>
      </c>
      <c r="H791" t="s">
        <v>54</v>
      </c>
      <c r="I791" t="s">
        <v>33</v>
      </c>
      <c r="J791" t="s">
        <v>171</v>
      </c>
      <c r="K791" s="1">
        <v>0.91008815972222223</v>
      </c>
      <c r="L791">
        <f>YEAR(Coffe_sales[[#This Row],[Date]])</f>
        <v>2024</v>
      </c>
    </row>
    <row r="792" spans="1:12" x14ac:dyDescent="0.2">
      <c r="A792" t="s">
        <v>123</v>
      </c>
      <c r="B792" t="s">
        <v>12</v>
      </c>
      <c r="C792">
        <v>27.92</v>
      </c>
      <c r="D792" t="s">
        <v>41</v>
      </c>
      <c r="E792" t="s">
        <v>14</v>
      </c>
      <c r="F792" t="s">
        <v>15</v>
      </c>
      <c r="G792" t="s">
        <v>144</v>
      </c>
      <c r="H792" t="s">
        <v>17</v>
      </c>
      <c r="I792" t="s">
        <v>33</v>
      </c>
      <c r="J792" t="s">
        <v>172</v>
      </c>
      <c r="K792" s="1">
        <v>0.33929449074074075</v>
      </c>
      <c r="L792">
        <f>YEAR(Coffe_sales[[#This Row],[Date]])</f>
        <v>2024</v>
      </c>
    </row>
    <row r="793" spans="1:12" x14ac:dyDescent="0.2">
      <c r="A793" t="s">
        <v>37</v>
      </c>
      <c r="B793" t="s">
        <v>12</v>
      </c>
      <c r="C793">
        <v>23.02</v>
      </c>
      <c r="D793" t="s">
        <v>45</v>
      </c>
      <c r="E793" t="s">
        <v>29</v>
      </c>
      <c r="F793" t="s">
        <v>15</v>
      </c>
      <c r="G793" t="s">
        <v>144</v>
      </c>
      <c r="H793" t="s">
        <v>17</v>
      </c>
      <c r="I793" t="s">
        <v>33</v>
      </c>
      <c r="J793" t="s">
        <v>172</v>
      </c>
      <c r="K793" s="1">
        <v>0.74437491898148145</v>
      </c>
      <c r="L793">
        <f>YEAR(Coffe_sales[[#This Row],[Date]])</f>
        <v>2024</v>
      </c>
    </row>
    <row r="794" spans="1:12" x14ac:dyDescent="0.2">
      <c r="A794" t="s">
        <v>131</v>
      </c>
      <c r="B794" t="s">
        <v>12</v>
      </c>
      <c r="C794">
        <v>32.82</v>
      </c>
      <c r="D794" t="s">
        <v>26</v>
      </c>
      <c r="E794" t="s">
        <v>29</v>
      </c>
      <c r="F794" t="s">
        <v>15</v>
      </c>
      <c r="G794" t="s">
        <v>144</v>
      </c>
      <c r="H794" t="s">
        <v>17</v>
      </c>
      <c r="I794" t="s">
        <v>33</v>
      </c>
      <c r="J794" t="s">
        <v>172</v>
      </c>
      <c r="K794" s="1">
        <v>0.91036313657407408</v>
      </c>
      <c r="L794">
        <f>YEAR(Coffe_sales[[#This Row],[Date]])</f>
        <v>2024</v>
      </c>
    </row>
    <row r="795" spans="1:12" x14ac:dyDescent="0.2">
      <c r="A795" t="s">
        <v>131</v>
      </c>
      <c r="B795" t="s">
        <v>12</v>
      </c>
      <c r="C795">
        <v>37.72</v>
      </c>
      <c r="D795" t="s">
        <v>13</v>
      </c>
      <c r="E795" t="s">
        <v>29</v>
      </c>
      <c r="F795" t="s">
        <v>15</v>
      </c>
      <c r="G795" t="s">
        <v>144</v>
      </c>
      <c r="H795" t="s">
        <v>17</v>
      </c>
      <c r="I795" t="s">
        <v>33</v>
      </c>
      <c r="J795" t="s">
        <v>172</v>
      </c>
      <c r="K795" s="1">
        <v>0.91113271990740741</v>
      </c>
      <c r="L795">
        <f>YEAR(Coffe_sales[[#This Row],[Date]])</f>
        <v>2024</v>
      </c>
    </row>
    <row r="796" spans="1:12" x14ac:dyDescent="0.2">
      <c r="A796" t="s">
        <v>125</v>
      </c>
      <c r="B796" t="s">
        <v>12</v>
      </c>
      <c r="C796">
        <v>37.72</v>
      </c>
      <c r="D796" t="s">
        <v>52</v>
      </c>
      <c r="E796" t="s">
        <v>29</v>
      </c>
      <c r="F796" t="s">
        <v>15</v>
      </c>
      <c r="G796" t="s">
        <v>144</v>
      </c>
      <c r="H796" t="s">
        <v>17</v>
      </c>
      <c r="I796" t="s">
        <v>33</v>
      </c>
      <c r="J796" t="s">
        <v>172</v>
      </c>
      <c r="K796" s="1">
        <v>0.93634231481481478</v>
      </c>
      <c r="L796">
        <f>YEAR(Coffe_sales[[#This Row],[Date]])</f>
        <v>2024</v>
      </c>
    </row>
    <row r="797" spans="1:12" x14ac:dyDescent="0.2">
      <c r="A797" t="s">
        <v>46</v>
      </c>
      <c r="B797" t="s">
        <v>12</v>
      </c>
      <c r="C797">
        <v>32.82</v>
      </c>
      <c r="D797" t="s">
        <v>26</v>
      </c>
      <c r="E797" t="s">
        <v>14</v>
      </c>
      <c r="F797" t="s">
        <v>32</v>
      </c>
      <c r="G797" t="s">
        <v>144</v>
      </c>
      <c r="H797" t="s">
        <v>33</v>
      </c>
      <c r="I797" t="s">
        <v>33</v>
      </c>
      <c r="J797" t="s">
        <v>173</v>
      </c>
      <c r="K797" s="1">
        <v>0.40775814814814815</v>
      </c>
      <c r="L797">
        <f>YEAR(Coffe_sales[[#This Row],[Date]])</f>
        <v>2024</v>
      </c>
    </row>
    <row r="798" spans="1:12" x14ac:dyDescent="0.2">
      <c r="A798" t="s">
        <v>35</v>
      </c>
      <c r="B798" t="s">
        <v>12</v>
      </c>
      <c r="C798">
        <v>32.82</v>
      </c>
      <c r="D798" t="s">
        <v>26</v>
      </c>
      <c r="E798" t="s">
        <v>14</v>
      </c>
      <c r="F798" t="s">
        <v>32</v>
      </c>
      <c r="G798" t="s">
        <v>144</v>
      </c>
      <c r="H798" t="s">
        <v>33</v>
      </c>
      <c r="I798" t="s">
        <v>33</v>
      </c>
      <c r="J798" t="s">
        <v>173</v>
      </c>
      <c r="K798" s="1">
        <v>0.48633775462962964</v>
      </c>
      <c r="L798">
        <f>YEAR(Coffe_sales[[#This Row],[Date]])</f>
        <v>2024</v>
      </c>
    </row>
    <row r="799" spans="1:12" x14ac:dyDescent="0.2">
      <c r="A799" t="s">
        <v>35</v>
      </c>
      <c r="B799" t="s">
        <v>12</v>
      </c>
      <c r="C799">
        <v>32.82</v>
      </c>
      <c r="D799" t="s">
        <v>26</v>
      </c>
      <c r="E799" t="s">
        <v>14</v>
      </c>
      <c r="F799" t="s">
        <v>32</v>
      </c>
      <c r="G799" t="s">
        <v>144</v>
      </c>
      <c r="H799" t="s">
        <v>33</v>
      </c>
      <c r="I799" t="s">
        <v>33</v>
      </c>
      <c r="J799" t="s">
        <v>173</v>
      </c>
      <c r="K799" s="1">
        <v>0.48711353009259262</v>
      </c>
      <c r="L799">
        <f>YEAR(Coffe_sales[[#This Row],[Date]])</f>
        <v>2024</v>
      </c>
    </row>
    <row r="800" spans="1:12" x14ac:dyDescent="0.2">
      <c r="A800" t="s">
        <v>20</v>
      </c>
      <c r="B800" t="s">
        <v>12</v>
      </c>
      <c r="C800">
        <v>37.72</v>
      </c>
      <c r="D800" t="s">
        <v>52</v>
      </c>
      <c r="E800" t="s">
        <v>22</v>
      </c>
      <c r="F800" t="s">
        <v>32</v>
      </c>
      <c r="G800" t="s">
        <v>144</v>
      </c>
      <c r="H800" t="s">
        <v>33</v>
      </c>
      <c r="I800" t="s">
        <v>33</v>
      </c>
      <c r="J800" t="s">
        <v>173</v>
      </c>
      <c r="K800" s="1">
        <v>0.5211152546296296</v>
      </c>
      <c r="L800">
        <f>YEAR(Coffe_sales[[#This Row],[Date]])</f>
        <v>2024</v>
      </c>
    </row>
    <row r="801" spans="1:12" x14ac:dyDescent="0.2">
      <c r="A801" t="s">
        <v>20</v>
      </c>
      <c r="B801" t="s">
        <v>12</v>
      </c>
      <c r="C801">
        <v>37.72</v>
      </c>
      <c r="D801" t="s">
        <v>52</v>
      </c>
      <c r="E801" t="s">
        <v>22</v>
      </c>
      <c r="F801" t="s">
        <v>32</v>
      </c>
      <c r="G801" t="s">
        <v>144</v>
      </c>
      <c r="H801" t="s">
        <v>33</v>
      </c>
      <c r="I801" t="s">
        <v>33</v>
      </c>
      <c r="J801" t="s">
        <v>173</v>
      </c>
      <c r="K801" s="1">
        <v>0.52202062500000002</v>
      </c>
      <c r="L801">
        <f>YEAR(Coffe_sales[[#This Row],[Date]])</f>
        <v>2024</v>
      </c>
    </row>
    <row r="802" spans="1:12" x14ac:dyDescent="0.2">
      <c r="A802" t="s">
        <v>37</v>
      </c>
      <c r="B802" t="s">
        <v>12</v>
      </c>
      <c r="C802">
        <v>37.72</v>
      </c>
      <c r="D802" t="s">
        <v>52</v>
      </c>
      <c r="E802" t="s">
        <v>29</v>
      </c>
      <c r="F802" t="s">
        <v>32</v>
      </c>
      <c r="G802" t="s">
        <v>144</v>
      </c>
      <c r="H802" t="s">
        <v>33</v>
      </c>
      <c r="I802" t="s">
        <v>33</v>
      </c>
      <c r="J802" t="s">
        <v>173</v>
      </c>
      <c r="K802" s="1">
        <v>0.72480998842592592</v>
      </c>
      <c r="L802">
        <f>YEAR(Coffe_sales[[#This Row],[Date]])</f>
        <v>2024</v>
      </c>
    </row>
    <row r="803" spans="1:12" x14ac:dyDescent="0.2">
      <c r="A803" t="s">
        <v>37</v>
      </c>
      <c r="B803" t="s">
        <v>12</v>
      </c>
      <c r="C803">
        <v>37.72</v>
      </c>
      <c r="D803" t="s">
        <v>21</v>
      </c>
      <c r="E803" t="s">
        <v>29</v>
      </c>
      <c r="F803" t="s">
        <v>32</v>
      </c>
      <c r="G803" t="s">
        <v>144</v>
      </c>
      <c r="H803" t="s">
        <v>33</v>
      </c>
      <c r="I803" t="s">
        <v>33</v>
      </c>
      <c r="J803" t="s">
        <v>173</v>
      </c>
      <c r="K803" s="1">
        <v>0.7256062152777778</v>
      </c>
      <c r="L803">
        <f>YEAR(Coffe_sales[[#This Row],[Date]])</f>
        <v>2024</v>
      </c>
    </row>
    <row r="804" spans="1:12" x14ac:dyDescent="0.2">
      <c r="A804" t="s">
        <v>131</v>
      </c>
      <c r="B804" t="s">
        <v>12</v>
      </c>
      <c r="C804">
        <v>37.72</v>
      </c>
      <c r="D804" t="s">
        <v>13</v>
      </c>
      <c r="E804" t="s">
        <v>29</v>
      </c>
      <c r="F804" t="s">
        <v>32</v>
      </c>
      <c r="G804" t="s">
        <v>144</v>
      </c>
      <c r="H804" t="s">
        <v>33</v>
      </c>
      <c r="I804" t="s">
        <v>33</v>
      </c>
      <c r="J804" t="s">
        <v>173</v>
      </c>
      <c r="K804" s="1">
        <v>0.89400982638888893</v>
      </c>
      <c r="L804">
        <f>YEAR(Coffe_sales[[#This Row],[Date]])</f>
        <v>2024</v>
      </c>
    </row>
    <row r="805" spans="1:12" x14ac:dyDescent="0.2">
      <c r="A805" t="s">
        <v>11</v>
      </c>
      <c r="B805" t="s">
        <v>12</v>
      </c>
      <c r="C805">
        <v>37.72</v>
      </c>
      <c r="D805" t="s">
        <v>13</v>
      </c>
      <c r="E805" t="s">
        <v>14</v>
      </c>
      <c r="F805" t="s">
        <v>38</v>
      </c>
      <c r="G805" t="s">
        <v>144</v>
      </c>
      <c r="H805" t="s">
        <v>39</v>
      </c>
      <c r="I805" t="s">
        <v>33</v>
      </c>
      <c r="J805" t="s">
        <v>174</v>
      </c>
      <c r="K805" s="1">
        <v>0.43622502314814815</v>
      </c>
      <c r="L805">
        <f>YEAR(Coffe_sales[[#This Row],[Date]])</f>
        <v>2024</v>
      </c>
    </row>
    <row r="806" spans="1:12" x14ac:dyDescent="0.2">
      <c r="A806" t="s">
        <v>23</v>
      </c>
      <c r="B806" t="s">
        <v>12</v>
      </c>
      <c r="C806">
        <v>23.02</v>
      </c>
      <c r="D806" t="s">
        <v>45</v>
      </c>
      <c r="E806" t="s">
        <v>22</v>
      </c>
      <c r="F806" t="s">
        <v>38</v>
      </c>
      <c r="G806" t="s">
        <v>144</v>
      </c>
      <c r="H806" t="s">
        <v>39</v>
      </c>
      <c r="I806" t="s">
        <v>33</v>
      </c>
      <c r="J806" t="s">
        <v>174</v>
      </c>
      <c r="K806" s="1">
        <v>0.54572476851851848</v>
      </c>
      <c r="L806">
        <f>YEAR(Coffe_sales[[#This Row],[Date]])</f>
        <v>2024</v>
      </c>
    </row>
    <row r="807" spans="1:12" x14ac:dyDescent="0.2">
      <c r="A807" t="s">
        <v>27</v>
      </c>
      <c r="B807" t="s">
        <v>12</v>
      </c>
      <c r="C807">
        <v>37.72</v>
      </c>
      <c r="D807" t="s">
        <v>21</v>
      </c>
      <c r="E807" t="s">
        <v>22</v>
      </c>
      <c r="F807" t="s">
        <v>38</v>
      </c>
      <c r="G807" t="s">
        <v>144</v>
      </c>
      <c r="H807" t="s">
        <v>39</v>
      </c>
      <c r="I807" t="s">
        <v>33</v>
      </c>
      <c r="J807" t="s">
        <v>174</v>
      </c>
      <c r="K807" s="1">
        <v>0.70464906250000003</v>
      </c>
      <c r="L807">
        <f>YEAR(Coffe_sales[[#This Row],[Date]])</f>
        <v>2024</v>
      </c>
    </row>
    <row r="808" spans="1:12" x14ac:dyDescent="0.2">
      <c r="A808" t="s">
        <v>131</v>
      </c>
      <c r="B808" t="s">
        <v>12</v>
      </c>
      <c r="C808">
        <v>32.82</v>
      </c>
      <c r="D808" t="s">
        <v>26</v>
      </c>
      <c r="E808" t="s">
        <v>29</v>
      </c>
      <c r="F808" t="s">
        <v>38</v>
      </c>
      <c r="G808" t="s">
        <v>144</v>
      </c>
      <c r="H808" t="s">
        <v>39</v>
      </c>
      <c r="I808" t="s">
        <v>33</v>
      </c>
      <c r="J808" t="s">
        <v>174</v>
      </c>
      <c r="K808" s="1">
        <v>0.87789057870370368</v>
      </c>
      <c r="L808">
        <f>YEAR(Coffe_sales[[#This Row],[Date]])</f>
        <v>2024</v>
      </c>
    </row>
    <row r="809" spans="1:12" x14ac:dyDescent="0.2">
      <c r="A809" t="s">
        <v>28</v>
      </c>
      <c r="B809" t="s">
        <v>12</v>
      </c>
      <c r="C809">
        <v>23.02</v>
      </c>
      <c r="D809" t="s">
        <v>45</v>
      </c>
      <c r="E809" t="s">
        <v>29</v>
      </c>
      <c r="F809" t="s">
        <v>42</v>
      </c>
      <c r="G809" t="s">
        <v>175</v>
      </c>
      <c r="H809" t="s">
        <v>43</v>
      </c>
      <c r="I809" t="s">
        <v>39</v>
      </c>
      <c r="J809" t="s">
        <v>176</v>
      </c>
      <c r="K809" s="1">
        <v>0.75517083333333335</v>
      </c>
      <c r="L809">
        <f>YEAR(Coffe_sales[[#This Row],[Date]])</f>
        <v>2024</v>
      </c>
    </row>
    <row r="810" spans="1:12" x14ac:dyDescent="0.2">
      <c r="A810" t="s">
        <v>28</v>
      </c>
      <c r="B810" t="s">
        <v>12</v>
      </c>
      <c r="C810">
        <v>37.72</v>
      </c>
      <c r="D810" t="s">
        <v>52</v>
      </c>
      <c r="E810" t="s">
        <v>29</v>
      </c>
      <c r="F810" t="s">
        <v>42</v>
      </c>
      <c r="G810" t="s">
        <v>175</v>
      </c>
      <c r="H810" t="s">
        <v>43</v>
      </c>
      <c r="I810" t="s">
        <v>39</v>
      </c>
      <c r="J810" t="s">
        <v>176</v>
      </c>
      <c r="K810" s="1">
        <v>0.78948893518518515</v>
      </c>
      <c r="L810">
        <f>YEAR(Coffe_sales[[#This Row],[Date]])</f>
        <v>2024</v>
      </c>
    </row>
    <row r="811" spans="1:12" x14ac:dyDescent="0.2">
      <c r="A811" t="s">
        <v>28</v>
      </c>
      <c r="B811" t="s">
        <v>12</v>
      </c>
      <c r="C811">
        <v>37.72</v>
      </c>
      <c r="D811" t="s">
        <v>52</v>
      </c>
      <c r="E811" t="s">
        <v>29</v>
      </c>
      <c r="F811" t="s">
        <v>42</v>
      </c>
      <c r="G811" t="s">
        <v>175</v>
      </c>
      <c r="H811" t="s">
        <v>43</v>
      </c>
      <c r="I811" t="s">
        <v>39</v>
      </c>
      <c r="J811" t="s">
        <v>176</v>
      </c>
      <c r="K811" s="1">
        <v>0.79021142361111107</v>
      </c>
      <c r="L811">
        <f>YEAR(Coffe_sales[[#This Row],[Date]])</f>
        <v>2024</v>
      </c>
    </row>
    <row r="812" spans="1:12" x14ac:dyDescent="0.2">
      <c r="A812" t="s">
        <v>11</v>
      </c>
      <c r="B812" t="s">
        <v>12</v>
      </c>
      <c r="C812">
        <v>32.82</v>
      </c>
      <c r="D812" t="s">
        <v>26</v>
      </c>
      <c r="E812" t="s">
        <v>14</v>
      </c>
      <c r="F812" t="s">
        <v>47</v>
      </c>
      <c r="G812" t="s">
        <v>175</v>
      </c>
      <c r="H812" t="s">
        <v>48</v>
      </c>
      <c r="I812" t="s">
        <v>39</v>
      </c>
      <c r="J812" t="s">
        <v>177</v>
      </c>
      <c r="K812" s="1">
        <v>0.44645899305555553</v>
      </c>
      <c r="L812">
        <f>YEAR(Coffe_sales[[#This Row],[Date]])</f>
        <v>2024</v>
      </c>
    </row>
    <row r="813" spans="1:12" x14ac:dyDescent="0.2">
      <c r="A813" t="s">
        <v>11</v>
      </c>
      <c r="B813" t="s">
        <v>12</v>
      </c>
      <c r="C813">
        <v>27.92</v>
      </c>
      <c r="D813" t="s">
        <v>24</v>
      </c>
      <c r="E813" t="s">
        <v>14</v>
      </c>
      <c r="F813" t="s">
        <v>47</v>
      </c>
      <c r="G813" t="s">
        <v>175</v>
      </c>
      <c r="H813" t="s">
        <v>48</v>
      </c>
      <c r="I813" t="s">
        <v>39</v>
      </c>
      <c r="J813" t="s">
        <v>177</v>
      </c>
      <c r="K813" s="1">
        <v>0.44792380787037039</v>
      </c>
      <c r="L813">
        <f>YEAR(Coffe_sales[[#This Row],[Date]])</f>
        <v>2024</v>
      </c>
    </row>
    <row r="814" spans="1:12" x14ac:dyDescent="0.2">
      <c r="A814" t="s">
        <v>20</v>
      </c>
      <c r="B814" t="s">
        <v>12</v>
      </c>
      <c r="C814">
        <v>37.72</v>
      </c>
      <c r="D814" t="s">
        <v>13</v>
      </c>
      <c r="E814" t="s">
        <v>22</v>
      </c>
      <c r="F814" t="s">
        <v>47</v>
      </c>
      <c r="G814" t="s">
        <v>175</v>
      </c>
      <c r="H814" t="s">
        <v>48</v>
      </c>
      <c r="I814" t="s">
        <v>39</v>
      </c>
      <c r="J814" t="s">
        <v>177</v>
      </c>
      <c r="K814" s="1">
        <v>0.53339329861111107</v>
      </c>
      <c r="L814">
        <f>YEAR(Coffe_sales[[#This Row],[Date]])</f>
        <v>2024</v>
      </c>
    </row>
    <row r="815" spans="1:12" x14ac:dyDescent="0.2">
      <c r="A815" t="s">
        <v>36</v>
      </c>
      <c r="B815" t="s">
        <v>12</v>
      </c>
      <c r="C815">
        <v>27.92</v>
      </c>
      <c r="D815" t="s">
        <v>24</v>
      </c>
      <c r="E815" t="s">
        <v>22</v>
      </c>
      <c r="F815" t="s">
        <v>47</v>
      </c>
      <c r="G815" t="s">
        <v>175</v>
      </c>
      <c r="H815" t="s">
        <v>48</v>
      </c>
      <c r="I815" t="s">
        <v>39</v>
      </c>
      <c r="J815" t="s">
        <v>177</v>
      </c>
      <c r="K815" s="1">
        <v>0.5855698032407407</v>
      </c>
      <c r="L815">
        <f>YEAR(Coffe_sales[[#This Row],[Date]])</f>
        <v>2024</v>
      </c>
    </row>
    <row r="816" spans="1:12" x14ac:dyDescent="0.2">
      <c r="A816" t="s">
        <v>27</v>
      </c>
      <c r="B816" t="s">
        <v>12</v>
      </c>
      <c r="C816">
        <v>32.82</v>
      </c>
      <c r="D816" t="s">
        <v>26</v>
      </c>
      <c r="E816" t="s">
        <v>22</v>
      </c>
      <c r="F816" t="s">
        <v>47</v>
      </c>
      <c r="G816" t="s">
        <v>175</v>
      </c>
      <c r="H816" t="s">
        <v>48</v>
      </c>
      <c r="I816" t="s">
        <v>39</v>
      </c>
      <c r="J816" t="s">
        <v>177</v>
      </c>
      <c r="K816" s="1">
        <v>0.68847612268518521</v>
      </c>
      <c r="L816">
        <f>YEAR(Coffe_sales[[#This Row],[Date]])</f>
        <v>2024</v>
      </c>
    </row>
    <row r="817" spans="1:12" x14ac:dyDescent="0.2">
      <c r="A817" t="s">
        <v>125</v>
      </c>
      <c r="B817" t="s">
        <v>12</v>
      </c>
      <c r="C817">
        <v>32.82</v>
      </c>
      <c r="D817" t="s">
        <v>26</v>
      </c>
      <c r="E817" t="s">
        <v>29</v>
      </c>
      <c r="F817" t="s">
        <v>47</v>
      </c>
      <c r="G817" t="s">
        <v>175</v>
      </c>
      <c r="H817" t="s">
        <v>48</v>
      </c>
      <c r="I817" t="s">
        <v>39</v>
      </c>
      <c r="J817" t="s">
        <v>177</v>
      </c>
      <c r="K817" s="1">
        <v>0.9183284259259259</v>
      </c>
      <c r="L817">
        <f>YEAR(Coffe_sales[[#This Row],[Date]])</f>
        <v>2024</v>
      </c>
    </row>
    <row r="818" spans="1:12" x14ac:dyDescent="0.2">
      <c r="A818" t="s">
        <v>23</v>
      </c>
      <c r="B818" t="s">
        <v>12</v>
      </c>
      <c r="C818">
        <v>32.82</v>
      </c>
      <c r="D818" t="s">
        <v>26</v>
      </c>
      <c r="E818" t="s">
        <v>22</v>
      </c>
      <c r="F818" t="s">
        <v>50</v>
      </c>
      <c r="G818" t="s">
        <v>175</v>
      </c>
      <c r="H818" t="s">
        <v>18</v>
      </c>
      <c r="I818" t="s">
        <v>39</v>
      </c>
      <c r="J818" t="s">
        <v>178</v>
      </c>
      <c r="K818" s="1">
        <v>0.57725619212962964</v>
      </c>
      <c r="L818">
        <f>YEAR(Coffe_sales[[#This Row],[Date]])</f>
        <v>2024</v>
      </c>
    </row>
    <row r="819" spans="1:12" x14ac:dyDescent="0.2">
      <c r="A819" t="s">
        <v>27</v>
      </c>
      <c r="B819" t="s">
        <v>12</v>
      </c>
      <c r="C819">
        <v>37.72</v>
      </c>
      <c r="D819" t="s">
        <v>52</v>
      </c>
      <c r="E819" t="s">
        <v>22</v>
      </c>
      <c r="F819" t="s">
        <v>50</v>
      </c>
      <c r="G819" t="s">
        <v>175</v>
      </c>
      <c r="H819" t="s">
        <v>18</v>
      </c>
      <c r="I819" t="s">
        <v>39</v>
      </c>
      <c r="J819" t="s">
        <v>178</v>
      </c>
      <c r="K819" s="1">
        <v>0.66755270833333336</v>
      </c>
      <c r="L819">
        <f>YEAR(Coffe_sales[[#This Row],[Date]])</f>
        <v>2024</v>
      </c>
    </row>
    <row r="820" spans="1:12" x14ac:dyDescent="0.2">
      <c r="A820" t="s">
        <v>27</v>
      </c>
      <c r="B820" t="s">
        <v>12</v>
      </c>
      <c r="C820">
        <v>37.72</v>
      </c>
      <c r="D820" t="s">
        <v>52</v>
      </c>
      <c r="E820" t="s">
        <v>22</v>
      </c>
      <c r="F820" t="s">
        <v>50</v>
      </c>
      <c r="G820" t="s">
        <v>175</v>
      </c>
      <c r="H820" t="s">
        <v>18</v>
      </c>
      <c r="I820" t="s">
        <v>39</v>
      </c>
      <c r="J820" t="s">
        <v>178</v>
      </c>
      <c r="K820" s="1">
        <v>0.70168082175925928</v>
      </c>
      <c r="L820">
        <f>YEAR(Coffe_sales[[#This Row],[Date]])</f>
        <v>2024</v>
      </c>
    </row>
    <row r="821" spans="1:12" x14ac:dyDescent="0.2">
      <c r="A821" t="s">
        <v>27</v>
      </c>
      <c r="B821" t="s">
        <v>12</v>
      </c>
      <c r="C821">
        <v>32.82</v>
      </c>
      <c r="D821" t="s">
        <v>26</v>
      </c>
      <c r="E821" t="s">
        <v>22</v>
      </c>
      <c r="F821" t="s">
        <v>50</v>
      </c>
      <c r="G821" t="s">
        <v>175</v>
      </c>
      <c r="H821" t="s">
        <v>18</v>
      </c>
      <c r="I821" t="s">
        <v>39</v>
      </c>
      <c r="J821" t="s">
        <v>178</v>
      </c>
      <c r="K821" s="1">
        <v>0.70365298611111116</v>
      </c>
      <c r="L821">
        <f>YEAR(Coffe_sales[[#This Row],[Date]])</f>
        <v>2024</v>
      </c>
    </row>
    <row r="822" spans="1:12" x14ac:dyDescent="0.2">
      <c r="A822" t="s">
        <v>27</v>
      </c>
      <c r="B822" t="s">
        <v>12</v>
      </c>
      <c r="C822">
        <v>32.82</v>
      </c>
      <c r="D822" t="s">
        <v>26</v>
      </c>
      <c r="E822" t="s">
        <v>22</v>
      </c>
      <c r="F822" t="s">
        <v>50</v>
      </c>
      <c r="G822" t="s">
        <v>175</v>
      </c>
      <c r="H822" t="s">
        <v>18</v>
      </c>
      <c r="I822" t="s">
        <v>39</v>
      </c>
      <c r="J822" t="s">
        <v>178</v>
      </c>
      <c r="K822" s="1">
        <v>0.70443179398148148</v>
      </c>
      <c r="L822">
        <f>YEAR(Coffe_sales[[#This Row],[Date]])</f>
        <v>2024</v>
      </c>
    </row>
    <row r="823" spans="1:12" x14ac:dyDescent="0.2">
      <c r="A823" t="s">
        <v>27</v>
      </c>
      <c r="B823" t="s">
        <v>12</v>
      </c>
      <c r="C823">
        <v>37.72</v>
      </c>
      <c r="D823" t="s">
        <v>13</v>
      </c>
      <c r="E823" t="s">
        <v>22</v>
      </c>
      <c r="F823" t="s">
        <v>50</v>
      </c>
      <c r="G823" t="s">
        <v>175</v>
      </c>
      <c r="H823" t="s">
        <v>18</v>
      </c>
      <c r="I823" t="s">
        <v>39</v>
      </c>
      <c r="J823" t="s">
        <v>178</v>
      </c>
      <c r="K823" s="1">
        <v>0.70522480324074077</v>
      </c>
      <c r="L823">
        <f>YEAR(Coffe_sales[[#This Row],[Date]])</f>
        <v>2024</v>
      </c>
    </row>
    <row r="824" spans="1:12" x14ac:dyDescent="0.2">
      <c r="A824" t="s">
        <v>27</v>
      </c>
      <c r="B824" t="s">
        <v>12</v>
      </c>
      <c r="C824">
        <v>23.02</v>
      </c>
      <c r="D824" t="s">
        <v>45</v>
      </c>
      <c r="E824" t="s">
        <v>22</v>
      </c>
      <c r="F824" t="s">
        <v>50</v>
      </c>
      <c r="G824" t="s">
        <v>175</v>
      </c>
      <c r="H824" t="s">
        <v>18</v>
      </c>
      <c r="I824" t="s">
        <v>39</v>
      </c>
      <c r="J824" t="s">
        <v>178</v>
      </c>
      <c r="K824" s="1">
        <v>0.70793495370370374</v>
      </c>
      <c r="L824">
        <f>YEAR(Coffe_sales[[#This Row],[Date]])</f>
        <v>2024</v>
      </c>
    </row>
    <row r="825" spans="1:12" x14ac:dyDescent="0.2">
      <c r="A825" t="s">
        <v>37</v>
      </c>
      <c r="B825" t="s">
        <v>12</v>
      </c>
      <c r="C825">
        <v>37.72</v>
      </c>
      <c r="D825" t="s">
        <v>52</v>
      </c>
      <c r="E825" t="s">
        <v>29</v>
      </c>
      <c r="F825" t="s">
        <v>50</v>
      </c>
      <c r="G825" t="s">
        <v>175</v>
      </c>
      <c r="H825" t="s">
        <v>18</v>
      </c>
      <c r="I825" t="s">
        <v>39</v>
      </c>
      <c r="J825" t="s">
        <v>178</v>
      </c>
      <c r="K825" s="1">
        <v>0.7493267013888889</v>
      </c>
      <c r="L825">
        <f>YEAR(Coffe_sales[[#This Row],[Date]])</f>
        <v>2024</v>
      </c>
    </row>
    <row r="826" spans="1:12" x14ac:dyDescent="0.2">
      <c r="A826" t="s">
        <v>30</v>
      </c>
      <c r="B826" t="s">
        <v>12</v>
      </c>
      <c r="C826">
        <v>37.72</v>
      </c>
      <c r="D826" t="s">
        <v>13</v>
      </c>
      <c r="E826" t="s">
        <v>29</v>
      </c>
      <c r="F826" t="s">
        <v>50</v>
      </c>
      <c r="G826" t="s">
        <v>175</v>
      </c>
      <c r="H826" t="s">
        <v>18</v>
      </c>
      <c r="I826" t="s">
        <v>39</v>
      </c>
      <c r="J826" t="s">
        <v>178</v>
      </c>
      <c r="K826" s="1">
        <v>0.79593907407407405</v>
      </c>
      <c r="L826">
        <f>YEAR(Coffe_sales[[#This Row],[Date]])</f>
        <v>2024</v>
      </c>
    </row>
    <row r="827" spans="1:12" x14ac:dyDescent="0.2">
      <c r="A827" t="s">
        <v>11</v>
      </c>
      <c r="B827" t="s">
        <v>12</v>
      </c>
      <c r="C827">
        <v>32.82</v>
      </c>
      <c r="D827" t="s">
        <v>26</v>
      </c>
      <c r="E827" t="s">
        <v>14</v>
      </c>
      <c r="F827" t="s">
        <v>53</v>
      </c>
      <c r="G827" t="s">
        <v>175</v>
      </c>
      <c r="H827" t="s">
        <v>54</v>
      </c>
      <c r="I827" t="s">
        <v>39</v>
      </c>
      <c r="J827" t="s">
        <v>179</v>
      </c>
      <c r="K827" s="1">
        <v>0.43499681712962962</v>
      </c>
      <c r="L827">
        <f>YEAR(Coffe_sales[[#This Row],[Date]])</f>
        <v>2024</v>
      </c>
    </row>
    <row r="828" spans="1:12" x14ac:dyDescent="0.2">
      <c r="A828" t="s">
        <v>11</v>
      </c>
      <c r="B828" t="s">
        <v>12</v>
      </c>
      <c r="C828">
        <v>27.92</v>
      </c>
      <c r="D828" t="s">
        <v>24</v>
      </c>
      <c r="E828" t="s">
        <v>14</v>
      </c>
      <c r="F828" t="s">
        <v>53</v>
      </c>
      <c r="G828" t="s">
        <v>175</v>
      </c>
      <c r="H828" t="s">
        <v>54</v>
      </c>
      <c r="I828" t="s">
        <v>39</v>
      </c>
      <c r="J828" t="s">
        <v>179</v>
      </c>
      <c r="K828" s="1">
        <v>0.43576690972222221</v>
      </c>
      <c r="L828">
        <f>YEAR(Coffe_sales[[#This Row],[Date]])</f>
        <v>2024</v>
      </c>
    </row>
    <row r="829" spans="1:12" x14ac:dyDescent="0.2">
      <c r="A829" t="s">
        <v>20</v>
      </c>
      <c r="B829" t="s">
        <v>12</v>
      </c>
      <c r="C829">
        <v>37.72</v>
      </c>
      <c r="D829" t="s">
        <v>31</v>
      </c>
      <c r="E829" t="s">
        <v>22</v>
      </c>
      <c r="F829" t="s">
        <v>15</v>
      </c>
      <c r="G829" t="s">
        <v>175</v>
      </c>
      <c r="H829" t="s">
        <v>17</v>
      </c>
      <c r="I829" t="s">
        <v>39</v>
      </c>
      <c r="J829" t="s">
        <v>180</v>
      </c>
      <c r="K829" s="1">
        <v>0.51422071759259258</v>
      </c>
      <c r="L829">
        <f>YEAR(Coffe_sales[[#This Row],[Date]])</f>
        <v>2024</v>
      </c>
    </row>
    <row r="830" spans="1:12" x14ac:dyDescent="0.2">
      <c r="A830" t="s">
        <v>23</v>
      </c>
      <c r="B830" t="s">
        <v>12</v>
      </c>
      <c r="C830">
        <v>32.82</v>
      </c>
      <c r="D830" t="s">
        <v>26</v>
      </c>
      <c r="E830" t="s">
        <v>22</v>
      </c>
      <c r="F830" t="s">
        <v>15</v>
      </c>
      <c r="G830" t="s">
        <v>175</v>
      </c>
      <c r="H830" t="s">
        <v>17</v>
      </c>
      <c r="I830" t="s">
        <v>39</v>
      </c>
      <c r="J830" t="s">
        <v>180</v>
      </c>
      <c r="K830" s="1">
        <v>0.57202701388888888</v>
      </c>
      <c r="L830">
        <f>YEAR(Coffe_sales[[#This Row],[Date]])</f>
        <v>2024</v>
      </c>
    </row>
    <row r="831" spans="1:12" x14ac:dyDescent="0.2">
      <c r="A831" t="s">
        <v>23</v>
      </c>
      <c r="B831" t="s">
        <v>12</v>
      </c>
      <c r="C831">
        <v>32.82</v>
      </c>
      <c r="D831" t="s">
        <v>26</v>
      </c>
      <c r="E831" t="s">
        <v>22</v>
      </c>
      <c r="F831" t="s">
        <v>15</v>
      </c>
      <c r="G831" t="s">
        <v>175</v>
      </c>
      <c r="H831" t="s">
        <v>17</v>
      </c>
      <c r="I831" t="s">
        <v>39</v>
      </c>
      <c r="J831" t="s">
        <v>180</v>
      </c>
      <c r="K831" s="1">
        <v>0.57272950231481479</v>
      </c>
      <c r="L831">
        <f>YEAR(Coffe_sales[[#This Row],[Date]])</f>
        <v>2024</v>
      </c>
    </row>
    <row r="832" spans="1:12" x14ac:dyDescent="0.2">
      <c r="A832" t="s">
        <v>28</v>
      </c>
      <c r="B832" t="s">
        <v>12</v>
      </c>
      <c r="C832">
        <v>23.02</v>
      </c>
      <c r="D832" t="s">
        <v>45</v>
      </c>
      <c r="E832" t="s">
        <v>29</v>
      </c>
      <c r="F832" t="s">
        <v>15</v>
      </c>
      <c r="G832" t="s">
        <v>175</v>
      </c>
      <c r="H832" t="s">
        <v>17</v>
      </c>
      <c r="I832" t="s">
        <v>39</v>
      </c>
      <c r="J832" t="s">
        <v>180</v>
      </c>
      <c r="K832" s="1">
        <v>0.78884615740740738</v>
      </c>
      <c r="L832">
        <f>YEAR(Coffe_sales[[#This Row],[Date]])</f>
        <v>2024</v>
      </c>
    </row>
    <row r="833" spans="1:12" x14ac:dyDescent="0.2">
      <c r="A833" t="s">
        <v>30</v>
      </c>
      <c r="B833" t="s">
        <v>12</v>
      </c>
      <c r="C833">
        <v>27.92</v>
      </c>
      <c r="D833" t="s">
        <v>24</v>
      </c>
      <c r="E833" t="s">
        <v>29</v>
      </c>
      <c r="F833" t="s">
        <v>15</v>
      </c>
      <c r="G833" t="s">
        <v>175</v>
      </c>
      <c r="H833" t="s">
        <v>17</v>
      </c>
      <c r="I833" t="s">
        <v>39</v>
      </c>
      <c r="J833" t="s">
        <v>180</v>
      </c>
      <c r="K833" s="1">
        <v>0.82995152777777781</v>
      </c>
      <c r="L833">
        <f>YEAR(Coffe_sales[[#This Row],[Date]])</f>
        <v>2024</v>
      </c>
    </row>
    <row r="834" spans="1:12" x14ac:dyDescent="0.2">
      <c r="A834" t="s">
        <v>125</v>
      </c>
      <c r="B834" t="s">
        <v>12</v>
      </c>
      <c r="C834">
        <v>23.02</v>
      </c>
      <c r="D834" t="s">
        <v>45</v>
      </c>
      <c r="E834" t="s">
        <v>29</v>
      </c>
      <c r="F834" t="s">
        <v>15</v>
      </c>
      <c r="G834" t="s">
        <v>175</v>
      </c>
      <c r="H834" t="s">
        <v>17</v>
      </c>
      <c r="I834" t="s">
        <v>39</v>
      </c>
      <c r="J834" t="s">
        <v>180</v>
      </c>
      <c r="K834" s="1">
        <v>0.92495915509259263</v>
      </c>
      <c r="L834">
        <f>YEAR(Coffe_sales[[#This Row],[Date]])</f>
        <v>2024</v>
      </c>
    </row>
    <row r="835" spans="1:12" x14ac:dyDescent="0.2">
      <c r="A835" t="s">
        <v>125</v>
      </c>
      <c r="B835" t="s">
        <v>12</v>
      </c>
      <c r="C835">
        <v>27.92</v>
      </c>
      <c r="D835" t="s">
        <v>24</v>
      </c>
      <c r="E835" t="s">
        <v>29</v>
      </c>
      <c r="F835" t="s">
        <v>15</v>
      </c>
      <c r="G835" t="s">
        <v>175</v>
      </c>
      <c r="H835" t="s">
        <v>17</v>
      </c>
      <c r="I835" t="s">
        <v>39</v>
      </c>
      <c r="J835" t="s">
        <v>180</v>
      </c>
      <c r="K835" s="1">
        <v>0.92920513888888889</v>
      </c>
      <c r="L835">
        <f>YEAR(Coffe_sales[[#This Row],[Date]])</f>
        <v>2024</v>
      </c>
    </row>
    <row r="836" spans="1:12" x14ac:dyDescent="0.2">
      <c r="A836" t="s">
        <v>125</v>
      </c>
      <c r="B836" t="s">
        <v>12</v>
      </c>
      <c r="C836">
        <v>27.92</v>
      </c>
      <c r="D836" t="s">
        <v>24</v>
      </c>
      <c r="E836" t="s">
        <v>29</v>
      </c>
      <c r="F836" t="s">
        <v>15</v>
      </c>
      <c r="G836" t="s">
        <v>175</v>
      </c>
      <c r="H836" t="s">
        <v>17</v>
      </c>
      <c r="I836" t="s">
        <v>39</v>
      </c>
      <c r="J836" t="s">
        <v>180</v>
      </c>
      <c r="K836" s="1">
        <v>0.92982575231481479</v>
      </c>
      <c r="L836">
        <f>YEAR(Coffe_sales[[#This Row],[Date]])</f>
        <v>2024</v>
      </c>
    </row>
    <row r="837" spans="1:12" x14ac:dyDescent="0.2">
      <c r="A837" t="s">
        <v>125</v>
      </c>
      <c r="B837" t="s">
        <v>12</v>
      </c>
      <c r="C837">
        <v>37.72</v>
      </c>
      <c r="D837" t="s">
        <v>52</v>
      </c>
      <c r="E837" t="s">
        <v>29</v>
      </c>
      <c r="F837" t="s">
        <v>15</v>
      </c>
      <c r="G837" t="s">
        <v>175</v>
      </c>
      <c r="H837" t="s">
        <v>17</v>
      </c>
      <c r="I837" t="s">
        <v>39</v>
      </c>
      <c r="J837" t="s">
        <v>180</v>
      </c>
      <c r="K837" s="1">
        <v>0.93056885416666668</v>
      </c>
      <c r="L837">
        <f>YEAR(Coffe_sales[[#This Row],[Date]])</f>
        <v>2024</v>
      </c>
    </row>
    <row r="838" spans="1:12" x14ac:dyDescent="0.2">
      <c r="A838" t="s">
        <v>125</v>
      </c>
      <c r="B838" t="s">
        <v>12</v>
      </c>
      <c r="C838">
        <v>32.82</v>
      </c>
      <c r="D838" t="s">
        <v>26</v>
      </c>
      <c r="E838" t="s">
        <v>29</v>
      </c>
      <c r="F838" t="s">
        <v>15</v>
      </c>
      <c r="G838" t="s">
        <v>175</v>
      </c>
      <c r="H838" t="s">
        <v>17</v>
      </c>
      <c r="I838" t="s">
        <v>39</v>
      </c>
      <c r="J838" t="s">
        <v>180</v>
      </c>
      <c r="K838" s="1">
        <v>0.93135945601851855</v>
      </c>
      <c r="L838">
        <f>YEAR(Coffe_sales[[#This Row],[Date]])</f>
        <v>2024</v>
      </c>
    </row>
    <row r="839" spans="1:12" x14ac:dyDescent="0.2">
      <c r="A839" t="s">
        <v>11</v>
      </c>
      <c r="B839" t="s">
        <v>12</v>
      </c>
      <c r="C839">
        <v>37.72</v>
      </c>
      <c r="D839" t="s">
        <v>13</v>
      </c>
      <c r="E839" t="s">
        <v>14</v>
      </c>
      <c r="F839" t="s">
        <v>32</v>
      </c>
      <c r="G839" t="s">
        <v>175</v>
      </c>
      <c r="H839" t="s">
        <v>33</v>
      </c>
      <c r="I839" t="s">
        <v>39</v>
      </c>
      <c r="J839" t="s">
        <v>181</v>
      </c>
      <c r="K839" s="1">
        <v>0.43619011574074074</v>
      </c>
      <c r="L839">
        <f>YEAR(Coffe_sales[[#This Row],[Date]])</f>
        <v>2024</v>
      </c>
    </row>
    <row r="840" spans="1:12" x14ac:dyDescent="0.2">
      <c r="A840" t="s">
        <v>37</v>
      </c>
      <c r="B840" t="s">
        <v>12</v>
      </c>
      <c r="C840">
        <v>32.82</v>
      </c>
      <c r="D840" t="s">
        <v>13</v>
      </c>
      <c r="E840" t="s">
        <v>29</v>
      </c>
      <c r="F840" t="s">
        <v>32</v>
      </c>
      <c r="G840" t="s">
        <v>175</v>
      </c>
      <c r="H840" t="s">
        <v>33</v>
      </c>
      <c r="I840" t="s">
        <v>39</v>
      </c>
      <c r="J840" t="s">
        <v>181</v>
      </c>
      <c r="K840" s="1">
        <v>0.71928289351851848</v>
      </c>
      <c r="L840">
        <f>YEAR(Coffe_sales[[#This Row],[Date]])</f>
        <v>2024</v>
      </c>
    </row>
    <row r="841" spans="1:12" x14ac:dyDescent="0.2">
      <c r="A841" t="s">
        <v>37</v>
      </c>
      <c r="B841" t="s">
        <v>12</v>
      </c>
      <c r="C841">
        <v>32.82</v>
      </c>
      <c r="D841" t="s">
        <v>13</v>
      </c>
      <c r="E841" t="s">
        <v>29</v>
      </c>
      <c r="F841" t="s">
        <v>32</v>
      </c>
      <c r="G841" t="s">
        <v>175</v>
      </c>
      <c r="H841" t="s">
        <v>33</v>
      </c>
      <c r="I841" t="s">
        <v>39</v>
      </c>
      <c r="J841" t="s">
        <v>181</v>
      </c>
      <c r="K841" s="1">
        <v>0.72015099537037042</v>
      </c>
      <c r="L841">
        <f>YEAR(Coffe_sales[[#This Row],[Date]])</f>
        <v>2024</v>
      </c>
    </row>
    <row r="842" spans="1:12" x14ac:dyDescent="0.2">
      <c r="A842" t="s">
        <v>30</v>
      </c>
      <c r="B842" t="s">
        <v>12</v>
      </c>
      <c r="C842">
        <v>32.82</v>
      </c>
      <c r="D842" t="s">
        <v>13</v>
      </c>
      <c r="E842" t="s">
        <v>29</v>
      </c>
      <c r="F842" t="s">
        <v>32</v>
      </c>
      <c r="G842" t="s">
        <v>175</v>
      </c>
      <c r="H842" t="s">
        <v>33</v>
      </c>
      <c r="I842" t="s">
        <v>39</v>
      </c>
      <c r="J842" t="s">
        <v>181</v>
      </c>
      <c r="K842" s="1">
        <v>0.79845031249999998</v>
      </c>
      <c r="L842">
        <f>YEAR(Coffe_sales[[#This Row],[Date]])</f>
        <v>2024</v>
      </c>
    </row>
    <row r="843" spans="1:12" x14ac:dyDescent="0.2">
      <c r="A843" t="s">
        <v>30</v>
      </c>
      <c r="B843" t="s">
        <v>12</v>
      </c>
      <c r="C843">
        <v>27.92</v>
      </c>
      <c r="D843" t="s">
        <v>26</v>
      </c>
      <c r="E843" t="s">
        <v>29</v>
      </c>
      <c r="F843" t="s">
        <v>32</v>
      </c>
      <c r="G843" t="s">
        <v>175</v>
      </c>
      <c r="H843" t="s">
        <v>33</v>
      </c>
      <c r="I843" t="s">
        <v>39</v>
      </c>
      <c r="J843" t="s">
        <v>181</v>
      </c>
      <c r="K843" s="1">
        <v>0.79906921296296296</v>
      </c>
      <c r="L843">
        <f>YEAR(Coffe_sales[[#This Row],[Date]])</f>
        <v>2024</v>
      </c>
    </row>
    <row r="844" spans="1:12" x14ac:dyDescent="0.2">
      <c r="A844" t="s">
        <v>46</v>
      </c>
      <c r="B844" t="s">
        <v>12</v>
      </c>
      <c r="C844">
        <v>32.82</v>
      </c>
      <c r="D844" t="s">
        <v>52</v>
      </c>
      <c r="E844" t="s">
        <v>14</v>
      </c>
      <c r="F844" t="s">
        <v>38</v>
      </c>
      <c r="G844" t="s">
        <v>175</v>
      </c>
      <c r="H844" t="s">
        <v>39</v>
      </c>
      <c r="I844" t="s">
        <v>39</v>
      </c>
      <c r="J844" t="s">
        <v>182</v>
      </c>
      <c r="K844" s="1">
        <v>0.37801121527777776</v>
      </c>
      <c r="L844">
        <f>YEAR(Coffe_sales[[#This Row],[Date]])</f>
        <v>2024</v>
      </c>
    </row>
    <row r="845" spans="1:12" x14ac:dyDescent="0.2">
      <c r="A845" t="s">
        <v>46</v>
      </c>
      <c r="B845" t="s">
        <v>12</v>
      </c>
      <c r="C845">
        <v>27.92</v>
      </c>
      <c r="D845" t="s">
        <v>26</v>
      </c>
      <c r="E845" t="s">
        <v>14</v>
      </c>
      <c r="F845" t="s">
        <v>38</v>
      </c>
      <c r="G845" t="s">
        <v>175</v>
      </c>
      <c r="H845" t="s">
        <v>39</v>
      </c>
      <c r="I845" t="s">
        <v>39</v>
      </c>
      <c r="J845" t="s">
        <v>182</v>
      </c>
      <c r="K845" s="1">
        <v>0.38506047453703701</v>
      </c>
      <c r="L845">
        <f>YEAR(Coffe_sales[[#This Row],[Date]])</f>
        <v>2024</v>
      </c>
    </row>
    <row r="846" spans="1:12" x14ac:dyDescent="0.2">
      <c r="A846" t="s">
        <v>46</v>
      </c>
      <c r="B846" t="s">
        <v>12</v>
      </c>
      <c r="C846">
        <v>27.92</v>
      </c>
      <c r="D846" t="s">
        <v>26</v>
      </c>
      <c r="E846" t="s">
        <v>14</v>
      </c>
      <c r="F846" t="s">
        <v>38</v>
      </c>
      <c r="G846" t="s">
        <v>175</v>
      </c>
      <c r="H846" t="s">
        <v>39</v>
      </c>
      <c r="I846" t="s">
        <v>39</v>
      </c>
      <c r="J846" t="s">
        <v>182</v>
      </c>
      <c r="K846" s="1">
        <v>0.38584276620370372</v>
      </c>
      <c r="L846">
        <f>YEAR(Coffe_sales[[#This Row],[Date]])</f>
        <v>2024</v>
      </c>
    </row>
    <row r="847" spans="1:12" x14ac:dyDescent="0.2">
      <c r="A847" t="s">
        <v>46</v>
      </c>
      <c r="B847" t="s">
        <v>12</v>
      </c>
      <c r="C847">
        <v>32.82</v>
      </c>
      <c r="D847" t="s">
        <v>52</v>
      </c>
      <c r="E847" t="s">
        <v>14</v>
      </c>
      <c r="F847" t="s">
        <v>38</v>
      </c>
      <c r="G847" t="s">
        <v>175</v>
      </c>
      <c r="H847" t="s">
        <v>39</v>
      </c>
      <c r="I847" t="s">
        <v>39</v>
      </c>
      <c r="J847" t="s">
        <v>182</v>
      </c>
      <c r="K847" s="1">
        <v>0.39501013888888886</v>
      </c>
      <c r="L847">
        <f>YEAR(Coffe_sales[[#This Row],[Date]])</f>
        <v>2024</v>
      </c>
    </row>
    <row r="848" spans="1:12" x14ac:dyDescent="0.2">
      <c r="A848" t="s">
        <v>46</v>
      </c>
      <c r="B848" t="s">
        <v>12</v>
      </c>
      <c r="C848">
        <v>32.82</v>
      </c>
      <c r="D848" t="s">
        <v>52</v>
      </c>
      <c r="E848" t="s">
        <v>14</v>
      </c>
      <c r="F848" t="s">
        <v>38</v>
      </c>
      <c r="G848" t="s">
        <v>175</v>
      </c>
      <c r="H848" t="s">
        <v>39</v>
      </c>
      <c r="I848" t="s">
        <v>39</v>
      </c>
      <c r="J848" t="s">
        <v>182</v>
      </c>
      <c r="K848" s="1">
        <v>0.39578922453703702</v>
      </c>
      <c r="L848">
        <f>YEAR(Coffe_sales[[#This Row],[Date]])</f>
        <v>2024</v>
      </c>
    </row>
    <row r="849" spans="1:12" x14ac:dyDescent="0.2">
      <c r="A849" t="s">
        <v>36</v>
      </c>
      <c r="B849" t="s">
        <v>12</v>
      </c>
      <c r="C849">
        <v>32.82</v>
      </c>
      <c r="D849" t="s">
        <v>21</v>
      </c>
      <c r="E849" t="s">
        <v>22</v>
      </c>
      <c r="F849" t="s">
        <v>38</v>
      </c>
      <c r="G849" t="s">
        <v>175</v>
      </c>
      <c r="H849" t="s">
        <v>39</v>
      </c>
      <c r="I849" t="s">
        <v>39</v>
      </c>
      <c r="J849" t="s">
        <v>182</v>
      </c>
      <c r="K849" s="1">
        <v>0.62257167824074078</v>
      </c>
      <c r="L849">
        <f>YEAR(Coffe_sales[[#This Row],[Date]])</f>
        <v>2024</v>
      </c>
    </row>
    <row r="850" spans="1:12" x14ac:dyDescent="0.2">
      <c r="A850" t="s">
        <v>36</v>
      </c>
      <c r="B850" t="s">
        <v>12</v>
      </c>
      <c r="C850">
        <v>32.82</v>
      </c>
      <c r="D850" t="s">
        <v>31</v>
      </c>
      <c r="E850" t="s">
        <v>22</v>
      </c>
      <c r="F850" t="s">
        <v>38</v>
      </c>
      <c r="G850" t="s">
        <v>175</v>
      </c>
      <c r="H850" t="s">
        <v>39</v>
      </c>
      <c r="I850" t="s">
        <v>39</v>
      </c>
      <c r="J850" t="s">
        <v>182</v>
      </c>
      <c r="K850" s="1">
        <v>0.62346540509259263</v>
      </c>
      <c r="L850">
        <f>YEAR(Coffe_sales[[#This Row],[Date]])</f>
        <v>2024</v>
      </c>
    </row>
    <row r="851" spans="1:12" x14ac:dyDescent="0.2">
      <c r="A851" t="s">
        <v>37</v>
      </c>
      <c r="B851" t="s">
        <v>12</v>
      </c>
      <c r="C851">
        <v>32.82</v>
      </c>
      <c r="D851" t="s">
        <v>13</v>
      </c>
      <c r="E851" t="s">
        <v>29</v>
      </c>
      <c r="F851" t="s">
        <v>38</v>
      </c>
      <c r="G851" t="s">
        <v>175</v>
      </c>
      <c r="H851" t="s">
        <v>39</v>
      </c>
      <c r="I851" t="s">
        <v>39</v>
      </c>
      <c r="J851" t="s">
        <v>182</v>
      </c>
      <c r="K851" s="1">
        <v>0.71377643518518519</v>
      </c>
      <c r="L851">
        <f>YEAR(Coffe_sales[[#This Row],[Date]])</f>
        <v>2024</v>
      </c>
    </row>
    <row r="852" spans="1:12" x14ac:dyDescent="0.2">
      <c r="A852" t="s">
        <v>30</v>
      </c>
      <c r="B852" t="s">
        <v>12</v>
      </c>
      <c r="C852">
        <v>32.82</v>
      </c>
      <c r="D852" t="s">
        <v>52</v>
      </c>
      <c r="E852" t="s">
        <v>29</v>
      </c>
      <c r="F852" t="s">
        <v>38</v>
      </c>
      <c r="G852" t="s">
        <v>175</v>
      </c>
      <c r="H852" t="s">
        <v>39</v>
      </c>
      <c r="I852" t="s">
        <v>39</v>
      </c>
      <c r="J852" t="s">
        <v>182</v>
      </c>
      <c r="K852" s="1">
        <v>0.81489799768518523</v>
      </c>
      <c r="L852">
        <f>YEAR(Coffe_sales[[#This Row],[Date]])</f>
        <v>2024</v>
      </c>
    </row>
    <row r="853" spans="1:12" x14ac:dyDescent="0.2">
      <c r="A853" t="s">
        <v>91</v>
      </c>
      <c r="B853" t="s">
        <v>12</v>
      </c>
      <c r="C853">
        <v>32.82</v>
      </c>
      <c r="D853" t="s">
        <v>21</v>
      </c>
      <c r="E853" t="s">
        <v>29</v>
      </c>
      <c r="F853" t="s">
        <v>38</v>
      </c>
      <c r="G853" t="s">
        <v>175</v>
      </c>
      <c r="H853" t="s">
        <v>39</v>
      </c>
      <c r="I853" t="s">
        <v>39</v>
      </c>
      <c r="J853" t="s">
        <v>182</v>
      </c>
      <c r="K853" s="1">
        <v>0.83439413194444445</v>
      </c>
      <c r="L853">
        <f>YEAR(Coffe_sales[[#This Row],[Date]])</f>
        <v>2024</v>
      </c>
    </row>
    <row r="854" spans="1:12" x14ac:dyDescent="0.2">
      <c r="A854" t="s">
        <v>125</v>
      </c>
      <c r="B854" t="s">
        <v>12</v>
      </c>
      <c r="C854">
        <v>27.92</v>
      </c>
      <c r="D854" t="s">
        <v>26</v>
      </c>
      <c r="E854" t="s">
        <v>29</v>
      </c>
      <c r="F854" t="s">
        <v>38</v>
      </c>
      <c r="G854" t="s">
        <v>175</v>
      </c>
      <c r="H854" t="s">
        <v>39</v>
      </c>
      <c r="I854" t="s">
        <v>39</v>
      </c>
      <c r="J854" t="s">
        <v>182</v>
      </c>
      <c r="K854" s="1">
        <v>0.9400029513888889</v>
      </c>
      <c r="L854">
        <f>YEAR(Coffe_sales[[#This Row],[Date]])</f>
        <v>2024</v>
      </c>
    </row>
    <row r="855" spans="1:12" x14ac:dyDescent="0.2">
      <c r="A855" t="s">
        <v>39</v>
      </c>
      <c r="B855" t="s">
        <v>12</v>
      </c>
      <c r="C855">
        <v>32.82</v>
      </c>
      <c r="D855" t="s">
        <v>13</v>
      </c>
      <c r="E855" t="s">
        <v>14</v>
      </c>
      <c r="F855" t="s">
        <v>42</v>
      </c>
      <c r="G855" t="s">
        <v>175</v>
      </c>
      <c r="H855" t="s">
        <v>43</v>
      </c>
      <c r="I855" t="s">
        <v>39</v>
      </c>
      <c r="J855" t="s">
        <v>183</v>
      </c>
      <c r="K855" s="1">
        <v>0.3146727314814815</v>
      </c>
      <c r="L855">
        <f>YEAR(Coffe_sales[[#This Row],[Date]])</f>
        <v>2024</v>
      </c>
    </row>
    <row r="856" spans="1:12" x14ac:dyDescent="0.2">
      <c r="A856" t="s">
        <v>20</v>
      </c>
      <c r="B856" t="s">
        <v>12</v>
      </c>
      <c r="C856">
        <v>23.02</v>
      </c>
      <c r="D856" t="s">
        <v>24</v>
      </c>
      <c r="E856" t="s">
        <v>22</v>
      </c>
      <c r="F856" t="s">
        <v>42</v>
      </c>
      <c r="G856" t="s">
        <v>175</v>
      </c>
      <c r="H856" t="s">
        <v>43</v>
      </c>
      <c r="I856" t="s">
        <v>39</v>
      </c>
      <c r="J856" t="s">
        <v>183</v>
      </c>
      <c r="K856" s="1">
        <v>0.50197246527777772</v>
      </c>
      <c r="L856">
        <f>YEAR(Coffe_sales[[#This Row],[Date]])</f>
        <v>2024</v>
      </c>
    </row>
    <row r="857" spans="1:12" x14ac:dyDescent="0.2">
      <c r="A857" t="s">
        <v>36</v>
      </c>
      <c r="B857" t="s">
        <v>12</v>
      </c>
      <c r="C857">
        <v>23.02</v>
      </c>
      <c r="D857" t="s">
        <v>24</v>
      </c>
      <c r="E857" t="s">
        <v>22</v>
      </c>
      <c r="F857" t="s">
        <v>42</v>
      </c>
      <c r="G857" t="s">
        <v>175</v>
      </c>
      <c r="H857" t="s">
        <v>43</v>
      </c>
      <c r="I857" t="s">
        <v>39</v>
      </c>
      <c r="J857" t="s">
        <v>183</v>
      </c>
      <c r="K857" s="1">
        <v>0.6113929398148148</v>
      </c>
      <c r="L857">
        <f>YEAR(Coffe_sales[[#This Row],[Date]])</f>
        <v>2024</v>
      </c>
    </row>
    <row r="858" spans="1:12" x14ac:dyDescent="0.2">
      <c r="A858" t="s">
        <v>30</v>
      </c>
      <c r="B858" t="s">
        <v>12</v>
      </c>
      <c r="C858">
        <v>27.92</v>
      </c>
      <c r="D858" t="s">
        <v>26</v>
      </c>
      <c r="E858" t="s">
        <v>29</v>
      </c>
      <c r="F858" t="s">
        <v>42</v>
      </c>
      <c r="G858" t="s">
        <v>175</v>
      </c>
      <c r="H858" t="s">
        <v>43</v>
      </c>
      <c r="I858" t="s">
        <v>39</v>
      </c>
      <c r="J858" t="s">
        <v>183</v>
      </c>
      <c r="K858" s="1">
        <v>0.8129048148148148</v>
      </c>
      <c r="L858">
        <f>YEAR(Coffe_sales[[#This Row],[Date]])</f>
        <v>2024</v>
      </c>
    </row>
    <row r="859" spans="1:12" x14ac:dyDescent="0.2">
      <c r="A859" t="s">
        <v>125</v>
      </c>
      <c r="B859" t="s">
        <v>12</v>
      </c>
      <c r="C859">
        <v>32.82</v>
      </c>
      <c r="D859" t="s">
        <v>13</v>
      </c>
      <c r="E859" t="s">
        <v>29</v>
      </c>
      <c r="F859" t="s">
        <v>42</v>
      </c>
      <c r="G859" t="s">
        <v>175</v>
      </c>
      <c r="H859" t="s">
        <v>43</v>
      </c>
      <c r="I859" t="s">
        <v>39</v>
      </c>
      <c r="J859" t="s">
        <v>183</v>
      </c>
      <c r="K859" s="1">
        <v>0.92692337962962967</v>
      </c>
      <c r="L859">
        <f>YEAR(Coffe_sales[[#This Row],[Date]])</f>
        <v>2024</v>
      </c>
    </row>
    <row r="860" spans="1:12" x14ac:dyDescent="0.2">
      <c r="A860" t="s">
        <v>11</v>
      </c>
      <c r="B860" t="s">
        <v>12</v>
      </c>
      <c r="C860">
        <v>27.92</v>
      </c>
      <c r="D860" t="s">
        <v>26</v>
      </c>
      <c r="E860" t="s">
        <v>14</v>
      </c>
      <c r="F860" t="s">
        <v>47</v>
      </c>
      <c r="G860" t="s">
        <v>175</v>
      </c>
      <c r="H860" t="s">
        <v>48</v>
      </c>
      <c r="I860" t="s">
        <v>39</v>
      </c>
      <c r="J860" t="s">
        <v>184</v>
      </c>
      <c r="K860" s="1">
        <v>0.43532567129629629</v>
      </c>
      <c r="L860">
        <f>YEAR(Coffe_sales[[#This Row],[Date]])</f>
        <v>2024</v>
      </c>
    </row>
    <row r="861" spans="1:12" x14ac:dyDescent="0.2">
      <c r="A861" t="s">
        <v>11</v>
      </c>
      <c r="B861" t="s">
        <v>12</v>
      </c>
      <c r="C861">
        <v>27.92</v>
      </c>
      <c r="D861" t="s">
        <v>26</v>
      </c>
      <c r="E861" t="s">
        <v>14</v>
      </c>
      <c r="F861" t="s">
        <v>47</v>
      </c>
      <c r="G861" t="s">
        <v>175</v>
      </c>
      <c r="H861" t="s">
        <v>48</v>
      </c>
      <c r="I861" t="s">
        <v>39</v>
      </c>
      <c r="J861" t="s">
        <v>184</v>
      </c>
      <c r="K861" s="1">
        <v>0.44477739583333331</v>
      </c>
      <c r="L861">
        <f>YEAR(Coffe_sales[[#This Row],[Date]])</f>
        <v>2024</v>
      </c>
    </row>
    <row r="862" spans="1:12" x14ac:dyDescent="0.2">
      <c r="A862" t="s">
        <v>35</v>
      </c>
      <c r="B862" t="s">
        <v>12</v>
      </c>
      <c r="C862">
        <v>27.92</v>
      </c>
      <c r="D862" t="s">
        <v>26</v>
      </c>
      <c r="E862" t="s">
        <v>14</v>
      </c>
      <c r="F862" t="s">
        <v>47</v>
      </c>
      <c r="G862" t="s">
        <v>175</v>
      </c>
      <c r="H862" t="s">
        <v>48</v>
      </c>
      <c r="I862" t="s">
        <v>39</v>
      </c>
      <c r="J862" t="s">
        <v>184</v>
      </c>
      <c r="K862" s="1">
        <v>0.47333452546296295</v>
      </c>
      <c r="L862">
        <f>YEAR(Coffe_sales[[#This Row],[Date]])</f>
        <v>2024</v>
      </c>
    </row>
    <row r="863" spans="1:12" x14ac:dyDescent="0.2">
      <c r="A863" t="s">
        <v>35</v>
      </c>
      <c r="B863" t="s">
        <v>12</v>
      </c>
      <c r="C863">
        <v>32.82</v>
      </c>
      <c r="D863" t="s">
        <v>52</v>
      </c>
      <c r="E863" t="s">
        <v>14</v>
      </c>
      <c r="F863" t="s">
        <v>47</v>
      </c>
      <c r="G863" t="s">
        <v>175</v>
      </c>
      <c r="H863" t="s">
        <v>48</v>
      </c>
      <c r="I863" t="s">
        <v>39</v>
      </c>
      <c r="J863" t="s">
        <v>184</v>
      </c>
      <c r="K863" s="1">
        <v>0.4741887037037037</v>
      </c>
      <c r="L863">
        <f>YEAR(Coffe_sales[[#This Row],[Date]])</f>
        <v>2024</v>
      </c>
    </row>
    <row r="864" spans="1:12" x14ac:dyDescent="0.2">
      <c r="A864" t="s">
        <v>27</v>
      </c>
      <c r="B864" t="s">
        <v>12</v>
      </c>
      <c r="C864">
        <v>27.92</v>
      </c>
      <c r="D864" t="s">
        <v>26</v>
      </c>
      <c r="E864" t="s">
        <v>22</v>
      </c>
      <c r="F864" t="s">
        <v>47</v>
      </c>
      <c r="G864" t="s">
        <v>175</v>
      </c>
      <c r="H864" t="s">
        <v>48</v>
      </c>
      <c r="I864" t="s">
        <v>39</v>
      </c>
      <c r="J864" t="s">
        <v>184</v>
      </c>
      <c r="K864" s="1">
        <v>0.69652239583333331</v>
      </c>
      <c r="L864">
        <f>YEAR(Coffe_sales[[#This Row],[Date]])</f>
        <v>2024</v>
      </c>
    </row>
    <row r="865" spans="1:12" x14ac:dyDescent="0.2">
      <c r="A865" t="s">
        <v>35</v>
      </c>
      <c r="B865" t="s">
        <v>12</v>
      </c>
      <c r="C865">
        <v>23.02</v>
      </c>
      <c r="D865" t="s">
        <v>24</v>
      </c>
      <c r="E865" t="s">
        <v>14</v>
      </c>
      <c r="F865" t="s">
        <v>50</v>
      </c>
      <c r="G865" t="s">
        <v>175</v>
      </c>
      <c r="H865" t="s">
        <v>18</v>
      </c>
      <c r="I865" t="s">
        <v>39</v>
      </c>
      <c r="J865" t="s">
        <v>185</v>
      </c>
      <c r="K865" s="1">
        <v>0.46576030092592591</v>
      </c>
      <c r="L865">
        <f>YEAR(Coffe_sales[[#This Row],[Date]])</f>
        <v>2024</v>
      </c>
    </row>
    <row r="866" spans="1:12" x14ac:dyDescent="0.2">
      <c r="A866" t="s">
        <v>20</v>
      </c>
      <c r="B866" t="s">
        <v>12</v>
      </c>
      <c r="C866">
        <v>27.92</v>
      </c>
      <c r="D866" t="s">
        <v>26</v>
      </c>
      <c r="E866" t="s">
        <v>22</v>
      </c>
      <c r="F866" t="s">
        <v>50</v>
      </c>
      <c r="G866" t="s">
        <v>175</v>
      </c>
      <c r="H866" t="s">
        <v>18</v>
      </c>
      <c r="I866" t="s">
        <v>39</v>
      </c>
      <c r="J866" t="s">
        <v>185</v>
      </c>
      <c r="K866" s="1">
        <v>0.52006549768518517</v>
      </c>
      <c r="L866">
        <f>YEAR(Coffe_sales[[#This Row],[Date]])</f>
        <v>2024</v>
      </c>
    </row>
    <row r="867" spans="1:12" x14ac:dyDescent="0.2">
      <c r="A867" t="s">
        <v>125</v>
      </c>
      <c r="B867" t="s">
        <v>12</v>
      </c>
      <c r="C867">
        <v>32.82</v>
      </c>
      <c r="D867" t="s">
        <v>13</v>
      </c>
      <c r="E867" t="s">
        <v>29</v>
      </c>
      <c r="F867" t="s">
        <v>50</v>
      </c>
      <c r="G867" t="s">
        <v>175</v>
      </c>
      <c r="H867" t="s">
        <v>18</v>
      </c>
      <c r="I867" t="s">
        <v>39</v>
      </c>
      <c r="J867" t="s">
        <v>185</v>
      </c>
      <c r="K867" s="1">
        <v>0.9258107523148148</v>
      </c>
      <c r="L867">
        <f>YEAR(Coffe_sales[[#This Row],[Date]])</f>
        <v>2024</v>
      </c>
    </row>
    <row r="868" spans="1:12" x14ac:dyDescent="0.2">
      <c r="A868" t="s">
        <v>35</v>
      </c>
      <c r="B868" t="s">
        <v>12</v>
      </c>
      <c r="C868">
        <v>32.82</v>
      </c>
      <c r="D868" t="s">
        <v>21</v>
      </c>
      <c r="E868" t="s">
        <v>14</v>
      </c>
      <c r="F868" t="s">
        <v>53</v>
      </c>
      <c r="G868" t="s">
        <v>175</v>
      </c>
      <c r="H868" t="s">
        <v>54</v>
      </c>
      <c r="I868" t="s">
        <v>39</v>
      </c>
      <c r="J868" t="s">
        <v>186</v>
      </c>
      <c r="K868" s="1">
        <v>0.47740233796296294</v>
      </c>
      <c r="L868">
        <f>YEAR(Coffe_sales[[#This Row],[Date]])</f>
        <v>2024</v>
      </c>
    </row>
    <row r="869" spans="1:12" x14ac:dyDescent="0.2">
      <c r="A869" t="s">
        <v>27</v>
      </c>
      <c r="B869" t="s">
        <v>12</v>
      </c>
      <c r="C869">
        <v>27.92</v>
      </c>
      <c r="D869" t="s">
        <v>26</v>
      </c>
      <c r="E869" t="s">
        <v>22</v>
      </c>
      <c r="F869" t="s">
        <v>53</v>
      </c>
      <c r="G869" t="s">
        <v>175</v>
      </c>
      <c r="H869" t="s">
        <v>54</v>
      </c>
      <c r="I869" t="s">
        <v>39</v>
      </c>
      <c r="J869" t="s">
        <v>186</v>
      </c>
      <c r="K869" s="1">
        <v>0.7002165393518518</v>
      </c>
      <c r="L869">
        <f>YEAR(Coffe_sales[[#This Row],[Date]])</f>
        <v>2024</v>
      </c>
    </row>
    <row r="870" spans="1:12" x14ac:dyDescent="0.2">
      <c r="A870" t="s">
        <v>125</v>
      </c>
      <c r="B870" t="s">
        <v>12</v>
      </c>
      <c r="C870">
        <v>32.82</v>
      </c>
      <c r="D870" t="s">
        <v>13</v>
      </c>
      <c r="E870" t="s">
        <v>29</v>
      </c>
      <c r="F870" t="s">
        <v>53</v>
      </c>
      <c r="G870" t="s">
        <v>175</v>
      </c>
      <c r="H870" t="s">
        <v>54</v>
      </c>
      <c r="I870" t="s">
        <v>39</v>
      </c>
      <c r="J870" t="s">
        <v>186</v>
      </c>
      <c r="K870" s="1">
        <v>0.93210240740740746</v>
      </c>
      <c r="L870">
        <f>YEAR(Coffe_sales[[#This Row],[Date]])</f>
        <v>2024</v>
      </c>
    </row>
    <row r="871" spans="1:12" x14ac:dyDescent="0.2">
      <c r="A871" t="s">
        <v>125</v>
      </c>
      <c r="B871" t="s">
        <v>12</v>
      </c>
      <c r="C871">
        <v>23.02</v>
      </c>
      <c r="D871" t="s">
        <v>24</v>
      </c>
      <c r="E871" t="s">
        <v>29</v>
      </c>
      <c r="F871" t="s">
        <v>53</v>
      </c>
      <c r="G871" t="s">
        <v>175</v>
      </c>
      <c r="H871" t="s">
        <v>54</v>
      </c>
      <c r="I871" t="s">
        <v>39</v>
      </c>
      <c r="J871" t="s">
        <v>186</v>
      </c>
      <c r="K871" s="1">
        <v>0.93817755787037038</v>
      </c>
      <c r="L871">
        <f>YEAR(Coffe_sales[[#This Row],[Date]])</f>
        <v>2024</v>
      </c>
    </row>
    <row r="872" spans="1:12" x14ac:dyDescent="0.2">
      <c r="A872" t="s">
        <v>123</v>
      </c>
      <c r="B872" t="s">
        <v>12</v>
      </c>
      <c r="C872">
        <v>23.02</v>
      </c>
      <c r="D872" t="s">
        <v>41</v>
      </c>
      <c r="E872" t="s">
        <v>14</v>
      </c>
      <c r="F872" t="s">
        <v>15</v>
      </c>
      <c r="G872" t="s">
        <v>175</v>
      </c>
      <c r="H872" t="s">
        <v>17</v>
      </c>
      <c r="I872" t="s">
        <v>39</v>
      </c>
      <c r="J872" t="s">
        <v>187</v>
      </c>
      <c r="K872" s="1">
        <v>0.33561912037037039</v>
      </c>
      <c r="L872">
        <f>YEAR(Coffe_sales[[#This Row],[Date]])</f>
        <v>2024</v>
      </c>
    </row>
    <row r="873" spans="1:12" x14ac:dyDescent="0.2">
      <c r="A873" t="s">
        <v>35</v>
      </c>
      <c r="B873" t="s">
        <v>12</v>
      </c>
      <c r="C873">
        <v>32.82</v>
      </c>
      <c r="D873" t="s">
        <v>21</v>
      </c>
      <c r="E873" t="s">
        <v>14</v>
      </c>
      <c r="F873" t="s">
        <v>15</v>
      </c>
      <c r="G873" t="s">
        <v>175</v>
      </c>
      <c r="H873" t="s">
        <v>17</v>
      </c>
      <c r="I873" t="s">
        <v>39</v>
      </c>
      <c r="J873" t="s">
        <v>187</v>
      </c>
      <c r="K873" s="1">
        <v>0.49205302083333335</v>
      </c>
      <c r="L873">
        <f>YEAR(Coffe_sales[[#This Row],[Date]])</f>
        <v>2024</v>
      </c>
    </row>
    <row r="874" spans="1:12" x14ac:dyDescent="0.2">
      <c r="A874" t="s">
        <v>125</v>
      </c>
      <c r="B874" t="s">
        <v>12</v>
      </c>
      <c r="C874">
        <v>32.82</v>
      </c>
      <c r="D874" t="s">
        <v>21</v>
      </c>
      <c r="E874" t="s">
        <v>29</v>
      </c>
      <c r="F874" t="s">
        <v>15</v>
      </c>
      <c r="G874" t="s">
        <v>175</v>
      </c>
      <c r="H874" t="s">
        <v>17</v>
      </c>
      <c r="I874" t="s">
        <v>39</v>
      </c>
      <c r="J874" t="s">
        <v>187</v>
      </c>
      <c r="K874" s="1">
        <v>0.93987950231481476</v>
      </c>
      <c r="L874">
        <f>YEAR(Coffe_sales[[#This Row],[Date]])</f>
        <v>2024</v>
      </c>
    </row>
    <row r="875" spans="1:12" x14ac:dyDescent="0.2">
      <c r="A875" t="s">
        <v>125</v>
      </c>
      <c r="B875" t="s">
        <v>12</v>
      </c>
      <c r="C875">
        <v>32.82</v>
      </c>
      <c r="D875" t="s">
        <v>21</v>
      </c>
      <c r="E875" t="s">
        <v>29</v>
      </c>
      <c r="F875" t="s">
        <v>15</v>
      </c>
      <c r="G875" t="s">
        <v>175</v>
      </c>
      <c r="H875" t="s">
        <v>17</v>
      </c>
      <c r="I875" t="s">
        <v>39</v>
      </c>
      <c r="J875" t="s">
        <v>187</v>
      </c>
      <c r="K875" s="1">
        <v>0.94044336805555551</v>
      </c>
      <c r="L875">
        <f>YEAR(Coffe_sales[[#This Row],[Date]])</f>
        <v>2024</v>
      </c>
    </row>
    <row r="876" spans="1:12" x14ac:dyDescent="0.2">
      <c r="A876" t="s">
        <v>125</v>
      </c>
      <c r="B876" t="s">
        <v>12</v>
      </c>
      <c r="C876">
        <v>32.82</v>
      </c>
      <c r="D876" t="s">
        <v>21</v>
      </c>
      <c r="E876" t="s">
        <v>29</v>
      </c>
      <c r="F876" t="s">
        <v>15</v>
      </c>
      <c r="G876" t="s">
        <v>175</v>
      </c>
      <c r="H876" t="s">
        <v>17</v>
      </c>
      <c r="I876" t="s">
        <v>39</v>
      </c>
      <c r="J876" t="s">
        <v>187</v>
      </c>
      <c r="K876" s="1">
        <v>0.94131386574074072</v>
      </c>
      <c r="L876">
        <f>YEAR(Coffe_sales[[#This Row],[Date]])</f>
        <v>2024</v>
      </c>
    </row>
    <row r="877" spans="1:12" x14ac:dyDescent="0.2">
      <c r="A877" t="s">
        <v>11</v>
      </c>
      <c r="B877" t="s">
        <v>12</v>
      </c>
      <c r="C877">
        <v>32.82</v>
      </c>
      <c r="D877" t="s">
        <v>13</v>
      </c>
      <c r="E877" t="s">
        <v>14</v>
      </c>
      <c r="F877" t="s">
        <v>32</v>
      </c>
      <c r="G877" t="s">
        <v>175</v>
      </c>
      <c r="H877" t="s">
        <v>33</v>
      </c>
      <c r="I877" t="s">
        <v>39</v>
      </c>
      <c r="J877" t="s">
        <v>188</v>
      </c>
      <c r="K877" s="1">
        <v>0.44317445601851851</v>
      </c>
      <c r="L877">
        <f>YEAR(Coffe_sales[[#This Row],[Date]])</f>
        <v>2024</v>
      </c>
    </row>
    <row r="878" spans="1:12" x14ac:dyDescent="0.2">
      <c r="A878" t="s">
        <v>35</v>
      </c>
      <c r="B878" t="s">
        <v>12</v>
      </c>
      <c r="C878">
        <v>32.82</v>
      </c>
      <c r="D878" t="s">
        <v>13</v>
      </c>
      <c r="E878" t="s">
        <v>14</v>
      </c>
      <c r="F878" t="s">
        <v>32</v>
      </c>
      <c r="G878" t="s">
        <v>175</v>
      </c>
      <c r="H878" t="s">
        <v>33</v>
      </c>
      <c r="I878" t="s">
        <v>39</v>
      </c>
      <c r="J878" t="s">
        <v>188</v>
      </c>
      <c r="K878" s="1">
        <v>0.48724640046296297</v>
      </c>
      <c r="L878">
        <f>YEAR(Coffe_sales[[#This Row],[Date]])</f>
        <v>2024</v>
      </c>
    </row>
    <row r="879" spans="1:12" x14ac:dyDescent="0.2">
      <c r="A879" t="s">
        <v>11</v>
      </c>
      <c r="B879" t="s">
        <v>12</v>
      </c>
      <c r="C879">
        <v>23.02</v>
      </c>
      <c r="D879" t="s">
        <v>24</v>
      </c>
      <c r="E879" t="s">
        <v>14</v>
      </c>
      <c r="F879" t="s">
        <v>38</v>
      </c>
      <c r="G879" t="s">
        <v>175</v>
      </c>
      <c r="H879" t="s">
        <v>39</v>
      </c>
      <c r="I879" t="s">
        <v>39</v>
      </c>
      <c r="J879" t="s">
        <v>189</v>
      </c>
      <c r="K879" s="1">
        <v>0.45444799768518518</v>
      </c>
      <c r="L879">
        <f>YEAR(Coffe_sales[[#This Row],[Date]])</f>
        <v>2024</v>
      </c>
    </row>
    <row r="880" spans="1:12" x14ac:dyDescent="0.2">
      <c r="A880" t="s">
        <v>11</v>
      </c>
      <c r="B880" t="s">
        <v>12</v>
      </c>
      <c r="C880">
        <v>27.92</v>
      </c>
      <c r="D880" t="s">
        <v>26</v>
      </c>
      <c r="E880" t="s">
        <v>14</v>
      </c>
      <c r="F880" t="s">
        <v>38</v>
      </c>
      <c r="G880" t="s">
        <v>175</v>
      </c>
      <c r="H880" t="s">
        <v>39</v>
      </c>
      <c r="I880" t="s">
        <v>39</v>
      </c>
      <c r="J880" t="s">
        <v>189</v>
      </c>
      <c r="K880" s="1">
        <v>0.45521440972222221</v>
      </c>
      <c r="L880">
        <f>YEAR(Coffe_sales[[#This Row],[Date]])</f>
        <v>2024</v>
      </c>
    </row>
    <row r="881" spans="1:12" x14ac:dyDescent="0.2">
      <c r="A881" t="s">
        <v>11</v>
      </c>
      <c r="B881" t="s">
        <v>12</v>
      </c>
      <c r="C881">
        <v>32.82</v>
      </c>
      <c r="D881" t="s">
        <v>52</v>
      </c>
      <c r="E881" t="s">
        <v>14</v>
      </c>
      <c r="F881" t="s">
        <v>38</v>
      </c>
      <c r="G881" t="s">
        <v>175</v>
      </c>
      <c r="H881" t="s">
        <v>39</v>
      </c>
      <c r="I881" t="s">
        <v>39</v>
      </c>
      <c r="J881" t="s">
        <v>189</v>
      </c>
      <c r="K881" s="1">
        <v>0.45590568287037037</v>
      </c>
      <c r="L881">
        <f>YEAR(Coffe_sales[[#This Row],[Date]])</f>
        <v>2024</v>
      </c>
    </row>
    <row r="882" spans="1:12" x14ac:dyDescent="0.2">
      <c r="A882" t="s">
        <v>11</v>
      </c>
      <c r="B882" t="s">
        <v>12</v>
      </c>
      <c r="C882">
        <v>32.82</v>
      </c>
      <c r="D882" t="s">
        <v>13</v>
      </c>
      <c r="E882" t="s">
        <v>14</v>
      </c>
      <c r="F882" t="s">
        <v>38</v>
      </c>
      <c r="G882" t="s">
        <v>175</v>
      </c>
      <c r="H882" t="s">
        <v>39</v>
      </c>
      <c r="I882" t="s">
        <v>39</v>
      </c>
      <c r="J882" t="s">
        <v>189</v>
      </c>
      <c r="K882" s="1">
        <v>0.4568757175925926</v>
      </c>
      <c r="L882">
        <f>YEAR(Coffe_sales[[#This Row],[Date]])</f>
        <v>2024</v>
      </c>
    </row>
    <row r="883" spans="1:12" x14ac:dyDescent="0.2">
      <c r="A883" t="s">
        <v>35</v>
      </c>
      <c r="B883" t="s">
        <v>12</v>
      </c>
      <c r="C883">
        <v>23.02</v>
      </c>
      <c r="D883" t="s">
        <v>24</v>
      </c>
      <c r="E883" t="s">
        <v>14</v>
      </c>
      <c r="F883" t="s">
        <v>38</v>
      </c>
      <c r="G883" t="s">
        <v>175</v>
      </c>
      <c r="H883" t="s">
        <v>39</v>
      </c>
      <c r="I883" t="s">
        <v>39</v>
      </c>
      <c r="J883" t="s">
        <v>189</v>
      </c>
      <c r="K883" s="1">
        <v>0.45985877314814816</v>
      </c>
      <c r="L883">
        <f>YEAR(Coffe_sales[[#This Row],[Date]])</f>
        <v>2024</v>
      </c>
    </row>
    <row r="884" spans="1:12" x14ac:dyDescent="0.2">
      <c r="A884" t="s">
        <v>125</v>
      </c>
      <c r="B884" t="s">
        <v>12</v>
      </c>
      <c r="C884">
        <v>32.82</v>
      </c>
      <c r="D884" t="s">
        <v>13</v>
      </c>
      <c r="E884" t="s">
        <v>29</v>
      </c>
      <c r="F884" t="s">
        <v>38</v>
      </c>
      <c r="G884" t="s">
        <v>175</v>
      </c>
      <c r="H884" t="s">
        <v>39</v>
      </c>
      <c r="I884" t="s">
        <v>39</v>
      </c>
      <c r="J884" t="s">
        <v>189</v>
      </c>
      <c r="K884" s="1">
        <v>0.93854138888888894</v>
      </c>
      <c r="L884">
        <f>YEAR(Coffe_sales[[#This Row],[Date]])</f>
        <v>2024</v>
      </c>
    </row>
    <row r="885" spans="1:12" x14ac:dyDescent="0.2">
      <c r="A885" t="s">
        <v>39</v>
      </c>
      <c r="B885" t="s">
        <v>12</v>
      </c>
      <c r="C885">
        <v>32.82</v>
      </c>
      <c r="D885" t="s">
        <v>52</v>
      </c>
      <c r="E885" t="s">
        <v>14</v>
      </c>
      <c r="F885" t="s">
        <v>42</v>
      </c>
      <c r="G885" t="s">
        <v>175</v>
      </c>
      <c r="H885" t="s">
        <v>43</v>
      </c>
      <c r="I885" t="s">
        <v>39</v>
      </c>
      <c r="J885" t="s">
        <v>190</v>
      </c>
      <c r="K885" s="1">
        <v>0.31464765046296295</v>
      </c>
      <c r="L885">
        <f>YEAR(Coffe_sales[[#This Row],[Date]])</f>
        <v>2024</v>
      </c>
    </row>
    <row r="886" spans="1:12" x14ac:dyDescent="0.2">
      <c r="A886" t="s">
        <v>20</v>
      </c>
      <c r="B886" t="s">
        <v>12</v>
      </c>
      <c r="C886">
        <v>27.92</v>
      </c>
      <c r="D886" t="s">
        <v>26</v>
      </c>
      <c r="E886" t="s">
        <v>22</v>
      </c>
      <c r="F886" t="s">
        <v>47</v>
      </c>
      <c r="G886" t="s">
        <v>175</v>
      </c>
      <c r="H886" t="s">
        <v>48</v>
      </c>
      <c r="I886" t="s">
        <v>39</v>
      </c>
      <c r="J886" t="s">
        <v>191</v>
      </c>
      <c r="K886" s="1">
        <v>0.51640586805555555</v>
      </c>
      <c r="L886">
        <f>YEAR(Coffe_sales[[#This Row],[Date]])</f>
        <v>2024</v>
      </c>
    </row>
    <row r="887" spans="1:12" x14ac:dyDescent="0.2">
      <c r="A887" t="s">
        <v>30</v>
      </c>
      <c r="B887" t="s">
        <v>12</v>
      </c>
      <c r="C887">
        <v>32.82</v>
      </c>
      <c r="D887" t="s">
        <v>21</v>
      </c>
      <c r="E887" t="s">
        <v>29</v>
      </c>
      <c r="F887" t="s">
        <v>47</v>
      </c>
      <c r="G887" t="s">
        <v>175</v>
      </c>
      <c r="H887" t="s">
        <v>48</v>
      </c>
      <c r="I887" t="s">
        <v>39</v>
      </c>
      <c r="J887" t="s">
        <v>191</v>
      </c>
      <c r="K887" s="1">
        <v>0.81210052083333328</v>
      </c>
      <c r="L887">
        <f>YEAR(Coffe_sales[[#This Row],[Date]])</f>
        <v>2024</v>
      </c>
    </row>
    <row r="888" spans="1:12" x14ac:dyDescent="0.2">
      <c r="A888" t="s">
        <v>23</v>
      </c>
      <c r="B888" t="s">
        <v>12</v>
      </c>
      <c r="C888">
        <v>27.92</v>
      </c>
      <c r="D888" t="s">
        <v>26</v>
      </c>
      <c r="E888" t="s">
        <v>22</v>
      </c>
      <c r="F888" t="s">
        <v>50</v>
      </c>
      <c r="G888" t="s">
        <v>175</v>
      </c>
      <c r="H888" t="s">
        <v>18</v>
      </c>
      <c r="I888" t="s">
        <v>39</v>
      </c>
      <c r="J888" t="s">
        <v>192</v>
      </c>
      <c r="K888" s="1">
        <v>0.54513592592592597</v>
      </c>
      <c r="L888">
        <f>YEAR(Coffe_sales[[#This Row],[Date]])</f>
        <v>2024</v>
      </c>
    </row>
    <row r="889" spans="1:12" x14ac:dyDescent="0.2">
      <c r="A889" t="s">
        <v>35</v>
      </c>
      <c r="B889" t="s">
        <v>12</v>
      </c>
      <c r="C889">
        <v>27.92</v>
      </c>
      <c r="D889" t="s">
        <v>26</v>
      </c>
      <c r="E889" t="s">
        <v>14</v>
      </c>
      <c r="F889" t="s">
        <v>53</v>
      </c>
      <c r="G889" t="s">
        <v>175</v>
      </c>
      <c r="H889" t="s">
        <v>54</v>
      </c>
      <c r="I889" t="s">
        <v>39</v>
      </c>
      <c r="J889" t="s">
        <v>193</v>
      </c>
      <c r="K889" s="1">
        <v>0.46543278935185184</v>
      </c>
      <c r="L889">
        <f>YEAR(Coffe_sales[[#This Row],[Date]])</f>
        <v>2024</v>
      </c>
    </row>
    <row r="890" spans="1:12" x14ac:dyDescent="0.2">
      <c r="A890" t="s">
        <v>35</v>
      </c>
      <c r="B890" t="s">
        <v>12</v>
      </c>
      <c r="C890">
        <v>18.12</v>
      </c>
      <c r="D890" t="s">
        <v>45</v>
      </c>
      <c r="E890" t="s">
        <v>14</v>
      </c>
      <c r="F890" t="s">
        <v>53</v>
      </c>
      <c r="G890" t="s">
        <v>175</v>
      </c>
      <c r="H890" t="s">
        <v>54</v>
      </c>
      <c r="I890" t="s">
        <v>39</v>
      </c>
      <c r="J890" t="s">
        <v>193</v>
      </c>
      <c r="K890" s="1">
        <v>0.46624344907407406</v>
      </c>
      <c r="L890">
        <f>YEAR(Coffe_sales[[#This Row],[Date]])</f>
        <v>2024</v>
      </c>
    </row>
    <row r="891" spans="1:12" x14ac:dyDescent="0.2">
      <c r="A891" t="s">
        <v>35</v>
      </c>
      <c r="B891" t="s">
        <v>12</v>
      </c>
      <c r="C891">
        <v>23.02</v>
      </c>
      <c r="D891" t="s">
        <v>24</v>
      </c>
      <c r="E891" t="s">
        <v>14</v>
      </c>
      <c r="F891" t="s">
        <v>53</v>
      </c>
      <c r="G891" t="s">
        <v>175</v>
      </c>
      <c r="H891" t="s">
        <v>54</v>
      </c>
      <c r="I891" t="s">
        <v>39</v>
      </c>
      <c r="J891" t="s">
        <v>193</v>
      </c>
      <c r="K891" s="1">
        <v>0.48124564814814813</v>
      </c>
      <c r="L891">
        <f>YEAR(Coffe_sales[[#This Row],[Date]])</f>
        <v>2024</v>
      </c>
    </row>
    <row r="892" spans="1:12" x14ac:dyDescent="0.2">
      <c r="A892" t="s">
        <v>35</v>
      </c>
      <c r="B892" t="s">
        <v>12</v>
      </c>
      <c r="C892">
        <v>23.02</v>
      </c>
      <c r="D892" t="s">
        <v>24</v>
      </c>
      <c r="E892" t="s">
        <v>14</v>
      </c>
      <c r="F892" t="s">
        <v>53</v>
      </c>
      <c r="G892" t="s">
        <v>175</v>
      </c>
      <c r="H892" t="s">
        <v>54</v>
      </c>
      <c r="I892" t="s">
        <v>39</v>
      </c>
      <c r="J892" t="s">
        <v>193</v>
      </c>
      <c r="K892" s="1">
        <v>0.48250505787037035</v>
      </c>
      <c r="L892">
        <f>YEAR(Coffe_sales[[#This Row],[Date]])</f>
        <v>2024</v>
      </c>
    </row>
    <row r="893" spans="1:12" x14ac:dyDescent="0.2">
      <c r="A893" t="s">
        <v>35</v>
      </c>
      <c r="B893" t="s">
        <v>12</v>
      </c>
      <c r="C893">
        <v>23.02</v>
      </c>
      <c r="D893" t="s">
        <v>41</v>
      </c>
      <c r="E893" t="s">
        <v>14</v>
      </c>
      <c r="F893" t="s">
        <v>53</v>
      </c>
      <c r="G893" t="s">
        <v>175</v>
      </c>
      <c r="H893" t="s">
        <v>54</v>
      </c>
      <c r="I893" t="s">
        <v>39</v>
      </c>
      <c r="J893" t="s">
        <v>193</v>
      </c>
      <c r="K893" s="1">
        <v>0.48323501157407406</v>
      </c>
      <c r="L893">
        <f>YEAR(Coffe_sales[[#This Row],[Date]])</f>
        <v>2024</v>
      </c>
    </row>
    <row r="894" spans="1:12" x14ac:dyDescent="0.2">
      <c r="A894" t="s">
        <v>23</v>
      </c>
      <c r="B894" t="s">
        <v>12</v>
      </c>
      <c r="C894">
        <v>32.82</v>
      </c>
      <c r="D894" t="s">
        <v>13</v>
      </c>
      <c r="E894" t="s">
        <v>22</v>
      </c>
      <c r="F894" t="s">
        <v>53</v>
      </c>
      <c r="G894" t="s">
        <v>175</v>
      </c>
      <c r="H894" t="s">
        <v>54</v>
      </c>
      <c r="I894" t="s">
        <v>39</v>
      </c>
      <c r="J894" t="s">
        <v>193</v>
      </c>
      <c r="K894" s="1">
        <v>0.55803023148148145</v>
      </c>
      <c r="L894">
        <f>YEAR(Coffe_sales[[#This Row],[Date]])</f>
        <v>2024</v>
      </c>
    </row>
    <row r="895" spans="1:12" x14ac:dyDescent="0.2">
      <c r="A895" t="s">
        <v>28</v>
      </c>
      <c r="B895" t="s">
        <v>12</v>
      </c>
      <c r="C895">
        <v>32.82</v>
      </c>
      <c r="D895" t="s">
        <v>52</v>
      </c>
      <c r="E895" t="s">
        <v>29</v>
      </c>
      <c r="F895" t="s">
        <v>53</v>
      </c>
      <c r="G895" t="s">
        <v>175</v>
      </c>
      <c r="H895" t="s">
        <v>54</v>
      </c>
      <c r="I895" t="s">
        <v>39</v>
      </c>
      <c r="J895" t="s">
        <v>193</v>
      </c>
      <c r="K895" s="1">
        <v>0.76277057870370368</v>
      </c>
      <c r="L895">
        <f>YEAR(Coffe_sales[[#This Row],[Date]])</f>
        <v>2024</v>
      </c>
    </row>
    <row r="896" spans="1:12" x14ac:dyDescent="0.2">
      <c r="A896" t="s">
        <v>30</v>
      </c>
      <c r="B896" t="s">
        <v>12</v>
      </c>
      <c r="C896">
        <v>32.82</v>
      </c>
      <c r="D896" t="s">
        <v>13</v>
      </c>
      <c r="E896" t="s">
        <v>29</v>
      </c>
      <c r="F896" t="s">
        <v>53</v>
      </c>
      <c r="G896" t="s">
        <v>175</v>
      </c>
      <c r="H896" t="s">
        <v>54</v>
      </c>
      <c r="I896" t="s">
        <v>39</v>
      </c>
      <c r="J896" t="s">
        <v>193</v>
      </c>
      <c r="K896" s="1">
        <v>0.81308520833333331</v>
      </c>
      <c r="L896">
        <f>YEAR(Coffe_sales[[#This Row],[Date]])</f>
        <v>2024</v>
      </c>
    </row>
    <row r="897" spans="1:12" x14ac:dyDescent="0.2">
      <c r="A897" t="s">
        <v>131</v>
      </c>
      <c r="B897" t="s">
        <v>12</v>
      </c>
      <c r="C897">
        <v>32.82</v>
      </c>
      <c r="D897" t="s">
        <v>21</v>
      </c>
      <c r="E897" t="s">
        <v>29</v>
      </c>
      <c r="F897" t="s">
        <v>53</v>
      </c>
      <c r="G897" t="s">
        <v>175</v>
      </c>
      <c r="H897" t="s">
        <v>54</v>
      </c>
      <c r="I897" t="s">
        <v>39</v>
      </c>
      <c r="J897" t="s">
        <v>193</v>
      </c>
      <c r="K897" s="1">
        <v>0.88867840277777777</v>
      </c>
      <c r="L897">
        <f>YEAR(Coffe_sales[[#This Row],[Date]])</f>
        <v>2024</v>
      </c>
    </row>
    <row r="898" spans="1:12" x14ac:dyDescent="0.2">
      <c r="A898" t="s">
        <v>131</v>
      </c>
      <c r="B898" t="s">
        <v>12</v>
      </c>
      <c r="C898">
        <v>32.82</v>
      </c>
      <c r="D898" t="s">
        <v>13</v>
      </c>
      <c r="E898" t="s">
        <v>29</v>
      </c>
      <c r="F898" t="s">
        <v>53</v>
      </c>
      <c r="G898" t="s">
        <v>175</v>
      </c>
      <c r="H898" t="s">
        <v>54</v>
      </c>
      <c r="I898" t="s">
        <v>39</v>
      </c>
      <c r="J898" t="s">
        <v>193</v>
      </c>
      <c r="K898" s="1">
        <v>0.89027609953703701</v>
      </c>
      <c r="L898">
        <f>YEAR(Coffe_sales[[#This Row],[Date]])</f>
        <v>2024</v>
      </c>
    </row>
    <row r="899" spans="1:12" x14ac:dyDescent="0.2">
      <c r="A899" t="s">
        <v>131</v>
      </c>
      <c r="B899" t="s">
        <v>12</v>
      </c>
      <c r="C899">
        <v>32.82</v>
      </c>
      <c r="D899" t="s">
        <v>13</v>
      </c>
      <c r="E899" t="s">
        <v>29</v>
      </c>
      <c r="F899" t="s">
        <v>53</v>
      </c>
      <c r="G899" t="s">
        <v>175</v>
      </c>
      <c r="H899" t="s">
        <v>54</v>
      </c>
      <c r="I899" t="s">
        <v>39</v>
      </c>
      <c r="J899" t="s">
        <v>193</v>
      </c>
      <c r="K899" s="1">
        <v>0.9071605787037037</v>
      </c>
      <c r="L899">
        <f>YEAR(Coffe_sales[[#This Row],[Date]])</f>
        <v>2024</v>
      </c>
    </row>
    <row r="900" spans="1:12" x14ac:dyDescent="0.2">
      <c r="A900" t="s">
        <v>35</v>
      </c>
      <c r="B900" t="s">
        <v>12</v>
      </c>
      <c r="C900">
        <v>23.02</v>
      </c>
      <c r="D900" t="s">
        <v>24</v>
      </c>
      <c r="E900" t="s">
        <v>14</v>
      </c>
      <c r="F900" t="s">
        <v>15</v>
      </c>
      <c r="G900" t="s">
        <v>175</v>
      </c>
      <c r="H900" t="s">
        <v>17</v>
      </c>
      <c r="I900" t="s">
        <v>39</v>
      </c>
      <c r="J900" t="s">
        <v>194</v>
      </c>
      <c r="K900" s="1">
        <v>0.46044376157407407</v>
      </c>
      <c r="L900">
        <f>YEAR(Coffe_sales[[#This Row],[Date]])</f>
        <v>2024</v>
      </c>
    </row>
    <row r="901" spans="1:12" x14ac:dyDescent="0.2">
      <c r="A901" t="s">
        <v>35</v>
      </c>
      <c r="B901" t="s">
        <v>12</v>
      </c>
      <c r="C901">
        <v>27.92</v>
      </c>
      <c r="D901" t="s">
        <v>26</v>
      </c>
      <c r="E901" t="s">
        <v>14</v>
      </c>
      <c r="F901" t="s">
        <v>15</v>
      </c>
      <c r="G901" t="s">
        <v>175</v>
      </c>
      <c r="H901" t="s">
        <v>17</v>
      </c>
      <c r="I901" t="s">
        <v>39</v>
      </c>
      <c r="J901" t="s">
        <v>194</v>
      </c>
      <c r="K901" s="1">
        <v>0.46968181712962964</v>
      </c>
      <c r="L901">
        <f>YEAR(Coffe_sales[[#This Row],[Date]])</f>
        <v>2024</v>
      </c>
    </row>
    <row r="902" spans="1:12" x14ac:dyDescent="0.2">
      <c r="A902" t="s">
        <v>20</v>
      </c>
      <c r="B902" t="s">
        <v>12</v>
      </c>
      <c r="C902">
        <v>32.82</v>
      </c>
      <c r="D902" t="s">
        <v>13</v>
      </c>
      <c r="E902" t="s">
        <v>22</v>
      </c>
      <c r="F902" t="s">
        <v>15</v>
      </c>
      <c r="G902" t="s">
        <v>175</v>
      </c>
      <c r="H902" t="s">
        <v>17</v>
      </c>
      <c r="I902" t="s">
        <v>39</v>
      </c>
      <c r="J902" t="s">
        <v>194</v>
      </c>
      <c r="K902" s="1">
        <v>0.54071251157407407</v>
      </c>
      <c r="L902">
        <f>YEAR(Coffe_sales[[#This Row],[Date]])</f>
        <v>2024</v>
      </c>
    </row>
    <row r="903" spans="1:12" x14ac:dyDescent="0.2">
      <c r="A903" t="s">
        <v>20</v>
      </c>
      <c r="B903" t="s">
        <v>12</v>
      </c>
      <c r="C903">
        <v>27.92</v>
      </c>
      <c r="D903" t="s">
        <v>26</v>
      </c>
      <c r="E903" t="s">
        <v>22</v>
      </c>
      <c r="F903" t="s">
        <v>15</v>
      </c>
      <c r="G903" t="s">
        <v>175</v>
      </c>
      <c r="H903" t="s">
        <v>17</v>
      </c>
      <c r="I903" t="s">
        <v>39</v>
      </c>
      <c r="J903" t="s">
        <v>194</v>
      </c>
      <c r="K903" s="1">
        <v>0.54161322916666665</v>
      </c>
      <c r="L903">
        <f>YEAR(Coffe_sales[[#This Row],[Date]])</f>
        <v>2024</v>
      </c>
    </row>
    <row r="904" spans="1:12" x14ac:dyDescent="0.2">
      <c r="A904" t="s">
        <v>36</v>
      </c>
      <c r="B904" t="s">
        <v>12</v>
      </c>
      <c r="C904">
        <v>32.82</v>
      </c>
      <c r="D904" t="s">
        <v>13</v>
      </c>
      <c r="E904" t="s">
        <v>22</v>
      </c>
      <c r="F904" t="s">
        <v>15</v>
      </c>
      <c r="G904" t="s">
        <v>175</v>
      </c>
      <c r="H904" t="s">
        <v>17</v>
      </c>
      <c r="I904" t="s">
        <v>39</v>
      </c>
      <c r="J904" t="s">
        <v>194</v>
      </c>
      <c r="K904" s="1">
        <v>0.58982310185185183</v>
      </c>
      <c r="L904">
        <f>YEAR(Coffe_sales[[#This Row],[Date]])</f>
        <v>2024</v>
      </c>
    </row>
    <row r="905" spans="1:12" x14ac:dyDescent="0.2">
      <c r="A905" t="s">
        <v>36</v>
      </c>
      <c r="B905" t="s">
        <v>12</v>
      </c>
      <c r="C905">
        <v>32.82</v>
      </c>
      <c r="D905" t="s">
        <v>31</v>
      </c>
      <c r="E905" t="s">
        <v>22</v>
      </c>
      <c r="F905" t="s">
        <v>15</v>
      </c>
      <c r="G905" t="s">
        <v>175</v>
      </c>
      <c r="H905" t="s">
        <v>17</v>
      </c>
      <c r="I905" t="s">
        <v>39</v>
      </c>
      <c r="J905" t="s">
        <v>194</v>
      </c>
      <c r="K905" s="1">
        <v>0.59122806712962961</v>
      </c>
      <c r="L905">
        <f>YEAR(Coffe_sales[[#This Row],[Date]])</f>
        <v>2024</v>
      </c>
    </row>
    <row r="906" spans="1:12" x14ac:dyDescent="0.2">
      <c r="A906" t="s">
        <v>27</v>
      </c>
      <c r="B906" t="s">
        <v>12</v>
      </c>
      <c r="C906">
        <v>32.82</v>
      </c>
      <c r="D906" t="s">
        <v>13</v>
      </c>
      <c r="E906" t="s">
        <v>22</v>
      </c>
      <c r="F906" t="s">
        <v>15</v>
      </c>
      <c r="G906" t="s">
        <v>175</v>
      </c>
      <c r="H906" t="s">
        <v>17</v>
      </c>
      <c r="I906" t="s">
        <v>39</v>
      </c>
      <c r="J906" t="s">
        <v>194</v>
      </c>
      <c r="K906" s="1">
        <v>0.69188972222222223</v>
      </c>
      <c r="L906">
        <f>YEAR(Coffe_sales[[#This Row],[Date]])</f>
        <v>2024</v>
      </c>
    </row>
    <row r="907" spans="1:12" x14ac:dyDescent="0.2">
      <c r="A907" t="s">
        <v>27</v>
      </c>
      <c r="B907" t="s">
        <v>12</v>
      </c>
      <c r="C907">
        <v>32.82</v>
      </c>
      <c r="D907" t="s">
        <v>13</v>
      </c>
      <c r="E907" t="s">
        <v>22</v>
      </c>
      <c r="F907" t="s">
        <v>15</v>
      </c>
      <c r="G907" t="s">
        <v>175</v>
      </c>
      <c r="H907" t="s">
        <v>17</v>
      </c>
      <c r="I907" t="s">
        <v>39</v>
      </c>
      <c r="J907" t="s">
        <v>194</v>
      </c>
      <c r="K907" s="1">
        <v>0.69277555555555559</v>
      </c>
      <c r="L907">
        <f>YEAR(Coffe_sales[[#This Row],[Date]])</f>
        <v>2024</v>
      </c>
    </row>
    <row r="908" spans="1:12" x14ac:dyDescent="0.2">
      <c r="A908" t="s">
        <v>123</v>
      </c>
      <c r="B908" t="s">
        <v>12</v>
      </c>
      <c r="C908">
        <v>23.02</v>
      </c>
      <c r="D908" t="s">
        <v>24</v>
      </c>
      <c r="E908" t="s">
        <v>14</v>
      </c>
      <c r="F908" t="s">
        <v>32</v>
      </c>
      <c r="G908" t="s">
        <v>175</v>
      </c>
      <c r="H908" t="s">
        <v>33</v>
      </c>
      <c r="I908" t="s">
        <v>39</v>
      </c>
      <c r="J908" t="s">
        <v>195</v>
      </c>
      <c r="K908" s="1">
        <v>0.33732024305555558</v>
      </c>
      <c r="L908">
        <f>YEAR(Coffe_sales[[#This Row],[Date]])</f>
        <v>2024</v>
      </c>
    </row>
    <row r="909" spans="1:12" x14ac:dyDescent="0.2">
      <c r="A909" t="s">
        <v>123</v>
      </c>
      <c r="B909" t="s">
        <v>12</v>
      </c>
      <c r="C909">
        <v>32.82</v>
      </c>
      <c r="D909" t="s">
        <v>13</v>
      </c>
      <c r="E909" t="s">
        <v>14</v>
      </c>
      <c r="F909" t="s">
        <v>32</v>
      </c>
      <c r="G909" t="s">
        <v>175</v>
      </c>
      <c r="H909" t="s">
        <v>33</v>
      </c>
      <c r="I909" t="s">
        <v>39</v>
      </c>
      <c r="J909" t="s">
        <v>195</v>
      </c>
      <c r="K909" s="1">
        <v>0.3380634837962963</v>
      </c>
      <c r="L909">
        <f>YEAR(Coffe_sales[[#This Row],[Date]])</f>
        <v>2024</v>
      </c>
    </row>
    <row r="910" spans="1:12" x14ac:dyDescent="0.2">
      <c r="A910" t="s">
        <v>123</v>
      </c>
      <c r="B910" t="s">
        <v>12</v>
      </c>
      <c r="C910">
        <v>23.02</v>
      </c>
      <c r="D910" t="s">
        <v>24</v>
      </c>
      <c r="E910" t="s">
        <v>14</v>
      </c>
      <c r="F910" t="s">
        <v>32</v>
      </c>
      <c r="G910" t="s">
        <v>175</v>
      </c>
      <c r="H910" t="s">
        <v>33</v>
      </c>
      <c r="I910" t="s">
        <v>39</v>
      </c>
      <c r="J910" t="s">
        <v>195</v>
      </c>
      <c r="K910" s="1">
        <v>0.33878973379629629</v>
      </c>
      <c r="L910">
        <f>YEAR(Coffe_sales[[#This Row],[Date]])</f>
        <v>2024</v>
      </c>
    </row>
    <row r="911" spans="1:12" x14ac:dyDescent="0.2">
      <c r="A911" t="s">
        <v>46</v>
      </c>
      <c r="B911" t="s">
        <v>12</v>
      </c>
      <c r="C911">
        <v>32.82</v>
      </c>
      <c r="D911" t="s">
        <v>13</v>
      </c>
      <c r="E911" t="s">
        <v>14</v>
      </c>
      <c r="F911" t="s">
        <v>32</v>
      </c>
      <c r="G911" t="s">
        <v>175</v>
      </c>
      <c r="H911" t="s">
        <v>33</v>
      </c>
      <c r="I911" t="s">
        <v>39</v>
      </c>
      <c r="J911" t="s">
        <v>195</v>
      </c>
      <c r="K911" s="1">
        <v>0.37562042824074077</v>
      </c>
      <c r="L911">
        <f>YEAR(Coffe_sales[[#This Row],[Date]])</f>
        <v>2024</v>
      </c>
    </row>
    <row r="912" spans="1:12" x14ac:dyDescent="0.2">
      <c r="A912" t="s">
        <v>46</v>
      </c>
      <c r="B912" t="s">
        <v>12</v>
      </c>
      <c r="C912">
        <v>32.82</v>
      </c>
      <c r="D912" t="s">
        <v>13</v>
      </c>
      <c r="E912" t="s">
        <v>14</v>
      </c>
      <c r="F912" t="s">
        <v>32</v>
      </c>
      <c r="G912" t="s">
        <v>175</v>
      </c>
      <c r="H912" t="s">
        <v>33</v>
      </c>
      <c r="I912" t="s">
        <v>39</v>
      </c>
      <c r="J912" t="s">
        <v>195</v>
      </c>
      <c r="K912" s="1">
        <v>0.3767112037037037</v>
      </c>
      <c r="L912">
        <f>YEAR(Coffe_sales[[#This Row],[Date]])</f>
        <v>2024</v>
      </c>
    </row>
    <row r="913" spans="1:12" x14ac:dyDescent="0.2">
      <c r="A913" t="s">
        <v>11</v>
      </c>
      <c r="B913" t="s">
        <v>12</v>
      </c>
      <c r="C913">
        <v>23.02</v>
      </c>
      <c r="D913" t="s">
        <v>24</v>
      </c>
      <c r="E913" t="s">
        <v>14</v>
      </c>
      <c r="F913" t="s">
        <v>32</v>
      </c>
      <c r="G913" t="s">
        <v>175</v>
      </c>
      <c r="H913" t="s">
        <v>33</v>
      </c>
      <c r="I913" t="s">
        <v>39</v>
      </c>
      <c r="J913" t="s">
        <v>195</v>
      </c>
      <c r="K913" s="1">
        <v>0.44399356481481483</v>
      </c>
      <c r="L913">
        <f>YEAR(Coffe_sales[[#This Row],[Date]])</f>
        <v>2024</v>
      </c>
    </row>
    <row r="914" spans="1:12" x14ac:dyDescent="0.2">
      <c r="A914" t="s">
        <v>25</v>
      </c>
      <c r="B914" t="s">
        <v>12</v>
      </c>
      <c r="C914">
        <v>32.82</v>
      </c>
      <c r="D914" t="s">
        <v>13</v>
      </c>
      <c r="E914" t="s">
        <v>22</v>
      </c>
      <c r="F914" t="s">
        <v>32</v>
      </c>
      <c r="G914" t="s">
        <v>175</v>
      </c>
      <c r="H914" t="s">
        <v>33</v>
      </c>
      <c r="I914" t="s">
        <v>39</v>
      </c>
      <c r="J914" t="s">
        <v>195</v>
      </c>
      <c r="K914" s="1">
        <v>0.63552339120370371</v>
      </c>
      <c r="L914">
        <f>YEAR(Coffe_sales[[#This Row],[Date]])</f>
        <v>2024</v>
      </c>
    </row>
    <row r="915" spans="1:12" x14ac:dyDescent="0.2">
      <c r="A915" t="s">
        <v>11</v>
      </c>
      <c r="B915" t="s">
        <v>12</v>
      </c>
      <c r="C915">
        <v>32.82</v>
      </c>
      <c r="D915" t="s">
        <v>31</v>
      </c>
      <c r="E915" t="s">
        <v>14</v>
      </c>
      <c r="F915" t="s">
        <v>38</v>
      </c>
      <c r="G915" t="s">
        <v>175</v>
      </c>
      <c r="H915" t="s">
        <v>39</v>
      </c>
      <c r="I915" t="s">
        <v>39</v>
      </c>
      <c r="J915" t="s">
        <v>196</v>
      </c>
      <c r="K915" s="1">
        <v>0.43814604166666665</v>
      </c>
      <c r="L915">
        <f>YEAR(Coffe_sales[[#This Row],[Date]])</f>
        <v>2024</v>
      </c>
    </row>
    <row r="916" spans="1:12" x14ac:dyDescent="0.2">
      <c r="A916" t="s">
        <v>35</v>
      </c>
      <c r="B916" t="s">
        <v>12</v>
      </c>
      <c r="C916">
        <v>32.82</v>
      </c>
      <c r="D916" t="s">
        <v>52</v>
      </c>
      <c r="E916" t="s">
        <v>14</v>
      </c>
      <c r="F916" t="s">
        <v>38</v>
      </c>
      <c r="G916" t="s">
        <v>175</v>
      </c>
      <c r="H916" t="s">
        <v>39</v>
      </c>
      <c r="I916" t="s">
        <v>39</v>
      </c>
      <c r="J916" t="s">
        <v>196</v>
      </c>
      <c r="K916" s="1">
        <v>0.48574972222222224</v>
      </c>
      <c r="L916">
        <f>YEAR(Coffe_sales[[#This Row],[Date]])</f>
        <v>2024</v>
      </c>
    </row>
    <row r="917" spans="1:12" x14ac:dyDescent="0.2">
      <c r="A917" t="s">
        <v>23</v>
      </c>
      <c r="B917" t="s">
        <v>12</v>
      </c>
      <c r="C917">
        <v>23.02</v>
      </c>
      <c r="D917" t="s">
        <v>41</v>
      </c>
      <c r="E917" t="s">
        <v>22</v>
      </c>
      <c r="F917" t="s">
        <v>38</v>
      </c>
      <c r="G917" t="s">
        <v>175</v>
      </c>
      <c r="H917" t="s">
        <v>39</v>
      </c>
      <c r="I917" t="s">
        <v>39</v>
      </c>
      <c r="J917" t="s">
        <v>196</v>
      </c>
      <c r="K917" s="1">
        <v>0.56563482638888885</v>
      </c>
      <c r="L917">
        <f>YEAR(Coffe_sales[[#This Row],[Date]])</f>
        <v>2024</v>
      </c>
    </row>
    <row r="918" spans="1:12" x14ac:dyDescent="0.2">
      <c r="A918" t="s">
        <v>23</v>
      </c>
      <c r="B918" t="s">
        <v>12</v>
      </c>
      <c r="C918">
        <v>32.82</v>
      </c>
      <c r="D918" t="s">
        <v>13</v>
      </c>
      <c r="E918" t="s">
        <v>22</v>
      </c>
      <c r="F918" t="s">
        <v>38</v>
      </c>
      <c r="G918" t="s">
        <v>175</v>
      </c>
      <c r="H918" t="s">
        <v>39</v>
      </c>
      <c r="I918" t="s">
        <v>39</v>
      </c>
      <c r="J918" t="s">
        <v>196</v>
      </c>
      <c r="K918" s="1">
        <v>0.57119726851851849</v>
      </c>
      <c r="L918">
        <f>YEAR(Coffe_sales[[#This Row],[Date]])</f>
        <v>2024</v>
      </c>
    </row>
    <row r="919" spans="1:12" x14ac:dyDescent="0.2">
      <c r="A919" t="s">
        <v>123</v>
      </c>
      <c r="B919" t="s">
        <v>12</v>
      </c>
      <c r="C919">
        <v>23.02</v>
      </c>
      <c r="D919" t="s">
        <v>24</v>
      </c>
      <c r="E919" t="s">
        <v>14</v>
      </c>
      <c r="F919" t="s">
        <v>42</v>
      </c>
      <c r="G919" t="s">
        <v>175</v>
      </c>
      <c r="H919" t="s">
        <v>43</v>
      </c>
      <c r="I919" t="s">
        <v>39</v>
      </c>
      <c r="J919" t="s">
        <v>197</v>
      </c>
      <c r="K919" s="1">
        <v>0.34262901620370373</v>
      </c>
      <c r="L919">
        <f>YEAR(Coffe_sales[[#This Row],[Date]])</f>
        <v>2024</v>
      </c>
    </row>
    <row r="920" spans="1:12" x14ac:dyDescent="0.2">
      <c r="A920" t="s">
        <v>123</v>
      </c>
      <c r="B920" t="s">
        <v>12</v>
      </c>
      <c r="C920">
        <v>23.02</v>
      </c>
      <c r="D920" t="s">
        <v>24</v>
      </c>
      <c r="E920" t="s">
        <v>14</v>
      </c>
      <c r="F920" t="s">
        <v>42</v>
      </c>
      <c r="G920" t="s">
        <v>175</v>
      </c>
      <c r="H920" t="s">
        <v>43</v>
      </c>
      <c r="I920" t="s">
        <v>39</v>
      </c>
      <c r="J920" t="s">
        <v>197</v>
      </c>
      <c r="K920" s="1">
        <v>0.36168465277777778</v>
      </c>
      <c r="L920">
        <f>YEAR(Coffe_sales[[#This Row],[Date]])</f>
        <v>2024</v>
      </c>
    </row>
    <row r="921" spans="1:12" x14ac:dyDescent="0.2">
      <c r="A921" t="s">
        <v>11</v>
      </c>
      <c r="B921" t="s">
        <v>12</v>
      </c>
      <c r="C921">
        <v>27.92</v>
      </c>
      <c r="D921" t="s">
        <v>26</v>
      </c>
      <c r="E921" t="s">
        <v>14</v>
      </c>
      <c r="F921" t="s">
        <v>42</v>
      </c>
      <c r="G921" t="s">
        <v>175</v>
      </c>
      <c r="H921" t="s">
        <v>43</v>
      </c>
      <c r="I921" t="s">
        <v>39</v>
      </c>
      <c r="J921" t="s">
        <v>197</v>
      </c>
      <c r="K921" s="1">
        <v>0.42751465277777778</v>
      </c>
      <c r="L921">
        <f>YEAR(Coffe_sales[[#This Row],[Date]])</f>
        <v>2024</v>
      </c>
    </row>
    <row r="922" spans="1:12" x14ac:dyDescent="0.2">
      <c r="A922" t="s">
        <v>27</v>
      </c>
      <c r="B922" t="s">
        <v>12</v>
      </c>
      <c r="C922">
        <v>32.82</v>
      </c>
      <c r="D922" t="s">
        <v>13</v>
      </c>
      <c r="E922" t="s">
        <v>22</v>
      </c>
      <c r="F922" t="s">
        <v>42</v>
      </c>
      <c r="G922" t="s">
        <v>175</v>
      </c>
      <c r="H922" t="s">
        <v>43</v>
      </c>
      <c r="I922" t="s">
        <v>39</v>
      </c>
      <c r="J922" t="s">
        <v>197</v>
      </c>
      <c r="K922" s="1">
        <v>0.69765732638888889</v>
      </c>
      <c r="L922">
        <f>YEAR(Coffe_sales[[#This Row],[Date]])</f>
        <v>2024</v>
      </c>
    </row>
    <row r="923" spans="1:12" x14ac:dyDescent="0.2">
      <c r="A923" t="s">
        <v>123</v>
      </c>
      <c r="B923" t="s">
        <v>12</v>
      </c>
      <c r="C923">
        <v>32.82</v>
      </c>
      <c r="D923" t="s">
        <v>13</v>
      </c>
      <c r="E923" t="s">
        <v>14</v>
      </c>
      <c r="F923" t="s">
        <v>47</v>
      </c>
      <c r="G923" t="s">
        <v>175</v>
      </c>
      <c r="H923" t="s">
        <v>48</v>
      </c>
      <c r="I923" t="s">
        <v>39</v>
      </c>
      <c r="J923" t="s">
        <v>198</v>
      </c>
      <c r="K923" s="1">
        <v>0.34231746527777779</v>
      </c>
      <c r="L923">
        <f>YEAR(Coffe_sales[[#This Row],[Date]])</f>
        <v>2024</v>
      </c>
    </row>
    <row r="924" spans="1:12" x14ac:dyDescent="0.2">
      <c r="A924" t="s">
        <v>123</v>
      </c>
      <c r="B924" t="s">
        <v>12</v>
      </c>
      <c r="C924">
        <v>23.02</v>
      </c>
      <c r="D924" t="s">
        <v>24</v>
      </c>
      <c r="E924" t="s">
        <v>14</v>
      </c>
      <c r="F924" t="s">
        <v>47</v>
      </c>
      <c r="G924" t="s">
        <v>175</v>
      </c>
      <c r="H924" t="s">
        <v>48</v>
      </c>
      <c r="I924" t="s">
        <v>39</v>
      </c>
      <c r="J924" t="s">
        <v>198</v>
      </c>
      <c r="K924" s="1">
        <v>0.36133079861111111</v>
      </c>
      <c r="L924">
        <f>YEAR(Coffe_sales[[#This Row],[Date]])</f>
        <v>2024</v>
      </c>
    </row>
    <row r="925" spans="1:12" x14ac:dyDescent="0.2">
      <c r="A925" t="s">
        <v>123</v>
      </c>
      <c r="B925" t="s">
        <v>12</v>
      </c>
      <c r="C925">
        <v>27.92</v>
      </c>
      <c r="D925" t="s">
        <v>26</v>
      </c>
      <c r="E925" t="s">
        <v>14</v>
      </c>
      <c r="F925" t="s">
        <v>47</v>
      </c>
      <c r="G925" t="s">
        <v>175</v>
      </c>
      <c r="H925" t="s">
        <v>48</v>
      </c>
      <c r="I925" t="s">
        <v>39</v>
      </c>
      <c r="J925" t="s">
        <v>198</v>
      </c>
      <c r="K925" s="1">
        <v>0.36451175925925927</v>
      </c>
      <c r="L925">
        <f>YEAR(Coffe_sales[[#This Row],[Date]])</f>
        <v>2024</v>
      </c>
    </row>
    <row r="926" spans="1:12" x14ac:dyDescent="0.2">
      <c r="A926" t="s">
        <v>123</v>
      </c>
      <c r="B926" t="s">
        <v>12</v>
      </c>
      <c r="C926">
        <v>32.82</v>
      </c>
      <c r="D926" t="s">
        <v>31</v>
      </c>
      <c r="E926" t="s">
        <v>14</v>
      </c>
      <c r="F926" t="s">
        <v>47</v>
      </c>
      <c r="G926" t="s">
        <v>175</v>
      </c>
      <c r="H926" t="s">
        <v>48</v>
      </c>
      <c r="I926" t="s">
        <v>39</v>
      </c>
      <c r="J926" t="s">
        <v>198</v>
      </c>
      <c r="K926" s="1">
        <v>0.36765170138888886</v>
      </c>
      <c r="L926">
        <f>YEAR(Coffe_sales[[#This Row],[Date]])</f>
        <v>2024</v>
      </c>
    </row>
    <row r="927" spans="1:12" x14ac:dyDescent="0.2">
      <c r="A927" t="s">
        <v>123</v>
      </c>
      <c r="B927" t="s">
        <v>12</v>
      </c>
      <c r="C927">
        <v>32.82</v>
      </c>
      <c r="D927" t="s">
        <v>13</v>
      </c>
      <c r="E927" t="s">
        <v>14</v>
      </c>
      <c r="F927" t="s">
        <v>47</v>
      </c>
      <c r="G927" t="s">
        <v>175</v>
      </c>
      <c r="H927" t="s">
        <v>48</v>
      </c>
      <c r="I927" t="s">
        <v>39</v>
      </c>
      <c r="J927" t="s">
        <v>198</v>
      </c>
      <c r="K927" s="1">
        <v>0.36886996527777777</v>
      </c>
      <c r="L927">
        <f>YEAR(Coffe_sales[[#This Row],[Date]])</f>
        <v>2024</v>
      </c>
    </row>
    <row r="928" spans="1:12" x14ac:dyDescent="0.2">
      <c r="A928" t="s">
        <v>46</v>
      </c>
      <c r="B928" t="s">
        <v>12</v>
      </c>
      <c r="C928">
        <v>23.02</v>
      </c>
      <c r="D928" t="s">
        <v>24</v>
      </c>
      <c r="E928" t="s">
        <v>14</v>
      </c>
      <c r="F928" t="s">
        <v>47</v>
      </c>
      <c r="G928" t="s">
        <v>175</v>
      </c>
      <c r="H928" t="s">
        <v>48</v>
      </c>
      <c r="I928" t="s">
        <v>39</v>
      </c>
      <c r="J928" t="s">
        <v>198</v>
      </c>
      <c r="K928" s="1">
        <v>0.37622346064814816</v>
      </c>
      <c r="L928">
        <f>YEAR(Coffe_sales[[#This Row],[Date]])</f>
        <v>2024</v>
      </c>
    </row>
    <row r="929" spans="1:12" x14ac:dyDescent="0.2">
      <c r="A929" t="s">
        <v>11</v>
      </c>
      <c r="B929" t="s">
        <v>12</v>
      </c>
      <c r="C929">
        <v>27.92</v>
      </c>
      <c r="D929" t="s">
        <v>26</v>
      </c>
      <c r="E929" t="s">
        <v>14</v>
      </c>
      <c r="F929" t="s">
        <v>47</v>
      </c>
      <c r="G929" t="s">
        <v>175</v>
      </c>
      <c r="H929" t="s">
        <v>48</v>
      </c>
      <c r="I929" t="s">
        <v>39</v>
      </c>
      <c r="J929" t="s">
        <v>198</v>
      </c>
      <c r="K929" s="1">
        <v>0.41917236111111111</v>
      </c>
      <c r="L929">
        <f>YEAR(Coffe_sales[[#This Row],[Date]])</f>
        <v>2024</v>
      </c>
    </row>
    <row r="930" spans="1:12" x14ac:dyDescent="0.2">
      <c r="A930" t="s">
        <v>25</v>
      </c>
      <c r="B930" t="s">
        <v>12</v>
      </c>
      <c r="C930">
        <v>27.92</v>
      </c>
      <c r="D930" t="s">
        <v>26</v>
      </c>
      <c r="E930" t="s">
        <v>22</v>
      </c>
      <c r="F930" t="s">
        <v>47</v>
      </c>
      <c r="G930" t="s">
        <v>175</v>
      </c>
      <c r="H930" t="s">
        <v>48</v>
      </c>
      <c r="I930" t="s">
        <v>39</v>
      </c>
      <c r="J930" t="s">
        <v>198</v>
      </c>
      <c r="K930" s="1">
        <v>0.63894642361111109</v>
      </c>
      <c r="L930">
        <f>YEAR(Coffe_sales[[#This Row],[Date]])</f>
        <v>2024</v>
      </c>
    </row>
    <row r="931" spans="1:12" x14ac:dyDescent="0.2">
      <c r="A931" t="s">
        <v>25</v>
      </c>
      <c r="B931" t="s">
        <v>12</v>
      </c>
      <c r="C931">
        <v>32.82</v>
      </c>
      <c r="D931" t="s">
        <v>13</v>
      </c>
      <c r="E931" t="s">
        <v>22</v>
      </c>
      <c r="F931" t="s">
        <v>47</v>
      </c>
      <c r="G931" t="s">
        <v>175</v>
      </c>
      <c r="H931" t="s">
        <v>48</v>
      </c>
      <c r="I931" t="s">
        <v>39</v>
      </c>
      <c r="J931" t="s">
        <v>198</v>
      </c>
      <c r="K931" s="1">
        <v>0.63959814814814819</v>
      </c>
      <c r="L931">
        <f>YEAR(Coffe_sales[[#This Row],[Date]])</f>
        <v>2024</v>
      </c>
    </row>
    <row r="932" spans="1:12" x14ac:dyDescent="0.2">
      <c r="A932" t="s">
        <v>131</v>
      </c>
      <c r="B932" t="s">
        <v>12</v>
      </c>
      <c r="C932">
        <v>32.82</v>
      </c>
      <c r="D932" t="s">
        <v>13</v>
      </c>
      <c r="E932" t="s">
        <v>29</v>
      </c>
      <c r="F932" t="s">
        <v>47</v>
      </c>
      <c r="G932" t="s">
        <v>175</v>
      </c>
      <c r="H932" t="s">
        <v>48</v>
      </c>
      <c r="I932" t="s">
        <v>39</v>
      </c>
      <c r="J932" t="s">
        <v>198</v>
      </c>
      <c r="K932" s="1">
        <v>0.87616449074074076</v>
      </c>
      <c r="L932">
        <f>YEAR(Coffe_sales[[#This Row],[Date]])</f>
        <v>2024</v>
      </c>
    </row>
    <row r="933" spans="1:12" x14ac:dyDescent="0.2">
      <c r="A933" t="s">
        <v>131</v>
      </c>
      <c r="B933" t="s">
        <v>12</v>
      </c>
      <c r="C933">
        <v>23.02</v>
      </c>
      <c r="D933" t="s">
        <v>24</v>
      </c>
      <c r="E933" t="s">
        <v>29</v>
      </c>
      <c r="F933" t="s">
        <v>47</v>
      </c>
      <c r="G933" t="s">
        <v>175</v>
      </c>
      <c r="H933" t="s">
        <v>48</v>
      </c>
      <c r="I933" t="s">
        <v>39</v>
      </c>
      <c r="J933" t="s">
        <v>198</v>
      </c>
      <c r="K933" s="1">
        <v>0.89112848379629628</v>
      </c>
      <c r="L933">
        <f>YEAR(Coffe_sales[[#This Row],[Date]])</f>
        <v>2024</v>
      </c>
    </row>
    <row r="934" spans="1:12" x14ac:dyDescent="0.2">
      <c r="A934" t="s">
        <v>131</v>
      </c>
      <c r="B934" t="s">
        <v>12</v>
      </c>
      <c r="C934">
        <v>23.02</v>
      </c>
      <c r="D934" t="s">
        <v>24</v>
      </c>
      <c r="E934" t="s">
        <v>29</v>
      </c>
      <c r="F934" t="s">
        <v>47</v>
      </c>
      <c r="G934" t="s">
        <v>175</v>
      </c>
      <c r="H934" t="s">
        <v>48</v>
      </c>
      <c r="I934" t="s">
        <v>39</v>
      </c>
      <c r="J934" t="s">
        <v>198</v>
      </c>
      <c r="K934" s="1">
        <v>0.89192834490740736</v>
      </c>
      <c r="L934">
        <f>YEAR(Coffe_sales[[#This Row],[Date]])</f>
        <v>2024</v>
      </c>
    </row>
    <row r="935" spans="1:12" x14ac:dyDescent="0.2">
      <c r="A935" t="s">
        <v>46</v>
      </c>
      <c r="B935" t="s">
        <v>12</v>
      </c>
      <c r="C935">
        <v>27.92</v>
      </c>
      <c r="D935" t="s">
        <v>26</v>
      </c>
      <c r="E935" t="s">
        <v>14</v>
      </c>
      <c r="F935" t="s">
        <v>50</v>
      </c>
      <c r="G935" t="s">
        <v>175</v>
      </c>
      <c r="H935" t="s">
        <v>18</v>
      </c>
      <c r="I935" t="s">
        <v>39</v>
      </c>
      <c r="J935" t="s">
        <v>199</v>
      </c>
      <c r="K935" s="1">
        <v>0.38622469907407408</v>
      </c>
      <c r="L935">
        <f>YEAR(Coffe_sales[[#This Row],[Date]])</f>
        <v>2024</v>
      </c>
    </row>
    <row r="936" spans="1:12" x14ac:dyDescent="0.2">
      <c r="A936" t="s">
        <v>46</v>
      </c>
      <c r="B936" t="s">
        <v>12</v>
      </c>
      <c r="C936">
        <v>27.92</v>
      </c>
      <c r="D936" t="s">
        <v>26</v>
      </c>
      <c r="E936" t="s">
        <v>14</v>
      </c>
      <c r="F936" t="s">
        <v>50</v>
      </c>
      <c r="G936" t="s">
        <v>175</v>
      </c>
      <c r="H936" t="s">
        <v>18</v>
      </c>
      <c r="I936" t="s">
        <v>39</v>
      </c>
      <c r="J936" t="s">
        <v>199</v>
      </c>
      <c r="K936" s="1">
        <v>0.40202554398148149</v>
      </c>
      <c r="L936">
        <f>YEAR(Coffe_sales[[#This Row],[Date]])</f>
        <v>2024</v>
      </c>
    </row>
    <row r="937" spans="1:12" x14ac:dyDescent="0.2">
      <c r="A937" t="s">
        <v>46</v>
      </c>
      <c r="B937" t="s">
        <v>12</v>
      </c>
      <c r="C937">
        <v>18.12</v>
      </c>
      <c r="D937" t="s">
        <v>45</v>
      </c>
      <c r="E937" t="s">
        <v>14</v>
      </c>
      <c r="F937" t="s">
        <v>50</v>
      </c>
      <c r="G937" t="s">
        <v>175</v>
      </c>
      <c r="H937" t="s">
        <v>18</v>
      </c>
      <c r="I937" t="s">
        <v>39</v>
      </c>
      <c r="J937" t="s">
        <v>199</v>
      </c>
      <c r="K937" s="1">
        <v>0.41293351851851851</v>
      </c>
      <c r="L937">
        <f>YEAR(Coffe_sales[[#This Row],[Date]])</f>
        <v>2024</v>
      </c>
    </row>
    <row r="938" spans="1:12" x14ac:dyDescent="0.2">
      <c r="A938" t="s">
        <v>35</v>
      </c>
      <c r="B938" t="s">
        <v>12</v>
      </c>
      <c r="C938">
        <v>32.82</v>
      </c>
      <c r="D938" t="s">
        <v>52</v>
      </c>
      <c r="E938" t="s">
        <v>14</v>
      </c>
      <c r="F938" t="s">
        <v>50</v>
      </c>
      <c r="G938" t="s">
        <v>175</v>
      </c>
      <c r="H938" t="s">
        <v>18</v>
      </c>
      <c r="I938" t="s">
        <v>39</v>
      </c>
      <c r="J938" t="s">
        <v>199</v>
      </c>
      <c r="K938" s="1">
        <v>0.48880927083333331</v>
      </c>
      <c r="L938">
        <f>YEAR(Coffe_sales[[#This Row],[Date]])</f>
        <v>2024</v>
      </c>
    </row>
    <row r="939" spans="1:12" x14ac:dyDescent="0.2">
      <c r="A939" t="s">
        <v>23</v>
      </c>
      <c r="B939" t="s">
        <v>12</v>
      </c>
      <c r="C939">
        <v>32.82</v>
      </c>
      <c r="D939" t="s">
        <v>13</v>
      </c>
      <c r="E939" t="s">
        <v>22</v>
      </c>
      <c r="F939" t="s">
        <v>50</v>
      </c>
      <c r="G939" t="s">
        <v>175</v>
      </c>
      <c r="H939" t="s">
        <v>18</v>
      </c>
      <c r="I939" t="s">
        <v>39</v>
      </c>
      <c r="J939" t="s">
        <v>199</v>
      </c>
      <c r="K939" s="1">
        <v>0.58002107638888889</v>
      </c>
      <c r="L939">
        <f>YEAR(Coffe_sales[[#This Row],[Date]])</f>
        <v>2024</v>
      </c>
    </row>
    <row r="940" spans="1:12" x14ac:dyDescent="0.2">
      <c r="A940" t="s">
        <v>36</v>
      </c>
      <c r="B940" t="s">
        <v>12</v>
      </c>
      <c r="C940">
        <v>18.12</v>
      </c>
      <c r="D940" t="s">
        <v>45</v>
      </c>
      <c r="E940" t="s">
        <v>22</v>
      </c>
      <c r="F940" t="s">
        <v>50</v>
      </c>
      <c r="G940" t="s">
        <v>175</v>
      </c>
      <c r="H940" t="s">
        <v>18</v>
      </c>
      <c r="I940" t="s">
        <v>39</v>
      </c>
      <c r="J940" t="s">
        <v>199</v>
      </c>
      <c r="K940" s="1">
        <v>0.61515932870370371</v>
      </c>
      <c r="L940">
        <f>YEAR(Coffe_sales[[#This Row],[Date]])</f>
        <v>2024</v>
      </c>
    </row>
    <row r="941" spans="1:12" x14ac:dyDescent="0.2">
      <c r="A941" t="s">
        <v>25</v>
      </c>
      <c r="B941" t="s">
        <v>12</v>
      </c>
      <c r="C941">
        <v>32.82</v>
      </c>
      <c r="D941" t="s">
        <v>13</v>
      </c>
      <c r="E941" t="s">
        <v>22</v>
      </c>
      <c r="F941" t="s">
        <v>50</v>
      </c>
      <c r="G941" t="s">
        <v>175</v>
      </c>
      <c r="H941" t="s">
        <v>18</v>
      </c>
      <c r="I941" t="s">
        <v>39</v>
      </c>
      <c r="J941" t="s">
        <v>199</v>
      </c>
      <c r="K941" s="1">
        <v>0.63785326388888886</v>
      </c>
      <c r="L941">
        <f>YEAR(Coffe_sales[[#This Row],[Date]])</f>
        <v>2024</v>
      </c>
    </row>
    <row r="942" spans="1:12" x14ac:dyDescent="0.2">
      <c r="A942" t="s">
        <v>30</v>
      </c>
      <c r="B942" t="s">
        <v>12</v>
      </c>
      <c r="C942">
        <v>32.82</v>
      </c>
      <c r="D942" t="s">
        <v>52</v>
      </c>
      <c r="E942" t="s">
        <v>29</v>
      </c>
      <c r="F942" t="s">
        <v>50</v>
      </c>
      <c r="G942" t="s">
        <v>175</v>
      </c>
      <c r="H942" t="s">
        <v>18</v>
      </c>
      <c r="I942" t="s">
        <v>39</v>
      </c>
      <c r="J942" t="s">
        <v>199</v>
      </c>
      <c r="K942" s="1">
        <v>0.80214905092592592</v>
      </c>
      <c r="L942">
        <f>YEAR(Coffe_sales[[#This Row],[Date]])</f>
        <v>2024</v>
      </c>
    </row>
    <row r="943" spans="1:12" x14ac:dyDescent="0.2">
      <c r="A943" t="s">
        <v>30</v>
      </c>
      <c r="B943" t="s">
        <v>12</v>
      </c>
      <c r="C943">
        <v>32.82</v>
      </c>
      <c r="D943" t="s">
        <v>52</v>
      </c>
      <c r="E943" t="s">
        <v>29</v>
      </c>
      <c r="F943" t="s">
        <v>50</v>
      </c>
      <c r="G943" t="s">
        <v>175</v>
      </c>
      <c r="H943" t="s">
        <v>18</v>
      </c>
      <c r="I943" t="s">
        <v>39</v>
      </c>
      <c r="J943" t="s">
        <v>199</v>
      </c>
      <c r="K943" s="1">
        <v>0.80346966435185185</v>
      </c>
      <c r="L943">
        <f>YEAR(Coffe_sales[[#This Row],[Date]])</f>
        <v>2024</v>
      </c>
    </row>
    <row r="944" spans="1:12" x14ac:dyDescent="0.2">
      <c r="A944" t="s">
        <v>131</v>
      </c>
      <c r="B944" t="s">
        <v>12</v>
      </c>
      <c r="C944">
        <v>27.92</v>
      </c>
      <c r="D944" t="s">
        <v>26</v>
      </c>
      <c r="E944" t="s">
        <v>29</v>
      </c>
      <c r="F944" t="s">
        <v>50</v>
      </c>
      <c r="G944" t="s">
        <v>175</v>
      </c>
      <c r="H944" t="s">
        <v>18</v>
      </c>
      <c r="I944" t="s">
        <v>39</v>
      </c>
      <c r="J944" t="s">
        <v>199</v>
      </c>
      <c r="K944" s="1">
        <v>0.88723144675925925</v>
      </c>
      <c r="L944">
        <f>YEAR(Coffe_sales[[#This Row],[Date]])</f>
        <v>2024</v>
      </c>
    </row>
    <row r="945" spans="1:12" x14ac:dyDescent="0.2">
      <c r="A945" t="s">
        <v>131</v>
      </c>
      <c r="B945" t="s">
        <v>12</v>
      </c>
      <c r="C945">
        <v>23.02</v>
      </c>
      <c r="D945" t="s">
        <v>24</v>
      </c>
      <c r="E945" t="s">
        <v>29</v>
      </c>
      <c r="F945" t="s">
        <v>50</v>
      </c>
      <c r="G945" t="s">
        <v>175</v>
      </c>
      <c r="H945" t="s">
        <v>18</v>
      </c>
      <c r="I945" t="s">
        <v>39</v>
      </c>
      <c r="J945" t="s">
        <v>199</v>
      </c>
      <c r="K945" s="1">
        <v>0.88797793981481477</v>
      </c>
      <c r="L945">
        <f>YEAR(Coffe_sales[[#This Row],[Date]])</f>
        <v>2024</v>
      </c>
    </row>
    <row r="946" spans="1:12" x14ac:dyDescent="0.2">
      <c r="A946" t="s">
        <v>131</v>
      </c>
      <c r="B946" t="s">
        <v>12</v>
      </c>
      <c r="C946">
        <v>23.02</v>
      </c>
      <c r="D946" t="s">
        <v>24</v>
      </c>
      <c r="E946" t="s">
        <v>29</v>
      </c>
      <c r="F946" t="s">
        <v>50</v>
      </c>
      <c r="G946" t="s">
        <v>175</v>
      </c>
      <c r="H946" t="s">
        <v>18</v>
      </c>
      <c r="I946" t="s">
        <v>39</v>
      </c>
      <c r="J946" t="s">
        <v>199</v>
      </c>
      <c r="K946" s="1">
        <v>0.89256357638888884</v>
      </c>
      <c r="L946">
        <f>YEAR(Coffe_sales[[#This Row],[Date]])</f>
        <v>2024</v>
      </c>
    </row>
    <row r="947" spans="1:12" x14ac:dyDescent="0.2">
      <c r="A947" t="s">
        <v>39</v>
      </c>
      <c r="B947" t="s">
        <v>12</v>
      </c>
      <c r="C947">
        <v>23.02</v>
      </c>
      <c r="D947" t="s">
        <v>24</v>
      </c>
      <c r="E947" t="s">
        <v>14</v>
      </c>
      <c r="F947" t="s">
        <v>53</v>
      </c>
      <c r="G947" t="s">
        <v>175</v>
      </c>
      <c r="H947" t="s">
        <v>54</v>
      </c>
      <c r="I947" t="s">
        <v>39</v>
      </c>
      <c r="J947" t="s">
        <v>200</v>
      </c>
      <c r="K947" s="1">
        <v>0.32972146990740742</v>
      </c>
      <c r="L947">
        <f>YEAR(Coffe_sales[[#This Row],[Date]])</f>
        <v>2024</v>
      </c>
    </row>
    <row r="948" spans="1:12" x14ac:dyDescent="0.2">
      <c r="A948" t="s">
        <v>123</v>
      </c>
      <c r="B948" t="s">
        <v>12</v>
      </c>
      <c r="C948">
        <v>32.82</v>
      </c>
      <c r="D948" t="s">
        <v>13</v>
      </c>
      <c r="E948" t="s">
        <v>14</v>
      </c>
      <c r="F948" t="s">
        <v>53</v>
      </c>
      <c r="G948" t="s">
        <v>175</v>
      </c>
      <c r="H948" t="s">
        <v>54</v>
      </c>
      <c r="I948" t="s">
        <v>39</v>
      </c>
      <c r="J948" t="s">
        <v>200</v>
      </c>
      <c r="K948" s="1">
        <v>0.36757439814814813</v>
      </c>
      <c r="L948">
        <f>YEAR(Coffe_sales[[#This Row],[Date]])</f>
        <v>2024</v>
      </c>
    </row>
    <row r="949" spans="1:12" x14ac:dyDescent="0.2">
      <c r="A949" t="s">
        <v>11</v>
      </c>
      <c r="B949" t="s">
        <v>12</v>
      </c>
      <c r="C949">
        <v>27.92</v>
      </c>
      <c r="D949" t="s">
        <v>26</v>
      </c>
      <c r="E949" t="s">
        <v>14</v>
      </c>
      <c r="F949" t="s">
        <v>53</v>
      </c>
      <c r="G949" t="s">
        <v>175</v>
      </c>
      <c r="H949" t="s">
        <v>54</v>
      </c>
      <c r="I949" t="s">
        <v>39</v>
      </c>
      <c r="J949" t="s">
        <v>200</v>
      </c>
      <c r="K949" s="1">
        <v>0.43732209490740742</v>
      </c>
      <c r="L949">
        <f>YEAR(Coffe_sales[[#This Row],[Date]])</f>
        <v>2024</v>
      </c>
    </row>
    <row r="950" spans="1:12" x14ac:dyDescent="0.2">
      <c r="A950" t="s">
        <v>35</v>
      </c>
      <c r="B950" t="s">
        <v>12</v>
      </c>
      <c r="C950">
        <v>23.02</v>
      </c>
      <c r="D950" t="s">
        <v>24</v>
      </c>
      <c r="E950" t="s">
        <v>14</v>
      </c>
      <c r="F950" t="s">
        <v>53</v>
      </c>
      <c r="G950" t="s">
        <v>175</v>
      </c>
      <c r="H950" t="s">
        <v>54</v>
      </c>
      <c r="I950" t="s">
        <v>39</v>
      </c>
      <c r="J950" t="s">
        <v>200</v>
      </c>
      <c r="K950" s="1">
        <v>0.47644329861111112</v>
      </c>
      <c r="L950">
        <f>YEAR(Coffe_sales[[#This Row],[Date]])</f>
        <v>2024</v>
      </c>
    </row>
    <row r="951" spans="1:12" x14ac:dyDescent="0.2">
      <c r="A951" t="s">
        <v>25</v>
      </c>
      <c r="B951" t="s">
        <v>12</v>
      </c>
      <c r="C951">
        <v>32.82</v>
      </c>
      <c r="D951" t="s">
        <v>52</v>
      </c>
      <c r="E951" t="s">
        <v>22</v>
      </c>
      <c r="F951" t="s">
        <v>53</v>
      </c>
      <c r="G951" t="s">
        <v>175</v>
      </c>
      <c r="H951" t="s">
        <v>54</v>
      </c>
      <c r="I951" t="s">
        <v>39</v>
      </c>
      <c r="J951" t="s">
        <v>200</v>
      </c>
      <c r="K951" s="1">
        <v>0.64243648148148147</v>
      </c>
      <c r="L951">
        <f>YEAR(Coffe_sales[[#This Row],[Date]])</f>
        <v>2024</v>
      </c>
    </row>
    <row r="952" spans="1:12" x14ac:dyDescent="0.2">
      <c r="A952" t="s">
        <v>30</v>
      </c>
      <c r="B952" t="s">
        <v>12</v>
      </c>
      <c r="C952">
        <v>32.82</v>
      </c>
      <c r="D952" t="s">
        <v>52</v>
      </c>
      <c r="E952" t="s">
        <v>29</v>
      </c>
      <c r="F952" t="s">
        <v>53</v>
      </c>
      <c r="G952" t="s">
        <v>175</v>
      </c>
      <c r="H952" t="s">
        <v>54</v>
      </c>
      <c r="I952" t="s">
        <v>39</v>
      </c>
      <c r="J952" t="s">
        <v>200</v>
      </c>
      <c r="K952" s="1">
        <v>0.80625884259259262</v>
      </c>
      <c r="L952">
        <f>YEAR(Coffe_sales[[#This Row],[Date]])</f>
        <v>2024</v>
      </c>
    </row>
    <row r="953" spans="1:12" x14ac:dyDescent="0.2">
      <c r="A953" t="s">
        <v>131</v>
      </c>
      <c r="B953" t="s">
        <v>12</v>
      </c>
      <c r="C953">
        <v>23.02</v>
      </c>
      <c r="D953" t="s">
        <v>41</v>
      </c>
      <c r="E953" t="s">
        <v>29</v>
      </c>
      <c r="F953" t="s">
        <v>53</v>
      </c>
      <c r="G953" t="s">
        <v>175</v>
      </c>
      <c r="H953" t="s">
        <v>54</v>
      </c>
      <c r="I953" t="s">
        <v>39</v>
      </c>
      <c r="J953" t="s">
        <v>200</v>
      </c>
      <c r="K953" s="1">
        <v>0.87918138888888886</v>
      </c>
      <c r="L953">
        <f>YEAR(Coffe_sales[[#This Row],[Date]])</f>
        <v>2024</v>
      </c>
    </row>
    <row r="954" spans="1:12" x14ac:dyDescent="0.2">
      <c r="A954" t="s">
        <v>131</v>
      </c>
      <c r="B954" t="s">
        <v>12</v>
      </c>
      <c r="C954">
        <v>18.12</v>
      </c>
      <c r="D954" t="s">
        <v>45</v>
      </c>
      <c r="E954" t="s">
        <v>29</v>
      </c>
      <c r="F954" t="s">
        <v>53</v>
      </c>
      <c r="G954" t="s">
        <v>175</v>
      </c>
      <c r="H954" t="s">
        <v>54</v>
      </c>
      <c r="I954" t="s">
        <v>39</v>
      </c>
      <c r="J954" t="s">
        <v>200</v>
      </c>
      <c r="K954" s="1">
        <v>0.87974539351851855</v>
      </c>
      <c r="L954">
        <f>YEAR(Coffe_sales[[#This Row],[Date]])</f>
        <v>2024</v>
      </c>
    </row>
    <row r="955" spans="1:12" x14ac:dyDescent="0.2">
      <c r="A955" t="s">
        <v>125</v>
      </c>
      <c r="B955" t="s">
        <v>12</v>
      </c>
      <c r="C955">
        <v>23.02</v>
      </c>
      <c r="D955" t="s">
        <v>41</v>
      </c>
      <c r="E955" t="s">
        <v>29</v>
      </c>
      <c r="F955" t="s">
        <v>53</v>
      </c>
      <c r="G955" t="s">
        <v>175</v>
      </c>
      <c r="H955" t="s">
        <v>54</v>
      </c>
      <c r="I955" t="s">
        <v>39</v>
      </c>
      <c r="J955" t="s">
        <v>200</v>
      </c>
      <c r="K955" s="1">
        <v>0.94364965277777779</v>
      </c>
      <c r="L955">
        <f>YEAR(Coffe_sales[[#This Row],[Date]])</f>
        <v>2024</v>
      </c>
    </row>
    <row r="956" spans="1:12" x14ac:dyDescent="0.2">
      <c r="A956" t="s">
        <v>125</v>
      </c>
      <c r="B956" t="s">
        <v>12</v>
      </c>
      <c r="C956">
        <v>32.82</v>
      </c>
      <c r="D956" t="s">
        <v>31</v>
      </c>
      <c r="E956" t="s">
        <v>29</v>
      </c>
      <c r="F956" t="s">
        <v>53</v>
      </c>
      <c r="G956" t="s">
        <v>175</v>
      </c>
      <c r="H956" t="s">
        <v>54</v>
      </c>
      <c r="I956" t="s">
        <v>39</v>
      </c>
      <c r="J956" t="s">
        <v>200</v>
      </c>
      <c r="K956" s="1">
        <v>0.94429155092592587</v>
      </c>
      <c r="L956">
        <f>YEAR(Coffe_sales[[#This Row],[Date]])</f>
        <v>2024</v>
      </c>
    </row>
    <row r="957" spans="1:12" x14ac:dyDescent="0.2">
      <c r="A957" t="s">
        <v>123</v>
      </c>
      <c r="B957" t="s">
        <v>12</v>
      </c>
      <c r="C957">
        <v>32.82</v>
      </c>
      <c r="D957" t="s">
        <v>13</v>
      </c>
      <c r="E957" t="s">
        <v>14</v>
      </c>
      <c r="F957" t="s">
        <v>15</v>
      </c>
      <c r="G957" t="s">
        <v>175</v>
      </c>
      <c r="H957" t="s">
        <v>17</v>
      </c>
      <c r="I957" t="s">
        <v>39</v>
      </c>
      <c r="J957" t="s">
        <v>201</v>
      </c>
      <c r="K957" s="1">
        <v>0.35626473379629631</v>
      </c>
      <c r="L957">
        <f>YEAR(Coffe_sales[[#This Row],[Date]])</f>
        <v>2024</v>
      </c>
    </row>
    <row r="958" spans="1:12" x14ac:dyDescent="0.2">
      <c r="A958" t="s">
        <v>46</v>
      </c>
      <c r="B958" t="s">
        <v>12</v>
      </c>
      <c r="C958">
        <v>27.92</v>
      </c>
      <c r="D958" t="s">
        <v>26</v>
      </c>
      <c r="E958" t="s">
        <v>14</v>
      </c>
      <c r="F958" t="s">
        <v>15</v>
      </c>
      <c r="G958" t="s">
        <v>175</v>
      </c>
      <c r="H958" t="s">
        <v>17</v>
      </c>
      <c r="I958" t="s">
        <v>39</v>
      </c>
      <c r="J958" t="s">
        <v>201</v>
      </c>
      <c r="K958" s="1">
        <v>0.38862703703703705</v>
      </c>
      <c r="L958">
        <f>YEAR(Coffe_sales[[#This Row],[Date]])</f>
        <v>2024</v>
      </c>
    </row>
    <row r="959" spans="1:12" x14ac:dyDescent="0.2">
      <c r="A959" t="s">
        <v>46</v>
      </c>
      <c r="B959" t="s">
        <v>12</v>
      </c>
      <c r="C959">
        <v>18.12</v>
      </c>
      <c r="D959" t="s">
        <v>45</v>
      </c>
      <c r="E959" t="s">
        <v>14</v>
      </c>
      <c r="F959" t="s">
        <v>15</v>
      </c>
      <c r="G959" t="s">
        <v>175</v>
      </c>
      <c r="H959" t="s">
        <v>17</v>
      </c>
      <c r="I959" t="s">
        <v>39</v>
      </c>
      <c r="J959" t="s">
        <v>201</v>
      </c>
      <c r="K959" s="1">
        <v>0.38928638888888889</v>
      </c>
      <c r="L959">
        <f>YEAR(Coffe_sales[[#This Row],[Date]])</f>
        <v>2024</v>
      </c>
    </row>
    <row r="960" spans="1:12" x14ac:dyDescent="0.2">
      <c r="A960" t="s">
        <v>46</v>
      </c>
      <c r="B960" t="s">
        <v>12</v>
      </c>
      <c r="C960">
        <v>23.02</v>
      </c>
      <c r="D960" t="s">
        <v>41</v>
      </c>
      <c r="E960" t="s">
        <v>14</v>
      </c>
      <c r="F960" t="s">
        <v>15</v>
      </c>
      <c r="G960" t="s">
        <v>175</v>
      </c>
      <c r="H960" t="s">
        <v>17</v>
      </c>
      <c r="I960" t="s">
        <v>39</v>
      </c>
      <c r="J960" t="s">
        <v>201</v>
      </c>
      <c r="K960" s="1">
        <v>0.39804989583333333</v>
      </c>
      <c r="L960">
        <f>YEAR(Coffe_sales[[#This Row],[Date]])</f>
        <v>2024</v>
      </c>
    </row>
    <row r="961" spans="1:12" x14ac:dyDescent="0.2">
      <c r="A961" t="s">
        <v>46</v>
      </c>
      <c r="B961" t="s">
        <v>12</v>
      </c>
      <c r="C961">
        <v>23.02</v>
      </c>
      <c r="D961" t="s">
        <v>41</v>
      </c>
      <c r="E961" t="s">
        <v>14</v>
      </c>
      <c r="F961" t="s">
        <v>15</v>
      </c>
      <c r="G961" t="s">
        <v>175</v>
      </c>
      <c r="H961" t="s">
        <v>17</v>
      </c>
      <c r="I961" t="s">
        <v>39</v>
      </c>
      <c r="J961" t="s">
        <v>201</v>
      </c>
      <c r="K961" s="1">
        <v>0.39880362268518521</v>
      </c>
      <c r="L961">
        <f>YEAR(Coffe_sales[[#This Row],[Date]])</f>
        <v>2024</v>
      </c>
    </row>
    <row r="962" spans="1:12" x14ac:dyDescent="0.2">
      <c r="A962" t="s">
        <v>46</v>
      </c>
      <c r="B962" t="s">
        <v>12</v>
      </c>
      <c r="C962">
        <v>32.82</v>
      </c>
      <c r="D962" t="s">
        <v>13</v>
      </c>
      <c r="E962" t="s">
        <v>14</v>
      </c>
      <c r="F962" t="s">
        <v>15</v>
      </c>
      <c r="G962" t="s">
        <v>175</v>
      </c>
      <c r="H962" t="s">
        <v>17</v>
      </c>
      <c r="I962" t="s">
        <v>39</v>
      </c>
      <c r="J962" t="s">
        <v>201</v>
      </c>
      <c r="K962" s="1">
        <v>0.41606327546296296</v>
      </c>
      <c r="L962">
        <f>YEAR(Coffe_sales[[#This Row],[Date]])</f>
        <v>2024</v>
      </c>
    </row>
    <row r="963" spans="1:12" x14ac:dyDescent="0.2">
      <c r="A963" t="s">
        <v>11</v>
      </c>
      <c r="B963" t="s">
        <v>12</v>
      </c>
      <c r="C963">
        <v>32.82</v>
      </c>
      <c r="D963" t="s">
        <v>13</v>
      </c>
      <c r="E963" t="s">
        <v>14</v>
      </c>
      <c r="F963" t="s">
        <v>15</v>
      </c>
      <c r="G963" t="s">
        <v>175</v>
      </c>
      <c r="H963" t="s">
        <v>17</v>
      </c>
      <c r="I963" t="s">
        <v>39</v>
      </c>
      <c r="J963" t="s">
        <v>201</v>
      </c>
      <c r="K963" s="1">
        <v>0.41669813657407406</v>
      </c>
      <c r="L963">
        <f>YEAR(Coffe_sales[[#This Row],[Date]])</f>
        <v>2024</v>
      </c>
    </row>
    <row r="964" spans="1:12" x14ac:dyDescent="0.2">
      <c r="A964" t="s">
        <v>35</v>
      </c>
      <c r="B964" t="s">
        <v>12</v>
      </c>
      <c r="C964">
        <v>27.92</v>
      </c>
      <c r="D964" t="s">
        <v>26</v>
      </c>
      <c r="E964" t="s">
        <v>14</v>
      </c>
      <c r="F964" t="s">
        <v>15</v>
      </c>
      <c r="G964" t="s">
        <v>175</v>
      </c>
      <c r="H964" t="s">
        <v>17</v>
      </c>
      <c r="I964" t="s">
        <v>39</v>
      </c>
      <c r="J964" t="s">
        <v>201</v>
      </c>
      <c r="K964" s="1">
        <v>0.49113258101851853</v>
      </c>
      <c r="L964">
        <f>YEAR(Coffe_sales[[#This Row],[Date]])</f>
        <v>2024</v>
      </c>
    </row>
    <row r="965" spans="1:12" x14ac:dyDescent="0.2">
      <c r="A965" t="s">
        <v>20</v>
      </c>
      <c r="B965" t="s">
        <v>12</v>
      </c>
      <c r="C965">
        <v>27.92</v>
      </c>
      <c r="D965" t="s">
        <v>26</v>
      </c>
      <c r="E965" t="s">
        <v>22</v>
      </c>
      <c r="F965" t="s">
        <v>15</v>
      </c>
      <c r="G965" t="s">
        <v>175</v>
      </c>
      <c r="H965" t="s">
        <v>17</v>
      </c>
      <c r="I965" t="s">
        <v>39</v>
      </c>
      <c r="J965" t="s">
        <v>201</v>
      </c>
      <c r="K965" s="1">
        <v>0.50488043981481479</v>
      </c>
      <c r="L965">
        <f>YEAR(Coffe_sales[[#This Row],[Date]])</f>
        <v>2024</v>
      </c>
    </row>
    <row r="966" spans="1:12" x14ac:dyDescent="0.2">
      <c r="A966" t="s">
        <v>20</v>
      </c>
      <c r="B966" t="s">
        <v>12</v>
      </c>
      <c r="C966">
        <v>32.82</v>
      </c>
      <c r="D966" t="s">
        <v>52</v>
      </c>
      <c r="E966" t="s">
        <v>22</v>
      </c>
      <c r="F966" t="s">
        <v>15</v>
      </c>
      <c r="G966" t="s">
        <v>175</v>
      </c>
      <c r="H966" t="s">
        <v>17</v>
      </c>
      <c r="I966" t="s">
        <v>39</v>
      </c>
      <c r="J966" t="s">
        <v>201</v>
      </c>
      <c r="K966" s="1">
        <v>0.51953754629629634</v>
      </c>
      <c r="L966">
        <f>YEAR(Coffe_sales[[#This Row],[Date]])</f>
        <v>2024</v>
      </c>
    </row>
    <row r="967" spans="1:12" x14ac:dyDescent="0.2">
      <c r="A967" t="s">
        <v>20</v>
      </c>
      <c r="B967" t="s">
        <v>12</v>
      </c>
      <c r="C967">
        <v>32.82</v>
      </c>
      <c r="D967" t="s">
        <v>52</v>
      </c>
      <c r="E967" t="s">
        <v>22</v>
      </c>
      <c r="F967" t="s">
        <v>15</v>
      </c>
      <c r="G967" t="s">
        <v>175</v>
      </c>
      <c r="H967" t="s">
        <v>17</v>
      </c>
      <c r="I967" t="s">
        <v>39</v>
      </c>
      <c r="J967" t="s">
        <v>201</v>
      </c>
      <c r="K967" s="1">
        <v>0.52034384259259259</v>
      </c>
      <c r="L967">
        <f>YEAR(Coffe_sales[[#This Row],[Date]])</f>
        <v>2024</v>
      </c>
    </row>
    <row r="968" spans="1:12" x14ac:dyDescent="0.2">
      <c r="A968" t="s">
        <v>23</v>
      </c>
      <c r="B968" t="s">
        <v>12</v>
      </c>
      <c r="C968">
        <v>32.82</v>
      </c>
      <c r="D968" t="s">
        <v>13</v>
      </c>
      <c r="E968" t="s">
        <v>22</v>
      </c>
      <c r="F968" t="s">
        <v>15</v>
      </c>
      <c r="G968" t="s">
        <v>175</v>
      </c>
      <c r="H968" t="s">
        <v>17</v>
      </c>
      <c r="I968" t="s">
        <v>39</v>
      </c>
      <c r="J968" t="s">
        <v>201</v>
      </c>
      <c r="K968" s="1">
        <v>0.54856641203703704</v>
      </c>
      <c r="L968">
        <f>YEAR(Coffe_sales[[#This Row],[Date]])</f>
        <v>2024</v>
      </c>
    </row>
    <row r="969" spans="1:12" x14ac:dyDescent="0.2">
      <c r="A969" t="s">
        <v>37</v>
      </c>
      <c r="B969" t="s">
        <v>12</v>
      </c>
      <c r="C969">
        <v>23.02</v>
      </c>
      <c r="D969" t="s">
        <v>24</v>
      </c>
      <c r="E969" t="s">
        <v>29</v>
      </c>
      <c r="F969" t="s">
        <v>15</v>
      </c>
      <c r="G969" t="s">
        <v>175</v>
      </c>
      <c r="H969" t="s">
        <v>17</v>
      </c>
      <c r="I969" t="s">
        <v>39</v>
      </c>
      <c r="J969" t="s">
        <v>201</v>
      </c>
      <c r="K969" s="1">
        <v>0.72464521990740738</v>
      </c>
      <c r="L969">
        <f>YEAR(Coffe_sales[[#This Row],[Date]])</f>
        <v>2024</v>
      </c>
    </row>
    <row r="970" spans="1:12" x14ac:dyDescent="0.2">
      <c r="A970" t="s">
        <v>37</v>
      </c>
      <c r="B970" t="s">
        <v>12</v>
      </c>
      <c r="C970">
        <v>32.82</v>
      </c>
      <c r="D970" t="s">
        <v>52</v>
      </c>
      <c r="E970" t="s">
        <v>29</v>
      </c>
      <c r="F970" t="s">
        <v>15</v>
      </c>
      <c r="G970" t="s">
        <v>175</v>
      </c>
      <c r="H970" t="s">
        <v>17</v>
      </c>
      <c r="I970" t="s">
        <v>39</v>
      </c>
      <c r="J970" t="s">
        <v>201</v>
      </c>
      <c r="K970" s="1">
        <v>0.74894927083333329</v>
      </c>
      <c r="L970">
        <f>YEAR(Coffe_sales[[#This Row],[Date]])</f>
        <v>2024</v>
      </c>
    </row>
    <row r="971" spans="1:12" x14ac:dyDescent="0.2">
      <c r="A971" t="s">
        <v>131</v>
      </c>
      <c r="B971" t="s">
        <v>12</v>
      </c>
      <c r="C971">
        <v>32.82</v>
      </c>
      <c r="D971" t="s">
        <v>13</v>
      </c>
      <c r="E971" t="s">
        <v>29</v>
      </c>
      <c r="F971" t="s">
        <v>15</v>
      </c>
      <c r="G971" t="s">
        <v>175</v>
      </c>
      <c r="H971" t="s">
        <v>17</v>
      </c>
      <c r="I971" t="s">
        <v>39</v>
      </c>
      <c r="J971" t="s">
        <v>201</v>
      </c>
      <c r="K971" s="1">
        <v>0.88552791666666664</v>
      </c>
      <c r="L971">
        <f>YEAR(Coffe_sales[[#This Row],[Date]])</f>
        <v>2024</v>
      </c>
    </row>
    <row r="972" spans="1:12" x14ac:dyDescent="0.2">
      <c r="A972" t="s">
        <v>125</v>
      </c>
      <c r="B972" t="s">
        <v>12</v>
      </c>
      <c r="C972">
        <v>27.92</v>
      </c>
      <c r="D972" t="s">
        <v>26</v>
      </c>
      <c r="E972" t="s">
        <v>29</v>
      </c>
      <c r="F972" t="s">
        <v>15</v>
      </c>
      <c r="G972" t="s">
        <v>175</v>
      </c>
      <c r="H972" t="s">
        <v>17</v>
      </c>
      <c r="I972" t="s">
        <v>39</v>
      </c>
      <c r="J972" t="s">
        <v>201</v>
      </c>
      <c r="K972" s="1">
        <v>0.95129997685185186</v>
      </c>
      <c r="L972">
        <f>YEAR(Coffe_sales[[#This Row],[Date]])</f>
        <v>2024</v>
      </c>
    </row>
    <row r="973" spans="1:12" x14ac:dyDescent="0.2">
      <c r="A973" t="s">
        <v>46</v>
      </c>
      <c r="B973" t="s">
        <v>12</v>
      </c>
      <c r="C973">
        <v>32.82</v>
      </c>
      <c r="D973" t="s">
        <v>52</v>
      </c>
      <c r="E973" t="s">
        <v>14</v>
      </c>
      <c r="F973" t="s">
        <v>32</v>
      </c>
      <c r="G973" t="s">
        <v>175</v>
      </c>
      <c r="H973" t="s">
        <v>33</v>
      </c>
      <c r="I973" t="s">
        <v>39</v>
      </c>
      <c r="J973" t="s">
        <v>202</v>
      </c>
      <c r="K973" s="1">
        <v>0.38144047453703706</v>
      </c>
      <c r="L973">
        <f>YEAR(Coffe_sales[[#This Row],[Date]])</f>
        <v>2024</v>
      </c>
    </row>
    <row r="974" spans="1:12" x14ac:dyDescent="0.2">
      <c r="A974" t="s">
        <v>35</v>
      </c>
      <c r="B974" t="s">
        <v>12</v>
      </c>
      <c r="C974">
        <v>27.92</v>
      </c>
      <c r="D974" t="s">
        <v>26</v>
      </c>
      <c r="E974" t="s">
        <v>14</v>
      </c>
      <c r="F974" t="s">
        <v>32</v>
      </c>
      <c r="G974" t="s">
        <v>175</v>
      </c>
      <c r="H974" t="s">
        <v>33</v>
      </c>
      <c r="I974" t="s">
        <v>39</v>
      </c>
      <c r="J974" t="s">
        <v>202</v>
      </c>
      <c r="K974" s="1">
        <v>0.49689098379629631</v>
      </c>
      <c r="L974">
        <f>YEAR(Coffe_sales[[#This Row],[Date]])</f>
        <v>2024</v>
      </c>
    </row>
    <row r="975" spans="1:12" x14ac:dyDescent="0.2">
      <c r="A975" t="s">
        <v>20</v>
      </c>
      <c r="B975" t="s">
        <v>12</v>
      </c>
      <c r="C975">
        <v>27.92</v>
      </c>
      <c r="D975" t="s">
        <v>26</v>
      </c>
      <c r="E975" t="s">
        <v>22</v>
      </c>
      <c r="F975" t="s">
        <v>32</v>
      </c>
      <c r="G975" t="s">
        <v>175</v>
      </c>
      <c r="H975" t="s">
        <v>33</v>
      </c>
      <c r="I975" t="s">
        <v>39</v>
      </c>
      <c r="J975" t="s">
        <v>202</v>
      </c>
      <c r="K975" s="1">
        <v>0.5174781828703704</v>
      </c>
      <c r="L975">
        <f>YEAR(Coffe_sales[[#This Row],[Date]])</f>
        <v>2024</v>
      </c>
    </row>
    <row r="976" spans="1:12" x14ac:dyDescent="0.2">
      <c r="A976" t="s">
        <v>20</v>
      </c>
      <c r="B976" t="s">
        <v>12</v>
      </c>
      <c r="C976">
        <v>18.12</v>
      </c>
      <c r="D976" t="s">
        <v>45</v>
      </c>
      <c r="E976" t="s">
        <v>22</v>
      </c>
      <c r="F976" t="s">
        <v>32</v>
      </c>
      <c r="G976" t="s">
        <v>175</v>
      </c>
      <c r="H976" t="s">
        <v>33</v>
      </c>
      <c r="I976" t="s">
        <v>39</v>
      </c>
      <c r="J976" t="s">
        <v>202</v>
      </c>
      <c r="K976" s="1">
        <v>0.51820785879629627</v>
      </c>
      <c r="L976">
        <f>YEAR(Coffe_sales[[#This Row],[Date]])</f>
        <v>2024</v>
      </c>
    </row>
    <row r="977" spans="1:12" x14ac:dyDescent="0.2">
      <c r="A977" t="s">
        <v>20</v>
      </c>
      <c r="B977" t="s">
        <v>12</v>
      </c>
      <c r="C977">
        <v>27.92</v>
      </c>
      <c r="D977" t="s">
        <v>26</v>
      </c>
      <c r="E977" t="s">
        <v>22</v>
      </c>
      <c r="F977" t="s">
        <v>32</v>
      </c>
      <c r="G977" t="s">
        <v>175</v>
      </c>
      <c r="H977" t="s">
        <v>33</v>
      </c>
      <c r="I977" t="s">
        <v>39</v>
      </c>
      <c r="J977" t="s">
        <v>202</v>
      </c>
      <c r="K977" s="1">
        <v>0.52318368055555553</v>
      </c>
      <c r="L977">
        <f>YEAR(Coffe_sales[[#This Row],[Date]])</f>
        <v>2024</v>
      </c>
    </row>
    <row r="978" spans="1:12" x14ac:dyDescent="0.2">
      <c r="A978" t="s">
        <v>36</v>
      </c>
      <c r="B978" t="s">
        <v>12</v>
      </c>
      <c r="C978">
        <v>18.12</v>
      </c>
      <c r="D978" t="s">
        <v>45</v>
      </c>
      <c r="E978" t="s">
        <v>22</v>
      </c>
      <c r="F978" t="s">
        <v>32</v>
      </c>
      <c r="G978" t="s">
        <v>175</v>
      </c>
      <c r="H978" t="s">
        <v>33</v>
      </c>
      <c r="I978" t="s">
        <v>39</v>
      </c>
      <c r="J978" t="s">
        <v>202</v>
      </c>
      <c r="K978" s="1">
        <v>0.60326277777777781</v>
      </c>
      <c r="L978">
        <f>YEAR(Coffe_sales[[#This Row],[Date]])</f>
        <v>2024</v>
      </c>
    </row>
    <row r="979" spans="1:12" x14ac:dyDescent="0.2">
      <c r="A979" t="s">
        <v>36</v>
      </c>
      <c r="B979" t="s">
        <v>12</v>
      </c>
      <c r="C979">
        <v>32.82</v>
      </c>
      <c r="D979" t="s">
        <v>13</v>
      </c>
      <c r="E979" t="s">
        <v>22</v>
      </c>
      <c r="F979" t="s">
        <v>32</v>
      </c>
      <c r="G979" t="s">
        <v>175</v>
      </c>
      <c r="H979" t="s">
        <v>33</v>
      </c>
      <c r="I979" t="s">
        <v>39</v>
      </c>
      <c r="J979" t="s">
        <v>202</v>
      </c>
      <c r="K979" s="1">
        <v>0.61936569444444445</v>
      </c>
      <c r="L979">
        <f>YEAR(Coffe_sales[[#This Row],[Date]])</f>
        <v>2024</v>
      </c>
    </row>
    <row r="980" spans="1:12" x14ac:dyDescent="0.2">
      <c r="A980" t="s">
        <v>37</v>
      </c>
      <c r="B980" t="s">
        <v>12</v>
      </c>
      <c r="C980">
        <v>32.82</v>
      </c>
      <c r="D980" t="s">
        <v>52</v>
      </c>
      <c r="E980" t="s">
        <v>29</v>
      </c>
      <c r="F980" t="s">
        <v>32</v>
      </c>
      <c r="G980" t="s">
        <v>175</v>
      </c>
      <c r="H980" t="s">
        <v>33</v>
      </c>
      <c r="I980" t="s">
        <v>39</v>
      </c>
      <c r="J980" t="s">
        <v>202</v>
      </c>
      <c r="K980" s="1">
        <v>0.71010831018518517</v>
      </c>
      <c r="L980">
        <f>YEAR(Coffe_sales[[#This Row],[Date]])</f>
        <v>2024</v>
      </c>
    </row>
    <row r="981" spans="1:12" x14ac:dyDescent="0.2">
      <c r="A981" t="s">
        <v>37</v>
      </c>
      <c r="B981" t="s">
        <v>12</v>
      </c>
      <c r="C981">
        <v>32.82</v>
      </c>
      <c r="D981" t="s">
        <v>52</v>
      </c>
      <c r="E981" t="s">
        <v>29</v>
      </c>
      <c r="F981" t="s">
        <v>32</v>
      </c>
      <c r="G981" t="s">
        <v>175</v>
      </c>
      <c r="H981" t="s">
        <v>33</v>
      </c>
      <c r="I981" t="s">
        <v>39</v>
      </c>
      <c r="J981" t="s">
        <v>202</v>
      </c>
      <c r="K981" s="1">
        <v>0.71086935185185185</v>
      </c>
      <c r="L981">
        <f>YEAR(Coffe_sales[[#This Row],[Date]])</f>
        <v>2024</v>
      </c>
    </row>
    <row r="982" spans="1:12" x14ac:dyDescent="0.2">
      <c r="A982" t="s">
        <v>37</v>
      </c>
      <c r="B982" t="s">
        <v>12</v>
      </c>
      <c r="C982">
        <v>27.92</v>
      </c>
      <c r="D982" t="s">
        <v>26</v>
      </c>
      <c r="E982" t="s">
        <v>29</v>
      </c>
      <c r="F982" t="s">
        <v>32</v>
      </c>
      <c r="G982" t="s">
        <v>175</v>
      </c>
      <c r="H982" t="s">
        <v>33</v>
      </c>
      <c r="I982" t="s">
        <v>39</v>
      </c>
      <c r="J982" t="s">
        <v>202</v>
      </c>
      <c r="K982" s="1">
        <v>0.71458824074074079</v>
      </c>
      <c r="L982">
        <f>YEAR(Coffe_sales[[#This Row],[Date]])</f>
        <v>2024</v>
      </c>
    </row>
    <row r="983" spans="1:12" x14ac:dyDescent="0.2">
      <c r="A983" t="s">
        <v>37</v>
      </c>
      <c r="B983" t="s">
        <v>12</v>
      </c>
      <c r="C983">
        <v>27.92</v>
      </c>
      <c r="D983" t="s">
        <v>26</v>
      </c>
      <c r="E983" t="s">
        <v>29</v>
      </c>
      <c r="F983" t="s">
        <v>32</v>
      </c>
      <c r="G983" t="s">
        <v>175</v>
      </c>
      <c r="H983" t="s">
        <v>33</v>
      </c>
      <c r="I983" t="s">
        <v>39</v>
      </c>
      <c r="J983" t="s">
        <v>202</v>
      </c>
      <c r="K983" s="1">
        <v>0.71537122685185184</v>
      </c>
      <c r="L983">
        <f>YEAR(Coffe_sales[[#This Row],[Date]])</f>
        <v>2024</v>
      </c>
    </row>
    <row r="984" spans="1:12" x14ac:dyDescent="0.2">
      <c r="A984" t="s">
        <v>91</v>
      </c>
      <c r="B984" t="s">
        <v>12</v>
      </c>
      <c r="C984">
        <v>32.82</v>
      </c>
      <c r="D984" t="s">
        <v>13</v>
      </c>
      <c r="E984" t="s">
        <v>29</v>
      </c>
      <c r="F984" t="s">
        <v>32</v>
      </c>
      <c r="G984" t="s">
        <v>175</v>
      </c>
      <c r="H984" t="s">
        <v>33</v>
      </c>
      <c r="I984" t="s">
        <v>39</v>
      </c>
      <c r="J984" t="s">
        <v>202</v>
      </c>
      <c r="K984" s="1">
        <v>0.87176128472222225</v>
      </c>
      <c r="L984">
        <f>YEAR(Coffe_sales[[#This Row],[Date]])</f>
        <v>2024</v>
      </c>
    </row>
    <row r="985" spans="1:12" x14ac:dyDescent="0.2">
      <c r="A985" t="s">
        <v>125</v>
      </c>
      <c r="B985" t="s">
        <v>12</v>
      </c>
      <c r="C985">
        <v>32.82</v>
      </c>
      <c r="D985" t="s">
        <v>52</v>
      </c>
      <c r="E985" t="s">
        <v>29</v>
      </c>
      <c r="F985" t="s">
        <v>32</v>
      </c>
      <c r="G985" t="s">
        <v>175</v>
      </c>
      <c r="H985" t="s">
        <v>33</v>
      </c>
      <c r="I985" t="s">
        <v>39</v>
      </c>
      <c r="J985" t="s">
        <v>202</v>
      </c>
      <c r="K985" s="1">
        <v>0.955832349537037</v>
      </c>
      <c r="L985">
        <f>YEAR(Coffe_sales[[#This Row],[Date]])</f>
        <v>2024</v>
      </c>
    </row>
    <row r="986" spans="1:12" x14ac:dyDescent="0.2">
      <c r="A986" t="s">
        <v>35</v>
      </c>
      <c r="B986" t="s">
        <v>12</v>
      </c>
      <c r="C986">
        <v>18.12</v>
      </c>
      <c r="D986" t="s">
        <v>45</v>
      </c>
      <c r="E986" t="s">
        <v>14</v>
      </c>
      <c r="F986" t="s">
        <v>38</v>
      </c>
      <c r="G986" t="s">
        <v>175</v>
      </c>
      <c r="H986" t="s">
        <v>39</v>
      </c>
      <c r="I986" t="s">
        <v>39</v>
      </c>
      <c r="J986" t="s">
        <v>203</v>
      </c>
      <c r="K986" s="1">
        <v>0.46349444444444443</v>
      </c>
      <c r="L986">
        <f>YEAR(Coffe_sales[[#This Row],[Date]])</f>
        <v>2024</v>
      </c>
    </row>
    <row r="987" spans="1:12" x14ac:dyDescent="0.2">
      <c r="A987" t="s">
        <v>36</v>
      </c>
      <c r="B987" t="s">
        <v>12</v>
      </c>
      <c r="C987">
        <v>27.92</v>
      </c>
      <c r="D987" t="s">
        <v>26</v>
      </c>
      <c r="E987" t="s">
        <v>22</v>
      </c>
      <c r="F987" t="s">
        <v>38</v>
      </c>
      <c r="G987" t="s">
        <v>175</v>
      </c>
      <c r="H987" t="s">
        <v>39</v>
      </c>
      <c r="I987" t="s">
        <v>39</v>
      </c>
      <c r="J987" t="s">
        <v>203</v>
      </c>
      <c r="K987" s="1">
        <v>0.59576626157407409</v>
      </c>
      <c r="L987">
        <f>YEAR(Coffe_sales[[#This Row],[Date]])</f>
        <v>2024</v>
      </c>
    </row>
    <row r="988" spans="1:12" x14ac:dyDescent="0.2">
      <c r="A988" t="s">
        <v>36</v>
      </c>
      <c r="B988" t="s">
        <v>12</v>
      </c>
      <c r="C988">
        <v>32.82</v>
      </c>
      <c r="D988" t="s">
        <v>13</v>
      </c>
      <c r="E988" t="s">
        <v>22</v>
      </c>
      <c r="F988" t="s">
        <v>38</v>
      </c>
      <c r="G988" t="s">
        <v>175</v>
      </c>
      <c r="H988" t="s">
        <v>39</v>
      </c>
      <c r="I988" t="s">
        <v>39</v>
      </c>
      <c r="J988" t="s">
        <v>203</v>
      </c>
      <c r="K988" s="1">
        <v>0.59643745370370371</v>
      </c>
      <c r="L988">
        <f>YEAR(Coffe_sales[[#This Row],[Date]])</f>
        <v>2024</v>
      </c>
    </row>
    <row r="989" spans="1:12" x14ac:dyDescent="0.2">
      <c r="A989" t="s">
        <v>123</v>
      </c>
      <c r="B989" t="s">
        <v>12</v>
      </c>
      <c r="C989">
        <v>32.82</v>
      </c>
      <c r="D989" t="s">
        <v>13</v>
      </c>
      <c r="E989" t="s">
        <v>14</v>
      </c>
      <c r="F989" t="s">
        <v>42</v>
      </c>
      <c r="G989" t="s">
        <v>175</v>
      </c>
      <c r="H989" t="s">
        <v>43</v>
      </c>
      <c r="I989" t="s">
        <v>39</v>
      </c>
      <c r="J989" t="s">
        <v>204</v>
      </c>
      <c r="K989" s="1">
        <v>0.34174081018518521</v>
      </c>
      <c r="L989">
        <f>YEAR(Coffe_sales[[#This Row],[Date]])</f>
        <v>2024</v>
      </c>
    </row>
    <row r="990" spans="1:12" x14ac:dyDescent="0.2">
      <c r="A990" t="s">
        <v>46</v>
      </c>
      <c r="B990" t="s">
        <v>12</v>
      </c>
      <c r="C990">
        <v>23.02</v>
      </c>
      <c r="D990" t="s">
        <v>24</v>
      </c>
      <c r="E990" t="s">
        <v>14</v>
      </c>
      <c r="F990" t="s">
        <v>42</v>
      </c>
      <c r="G990" t="s">
        <v>175</v>
      </c>
      <c r="H990" t="s">
        <v>43</v>
      </c>
      <c r="I990" t="s">
        <v>39</v>
      </c>
      <c r="J990" t="s">
        <v>204</v>
      </c>
      <c r="K990" s="1">
        <v>0.37833300925925928</v>
      </c>
      <c r="L990">
        <f>YEAR(Coffe_sales[[#This Row],[Date]])</f>
        <v>2024</v>
      </c>
    </row>
    <row r="991" spans="1:12" x14ac:dyDescent="0.2">
      <c r="A991" t="s">
        <v>46</v>
      </c>
      <c r="B991" t="s">
        <v>12</v>
      </c>
      <c r="C991">
        <v>27.92</v>
      </c>
      <c r="D991" t="s">
        <v>26</v>
      </c>
      <c r="E991" t="s">
        <v>14</v>
      </c>
      <c r="F991" t="s">
        <v>42</v>
      </c>
      <c r="G991" t="s">
        <v>175</v>
      </c>
      <c r="H991" t="s">
        <v>43</v>
      </c>
      <c r="I991" t="s">
        <v>39</v>
      </c>
      <c r="J991" t="s">
        <v>204</v>
      </c>
      <c r="K991" s="1">
        <v>0.38595086805555556</v>
      </c>
      <c r="L991">
        <f>YEAR(Coffe_sales[[#This Row],[Date]])</f>
        <v>2024</v>
      </c>
    </row>
    <row r="992" spans="1:12" x14ac:dyDescent="0.2">
      <c r="A992" t="s">
        <v>46</v>
      </c>
      <c r="B992" t="s">
        <v>12</v>
      </c>
      <c r="C992">
        <v>23.02</v>
      </c>
      <c r="D992" t="s">
        <v>24</v>
      </c>
      <c r="E992" t="s">
        <v>14</v>
      </c>
      <c r="F992" t="s">
        <v>42</v>
      </c>
      <c r="G992" t="s">
        <v>175</v>
      </c>
      <c r="H992" t="s">
        <v>43</v>
      </c>
      <c r="I992" t="s">
        <v>39</v>
      </c>
      <c r="J992" t="s">
        <v>204</v>
      </c>
      <c r="K992" s="1">
        <v>0.38870465277777777</v>
      </c>
      <c r="L992">
        <f>YEAR(Coffe_sales[[#This Row],[Date]])</f>
        <v>2024</v>
      </c>
    </row>
    <row r="993" spans="1:12" x14ac:dyDescent="0.2">
      <c r="A993" t="s">
        <v>46</v>
      </c>
      <c r="B993" t="s">
        <v>12</v>
      </c>
      <c r="C993">
        <v>27.92</v>
      </c>
      <c r="D993" t="s">
        <v>26</v>
      </c>
      <c r="E993" t="s">
        <v>14</v>
      </c>
      <c r="F993" t="s">
        <v>42</v>
      </c>
      <c r="G993" t="s">
        <v>175</v>
      </c>
      <c r="H993" t="s">
        <v>43</v>
      </c>
      <c r="I993" t="s">
        <v>39</v>
      </c>
      <c r="J993" t="s">
        <v>204</v>
      </c>
      <c r="K993" s="1">
        <v>0.41070309027777779</v>
      </c>
      <c r="L993">
        <f>YEAR(Coffe_sales[[#This Row],[Date]])</f>
        <v>2024</v>
      </c>
    </row>
    <row r="994" spans="1:12" x14ac:dyDescent="0.2">
      <c r="A994" t="s">
        <v>46</v>
      </c>
      <c r="B994" t="s">
        <v>12</v>
      </c>
      <c r="C994">
        <v>32.82</v>
      </c>
      <c r="D994" t="s">
        <v>52</v>
      </c>
      <c r="E994" t="s">
        <v>14</v>
      </c>
      <c r="F994" t="s">
        <v>42</v>
      </c>
      <c r="G994" t="s">
        <v>175</v>
      </c>
      <c r="H994" t="s">
        <v>43</v>
      </c>
      <c r="I994" t="s">
        <v>39</v>
      </c>
      <c r="J994" t="s">
        <v>204</v>
      </c>
      <c r="K994" s="1">
        <v>0.41562082175925924</v>
      </c>
      <c r="L994">
        <f>YEAR(Coffe_sales[[#This Row],[Date]])</f>
        <v>2024</v>
      </c>
    </row>
    <row r="995" spans="1:12" x14ac:dyDescent="0.2">
      <c r="A995" t="s">
        <v>11</v>
      </c>
      <c r="B995" t="s">
        <v>12</v>
      </c>
      <c r="C995">
        <v>32.82</v>
      </c>
      <c r="D995" t="s">
        <v>21</v>
      </c>
      <c r="E995" t="s">
        <v>14</v>
      </c>
      <c r="F995" t="s">
        <v>42</v>
      </c>
      <c r="G995" t="s">
        <v>175</v>
      </c>
      <c r="H995" t="s">
        <v>43</v>
      </c>
      <c r="I995" t="s">
        <v>39</v>
      </c>
      <c r="J995" t="s">
        <v>204</v>
      </c>
      <c r="K995" s="1">
        <v>0.44703658564814813</v>
      </c>
      <c r="L995">
        <f>YEAR(Coffe_sales[[#This Row],[Date]])</f>
        <v>2024</v>
      </c>
    </row>
    <row r="996" spans="1:12" x14ac:dyDescent="0.2">
      <c r="A996" t="s">
        <v>11</v>
      </c>
      <c r="B996" t="s">
        <v>12</v>
      </c>
      <c r="C996">
        <v>32.82</v>
      </c>
      <c r="D996" t="s">
        <v>21</v>
      </c>
      <c r="E996" t="s">
        <v>14</v>
      </c>
      <c r="F996" t="s">
        <v>42</v>
      </c>
      <c r="G996" t="s">
        <v>175</v>
      </c>
      <c r="H996" t="s">
        <v>43</v>
      </c>
      <c r="I996" t="s">
        <v>39</v>
      </c>
      <c r="J996" t="s">
        <v>204</v>
      </c>
      <c r="K996" s="1">
        <v>0.44786858796296297</v>
      </c>
      <c r="L996">
        <f>YEAR(Coffe_sales[[#This Row],[Date]])</f>
        <v>2024</v>
      </c>
    </row>
    <row r="997" spans="1:12" x14ac:dyDescent="0.2">
      <c r="A997" t="s">
        <v>30</v>
      </c>
      <c r="B997" t="s">
        <v>12</v>
      </c>
      <c r="C997">
        <v>32.82</v>
      </c>
      <c r="D997" t="s">
        <v>52</v>
      </c>
      <c r="E997" t="s">
        <v>29</v>
      </c>
      <c r="F997" t="s">
        <v>42</v>
      </c>
      <c r="G997" t="s">
        <v>175</v>
      </c>
      <c r="H997" t="s">
        <v>43</v>
      </c>
      <c r="I997" t="s">
        <v>39</v>
      </c>
      <c r="J997" t="s">
        <v>204</v>
      </c>
      <c r="K997" s="1">
        <v>0.7961936458333333</v>
      </c>
      <c r="L997">
        <f>YEAR(Coffe_sales[[#This Row],[Date]])</f>
        <v>2024</v>
      </c>
    </row>
    <row r="998" spans="1:12" x14ac:dyDescent="0.2">
      <c r="A998" t="s">
        <v>30</v>
      </c>
      <c r="B998" t="s">
        <v>12</v>
      </c>
      <c r="C998">
        <v>23.02</v>
      </c>
      <c r="D998" t="s">
        <v>24</v>
      </c>
      <c r="E998" t="s">
        <v>29</v>
      </c>
      <c r="F998" t="s">
        <v>42</v>
      </c>
      <c r="G998" t="s">
        <v>175</v>
      </c>
      <c r="H998" t="s">
        <v>43</v>
      </c>
      <c r="I998" t="s">
        <v>39</v>
      </c>
      <c r="J998" t="s">
        <v>204</v>
      </c>
      <c r="K998" s="1">
        <v>0.81268887731481476</v>
      </c>
      <c r="L998">
        <f>YEAR(Coffe_sales[[#This Row],[Date]])</f>
        <v>2024</v>
      </c>
    </row>
    <row r="999" spans="1:12" x14ac:dyDescent="0.2">
      <c r="A999" t="s">
        <v>131</v>
      </c>
      <c r="B999" t="s">
        <v>12</v>
      </c>
      <c r="C999">
        <v>32.82</v>
      </c>
      <c r="D999" t="s">
        <v>31</v>
      </c>
      <c r="E999" t="s">
        <v>29</v>
      </c>
      <c r="F999" t="s">
        <v>42</v>
      </c>
      <c r="G999" t="s">
        <v>175</v>
      </c>
      <c r="H999" t="s">
        <v>43</v>
      </c>
      <c r="I999" t="s">
        <v>39</v>
      </c>
      <c r="J999" t="s">
        <v>204</v>
      </c>
      <c r="K999" s="1">
        <v>0.9149817013888889</v>
      </c>
      <c r="L999">
        <f>YEAR(Coffe_sales[[#This Row],[Date]])</f>
        <v>2024</v>
      </c>
    </row>
    <row r="1000" spans="1:12" x14ac:dyDescent="0.2">
      <c r="A1000" t="s">
        <v>39</v>
      </c>
      <c r="B1000" t="s">
        <v>12</v>
      </c>
      <c r="C1000">
        <v>27.92</v>
      </c>
      <c r="D1000" t="s">
        <v>26</v>
      </c>
      <c r="E1000" t="s">
        <v>14</v>
      </c>
      <c r="F1000" t="s">
        <v>47</v>
      </c>
      <c r="G1000" t="s">
        <v>175</v>
      </c>
      <c r="H1000" t="s">
        <v>48</v>
      </c>
      <c r="I1000" t="s">
        <v>39</v>
      </c>
      <c r="J1000" t="s">
        <v>205</v>
      </c>
      <c r="K1000" s="1">
        <v>0.32026556712962961</v>
      </c>
      <c r="L1000">
        <f>YEAR(Coffe_sales[[#This Row],[Date]])</f>
        <v>2024</v>
      </c>
    </row>
    <row r="1001" spans="1:12" x14ac:dyDescent="0.2">
      <c r="A1001" t="s">
        <v>123</v>
      </c>
      <c r="B1001" t="s">
        <v>12</v>
      </c>
      <c r="C1001">
        <v>23.02</v>
      </c>
      <c r="D1001" t="s">
        <v>41</v>
      </c>
      <c r="E1001" t="s">
        <v>14</v>
      </c>
      <c r="F1001" t="s">
        <v>47</v>
      </c>
      <c r="G1001" t="s">
        <v>175</v>
      </c>
      <c r="H1001" t="s">
        <v>48</v>
      </c>
      <c r="I1001" t="s">
        <v>39</v>
      </c>
      <c r="J1001" t="s">
        <v>205</v>
      </c>
      <c r="K1001" s="1">
        <v>0.33688907407407409</v>
      </c>
      <c r="L1001">
        <f>YEAR(Coffe_sales[[#This Row],[Date]])</f>
        <v>2024</v>
      </c>
    </row>
    <row r="1002" spans="1:12" x14ac:dyDescent="0.2">
      <c r="A1002" t="s">
        <v>123</v>
      </c>
      <c r="B1002" t="s">
        <v>12</v>
      </c>
      <c r="C1002">
        <v>32.82</v>
      </c>
      <c r="D1002" t="s">
        <v>52</v>
      </c>
      <c r="E1002" t="s">
        <v>14</v>
      </c>
      <c r="F1002" t="s">
        <v>47</v>
      </c>
      <c r="G1002" t="s">
        <v>175</v>
      </c>
      <c r="H1002" t="s">
        <v>48</v>
      </c>
      <c r="I1002" t="s">
        <v>39</v>
      </c>
      <c r="J1002" t="s">
        <v>205</v>
      </c>
      <c r="K1002" s="1">
        <v>0.34781383101851854</v>
      </c>
      <c r="L1002">
        <f>YEAR(Coffe_sales[[#This Row],[Date]])</f>
        <v>2024</v>
      </c>
    </row>
    <row r="1003" spans="1:12" x14ac:dyDescent="0.2">
      <c r="A1003" t="s">
        <v>46</v>
      </c>
      <c r="B1003" t="s">
        <v>12</v>
      </c>
      <c r="C1003">
        <v>27.92</v>
      </c>
      <c r="D1003" t="s">
        <v>26</v>
      </c>
      <c r="E1003" t="s">
        <v>14</v>
      </c>
      <c r="F1003" t="s">
        <v>47</v>
      </c>
      <c r="G1003" t="s">
        <v>175</v>
      </c>
      <c r="H1003" t="s">
        <v>48</v>
      </c>
      <c r="I1003" t="s">
        <v>39</v>
      </c>
      <c r="J1003" t="s">
        <v>205</v>
      </c>
      <c r="K1003" s="1">
        <v>0.38452797453703702</v>
      </c>
      <c r="L1003">
        <f>YEAR(Coffe_sales[[#This Row],[Date]])</f>
        <v>2024</v>
      </c>
    </row>
    <row r="1004" spans="1:12" x14ac:dyDescent="0.2">
      <c r="A1004" t="s">
        <v>11</v>
      </c>
      <c r="B1004" t="s">
        <v>12</v>
      </c>
      <c r="C1004">
        <v>23.02</v>
      </c>
      <c r="D1004" t="s">
        <v>41</v>
      </c>
      <c r="E1004" t="s">
        <v>14</v>
      </c>
      <c r="F1004" t="s">
        <v>47</v>
      </c>
      <c r="G1004" t="s">
        <v>175</v>
      </c>
      <c r="H1004" t="s">
        <v>48</v>
      </c>
      <c r="I1004" t="s">
        <v>39</v>
      </c>
      <c r="J1004" t="s">
        <v>205</v>
      </c>
      <c r="K1004" s="1">
        <v>0.4286012384259259</v>
      </c>
      <c r="L1004">
        <f>YEAR(Coffe_sales[[#This Row],[Date]])</f>
        <v>2024</v>
      </c>
    </row>
    <row r="1005" spans="1:12" x14ac:dyDescent="0.2">
      <c r="A1005" t="s">
        <v>11</v>
      </c>
      <c r="B1005" t="s">
        <v>12</v>
      </c>
      <c r="C1005">
        <v>27.92</v>
      </c>
      <c r="D1005" t="s">
        <v>26</v>
      </c>
      <c r="E1005" t="s">
        <v>14</v>
      </c>
      <c r="F1005" t="s">
        <v>47</v>
      </c>
      <c r="G1005" t="s">
        <v>175</v>
      </c>
      <c r="H1005" t="s">
        <v>48</v>
      </c>
      <c r="I1005" t="s">
        <v>39</v>
      </c>
      <c r="J1005" t="s">
        <v>205</v>
      </c>
      <c r="K1005" s="1">
        <v>0.43025709490740743</v>
      </c>
      <c r="L1005">
        <f>YEAR(Coffe_sales[[#This Row],[Date]])</f>
        <v>2024</v>
      </c>
    </row>
    <row r="1006" spans="1:12" x14ac:dyDescent="0.2">
      <c r="A1006" t="s">
        <v>11</v>
      </c>
      <c r="B1006" t="s">
        <v>12</v>
      </c>
      <c r="C1006">
        <v>32.82</v>
      </c>
      <c r="D1006" t="s">
        <v>13</v>
      </c>
      <c r="E1006" t="s">
        <v>14</v>
      </c>
      <c r="F1006" t="s">
        <v>47</v>
      </c>
      <c r="G1006" t="s">
        <v>175</v>
      </c>
      <c r="H1006" t="s">
        <v>48</v>
      </c>
      <c r="I1006" t="s">
        <v>39</v>
      </c>
      <c r="J1006" t="s">
        <v>205</v>
      </c>
      <c r="K1006" s="1">
        <v>0.43287175925925925</v>
      </c>
      <c r="L1006">
        <f>YEAR(Coffe_sales[[#This Row],[Date]])</f>
        <v>2024</v>
      </c>
    </row>
    <row r="1007" spans="1:12" x14ac:dyDescent="0.2">
      <c r="A1007" t="s">
        <v>35</v>
      </c>
      <c r="B1007" t="s">
        <v>12</v>
      </c>
      <c r="C1007">
        <v>23.02</v>
      </c>
      <c r="D1007" t="s">
        <v>24</v>
      </c>
      <c r="E1007" t="s">
        <v>14</v>
      </c>
      <c r="F1007" t="s">
        <v>47</v>
      </c>
      <c r="G1007" t="s">
        <v>175</v>
      </c>
      <c r="H1007" t="s">
        <v>48</v>
      </c>
      <c r="I1007" t="s">
        <v>39</v>
      </c>
      <c r="J1007" t="s">
        <v>205</v>
      </c>
      <c r="K1007" s="1">
        <v>0.46675184027777777</v>
      </c>
      <c r="L1007">
        <f>YEAR(Coffe_sales[[#This Row],[Date]])</f>
        <v>2024</v>
      </c>
    </row>
    <row r="1008" spans="1:12" x14ac:dyDescent="0.2">
      <c r="A1008" t="s">
        <v>35</v>
      </c>
      <c r="B1008" t="s">
        <v>12</v>
      </c>
      <c r="C1008">
        <v>18.12</v>
      </c>
      <c r="D1008" t="s">
        <v>45</v>
      </c>
      <c r="E1008" t="s">
        <v>14</v>
      </c>
      <c r="F1008" t="s">
        <v>47</v>
      </c>
      <c r="G1008" t="s">
        <v>175</v>
      </c>
      <c r="H1008" t="s">
        <v>48</v>
      </c>
      <c r="I1008" t="s">
        <v>39</v>
      </c>
      <c r="J1008" t="s">
        <v>205</v>
      </c>
      <c r="K1008" s="1">
        <v>0.46754881944444443</v>
      </c>
      <c r="L1008">
        <f>YEAR(Coffe_sales[[#This Row],[Date]])</f>
        <v>2024</v>
      </c>
    </row>
    <row r="1009" spans="1:12" x14ac:dyDescent="0.2">
      <c r="A1009" t="s">
        <v>35</v>
      </c>
      <c r="B1009" t="s">
        <v>12</v>
      </c>
      <c r="C1009">
        <v>27.92</v>
      </c>
      <c r="D1009" t="s">
        <v>26</v>
      </c>
      <c r="E1009" t="s">
        <v>14</v>
      </c>
      <c r="F1009" t="s">
        <v>47</v>
      </c>
      <c r="G1009" t="s">
        <v>175</v>
      </c>
      <c r="H1009" t="s">
        <v>48</v>
      </c>
      <c r="I1009" t="s">
        <v>39</v>
      </c>
      <c r="J1009" t="s">
        <v>205</v>
      </c>
      <c r="K1009" s="1">
        <v>0.46853793981481484</v>
      </c>
      <c r="L1009">
        <f>YEAR(Coffe_sales[[#This Row],[Date]])</f>
        <v>2024</v>
      </c>
    </row>
    <row r="1010" spans="1:12" x14ac:dyDescent="0.2">
      <c r="A1010" t="s">
        <v>35</v>
      </c>
      <c r="B1010" t="s">
        <v>12</v>
      </c>
      <c r="C1010">
        <v>27.92</v>
      </c>
      <c r="D1010" t="s">
        <v>26</v>
      </c>
      <c r="E1010" t="s">
        <v>14</v>
      </c>
      <c r="F1010" t="s">
        <v>47</v>
      </c>
      <c r="G1010" t="s">
        <v>175</v>
      </c>
      <c r="H1010" t="s">
        <v>48</v>
      </c>
      <c r="I1010" t="s">
        <v>39</v>
      </c>
      <c r="J1010" t="s">
        <v>205</v>
      </c>
      <c r="K1010" s="1">
        <v>0.46946331018518517</v>
      </c>
      <c r="L1010">
        <f>YEAR(Coffe_sales[[#This Row],[Date]])</f>
        <v>2024</v>
      </c>
    </row>
    <row r="1011" spans="1:12" x14ac:dyDescent="0.2">
      <c r="A1011" t="s">
        <v>35</v>
      </c>
      <c r="B1011" t="s">
        <v>12</v>
      </c>
      <c r="C1011">
        <v>27.92</v>
      </c>
      <c r="D1011" t="s">
        <v>26</v>
      </c>
      <c r="E1011" t="s">
        <v>14</v>
      </c>
      <c r="F1011" t="s">
        <v>47</v>
      </c>
      <c r="G1011" t="s">
        <v>175</v>
      </c>
      <c r="H1011" t="s">
        <v>48</v>
      </c>
      <c r="I1011" t="s">
        <v>39</v>
      </c>
      <c r="J1011" t="s">
        <v>205</v>
      </c>
      <c r="K1011" s="1">
        <v>0.47956871527777778</v>
      </c>
      <c r="L1011">
        <f>YEAR(Coffe_sales[[#This Row],[Date]])</f>
        <v>2024</v>
      </c>
    </row>
    <row r="1012" spans="1:12" x14ac:dyDescent="0.2">
      <c r="A1012" t="s">
        <v>35</v>
      </c>
      <c r="B1012" t="s">
        <v>12</v>
      </c>
      <c r="C1012">
        <v>27.92</v>
      </c>
      <c r="D1012" t="s">
        <v>26</v>
      </c>
      <c r="E1012" t="s">
        <v>14</v>
      </c>
      <c r="F1012" t="s">
        <v>47</v>
      </c>
      <c r="G1012" t="s">
        <v>175</v>
      </c>
      <c r="H1012" t="s">
        <v>48</v>
      </c>
      <c r="I1012" t="s">
        <v>39</v>
      </c>
      <c r="J1012" t="s">
        <v>205</v>
      </c>
      <c r="K1012" s="1">
        <v>0.48033343750000002</v>
      </c>
      <c r="L1012">
        <f>YEAR(Coffe_sales[[#This Row],[Date]])</f>
        <v>2024</v>
      </c>
    </row>
    <row r="1013" spans="1:12" x14ac:dyDescent="0.2">
      <c r="A1013" t="s">
        <v>20</v>
      </c>
      <c r="B1013" t="s">
        <v>12</v>
      </c>
      <c r="C1013">
        <v>32.82</v>
      </c>
      <c r="D1013" t="s">
        <v>13</v>
      </c>
      <c r="E1013" t="s">
        <v>22</v>
      </c>
      <c r="F1013" t="s">
        <v>47</v>
      </c>
      <c r="G1013" t="s">
        <v>175</v>
      </c>
      <c r="H1013" t="s">
        <v>48</v>
      </c>
      <c r="I1013" t="s">
        <v>39</v>
      </c>
      <c r="J1013" t="s">
        <v>205</v>
      </c>
      <c r="K1013" s="1">
        <v>0.50564245370370375</v>
      </c>
      <c r="L1013">
        <f>YEAR(Coffe_sales[[#This Row],[Date]])</f>
        <v>2024</v>
      </c>
    </row>
    <row r="1014" spans="1:12" x14ac:dyDescent="0.2">
      <c r="A1014" t="s">
        <v>25</v>
      </c>
      <c r="B1014" t="s">
        <v>12</v>
      </c>
      <c r="C1014">
        <v>27.92</v>
      </c>
      <c r="D1014" t="s">
        <v>26</v>
      </c>
      <c r="E1014" t="s">
        <v>22</v>
      </c>
      <c r="F1014" t="s">
        <v>47</v>
      </c>
      <c r="G1014" t="s">
        <v>175</v>
      </c>
      <c r="H1014" t="s">
        <v>48</v>
      </c>
      <c r="I1014" t="s">
        <v>39</v>
      </c>
      <c r="J1014" t="s">
        <v>205</v>
      </c>
      <c r="K1014" s="1">
        <v>0.63622254629629627</v>
      </c>
      <c r="L1014">
        <f>YEAR(Coffe_sales[[#This Row],[Date]])</f>
        <v>2024</v>
      </c>
    </row>
    <row r="1015" spans="1:12" x14ac:dyDescent="0.2">
      <c r="A1015" t="s">
        <v>27</v>
      </c>
      <c r="B1015" t="s">
        <v>12</v>
      </c>
      <c r="C1015">
        <v>23.02</v>
      </c>
      <c r="D1015" t="s">
        <v>41</v>
      </c>
      <c r="E1015" t="s">
        <v>22</v>
      </c>
      <c r="F1015" t="s">
        <v>47</v>
      </c>
      <c r="G1015" t="s">
        <v>175</v>
      </c>
      <c r="H1015" t="s">
        <v>48</v>
      </c>
      <c r="I1015" t="s">
        <v>39</v>
      </c>
      <c r="J1015" t="s">
        <v>205</v>
      </c>
      <c r="K1015" s="1">
        <v>0.67283421296296297</v>
      </c>
      <c r="L1015">
        <f>YEAR(Coffe_sales[[#This Row],[Date]])</f>
        <v>2024</v>
      </c>
    </row>
    <row r="1016" spans="1:12" x14ac:dyDescent="0.2">
      <c r="A1016" t="s">
        <v>27</v>
      </c>
      <c r="B1016" t="s">
        <v>12</v>
      </c>
      <c r="C1016">
        <v>27.92</v>
      </c>
      <c r="D1016" t="s">
        <v>26</v>
      </c>
      <c r="E1016" t="s">
        <v>22</v>
      </c>
      <c r="F1016" t="s">
        <v>47</v>
      </c>
      <c r="G1016" t="s">
        <v>175</v>
      </c>
      <c r="H1016" t="s">
        <v>48</v>
      </c>
      <c r="I1016" t="s">
        <v>39</v>
      </c>
      <c r="J1016" t="s">
        <v>205</v>
      </c>
      <c r="K1016" s="1">
        <v>0.67342160879629631</v>
      </c>
      <c r="L1016">
        <f>YEAR(Coffe_sales[[#This Row],[Date]])</f>
        <v>2024</v>
      </c>
    </row>
    <row r="1017" spans="1:12" x14ac:dyDescent="0.2">
      <c r="A1017" t="s">
        <v>91</v>
      </c>
      <c r="B1017" t="s">
        <v>12</v>
      </c>
      <c r="C1017">
        <v>18.12</v>
      </c>
      <c r="D1017" t="s">
        <v>45</v>
      </c>
      <c r="E1017" t="s">
        <v>29</v>
      </c>
      <c r="F1017" t="s">
        <v>47</v>
      </c>
      <c r="G1017" t="s">
        <v>175</v>
      </c>
      <c r="H1017" t="s">
        <v>48</v>
      </c>
      <c r="I1017" t="s">
        <v>39</v>
      </c>
      <c r="J1017" t="s">
        <v>205</v>
      </c>
      <c r="K1017" s="1">
        <v>0.85023002314814811</v>
      </c>
      <c r="L1017">
        <f>YEAR(Coffe_sales[[#This Row],[Date]])</f>
        <v>2024</v>
      </c>
    </row>
    <row r="1018" spans="1:12" x14ac:dyDescent="0.2">
      <c r="A1018" t="s">
        <v>91</v>
      </c>
      <c r="B1018" t="s">
        <v>12</v>
      </c>
      <c r="C1018">
        <v>27.92</v>
      </c>
      <c r="D1018" t="s">
        <v>26</v>
      </c>
      <c r="E1018" t="s">
        <v>29</v>
      </c>
      <c r="F1018" t="s">
        <v>47</v>
      </c>
      <c r="G1018" t="s">
        <v>175</v>
      </c>
      <c r="H1018" t="s">
        <v>48</v>
      </c>
      <c r="I1018" t="s">
        <v>39</v>
      </c>
      <c r="J1018" t="s">
        <v>205</v>
      </c>
      <c r="K1018" s="1">
        <v>0.8707391898148148</v>
      </c>
      <c r="L1018">
        <f>YEAR(Coffe_sales[[#This Row],[Date]])</f>
        <v>2024</v>
      </c>
    </row>
    <row r="1019" spans="1:12" x14ac:dyDescent="0.2">
      <c r="A1019" t="s">
        <v>91</v>
      </c>
      <c r="B1019" t="s">
        <v>12</v>
      </c>
      <c r="C1019">
        <v>27.92</v>
      </c>
      <c r="D1019" t="s">
        <v>26</v>
      </c>
      <c r="E1019" t="s">
        <v>29</v>
      </c>
      <c r="F1019" t="s">
        <v>47</v>
      </c>
      <c r="G1019" t="s">
        <v>175</v>
      </c>
      <c r="H1019" t="s">
        <v>48</v>
      </c>
      <c r="I1019" t="s">
        <v>39</v>
      </c>
      <c r="J1019" t="s">
        <v>205</v>
      </c>
      <c r="K1019" s="1">
        <v>0.87136939814814818</v>
      </c>
      <c r="L1019">
        <f>YEAR(Coffe_sales[[#This Row],[Date]])</f>
        <v>2024</v>
      </c>
    </row>
    <row r="1020" spans="1:12" x14ac:dyDescent="0.2">
      <c r="A1020" t="s">
        <v>91</v>
      </c>
      <c r="B1020" t="s">
        <v>12</v>
      </c>
      <c r="C1020">
        <v>27.92</v>
      </c>
      <c r="D1020" t="s">
        <v>26</v>
      </c>
      <c r="E1020" t="s">
        <v>29</v>
      </c>
      <c r="F1020" t="s">
        <v>47</v>
      </c>
      <c r="G1020" t="s">
        <v>175</v>
      </c>
      <c r="H1020" t="s">
        <v>48</v>
      </c>
      <c r="I1020" t="s">
        <v>39</v>
      </c>
      <c r="J1020" t="s">
        <v>205</v>
      </c>
      <c r="K1020" s="1">
        <v>0.87294356481481483</v>
      </c>
      <c r="L1020">
        <f>YEAR(Coffe_sales[[#This Row],[Date]])</f>
        <v>2024</v>
      </c>
    </row>
    <row r="1021" spans="1:12" x14ac:dyDescent="0.2">
      <c r="A1021" t="s">
        <v>131</v>
      </c>
      <c r="B1021" t="s">
        <v>12</v>
      </c>
      <c r="C1021">
        <v>32.82</v>
      </c>
      <c r="D1021" t="s">
        <v>13</v>
      </c>
      <c r="E1021" t="s">
        <v>29</v>
      </c>
      <c r="F1021" t="s">
        <v>47</v>
      </c>
      <c r="G1021" t="s">
        <v>175</v>
      </c>
      <c r="H1021" t="s">
        <v>48</v>
      </c>
      <c r="I1021" t="s">
        <v>39</v>
      </c>
      <c r="J1021" t="s">
        <v>205</v>
      </c>
      <c r="K1021" s="1">
        <v>0.89813886574074075</v>
      </c>
      <c r="L1021">
        <f>YEAR(Coffe_sales[[#This Row],[Date]])</f>
        <v>2024</v>
      </c>
    </row>
    <row r="1022" spans="1:12" x14ac:dyDescent="0.2">
      <c r="A1022" t="s">
        <v>125</v>
      </c>
      <c r="B1022" t="s">
        <v>12</v>
      </c>
      <c r="C1022">
        <v>23.02</v>
      </c>
      <c r="D1022" t="s">
        <v>24</v>
      </c>
      <c r="E1022" t="s">
        <v>29</v>
      </c>
      <c r="F1022" t="s">
        <v>47</v>
      </c>
      <c r="G1022" t="s">
        <v>175</v>
      </c>
      <c r="H1022" t="s">
        <v>48</v>
      </c>
      <c r="I1022" t="s">
        <v>39</v>
      </c>
      <c r="J1022" t="s">
        <v>205</v>
      </c>
      <c r="K1022" s="1">
        <v>0.92733199074074069</v>
      </c>
      <c r="L1022">
        <f>YEAR(Coffe_sales[[#This Row],[Date]])</f>
        <v>2024</v>
      </c>
    </row>
    <row r="1023" spans="1:12" x14ac:dyDescent="0.2">
      <c r="A1023" t="s">
        <v>125</v>
      </c>
      <c r="B1023" t="s">
        <v>12</v>
      </c>
      <c r="C1023">
        <v>32.82</v>
      </c>
      <c r="D1023" t="s">
        <v>52</v>
      </c>
      <c r="E1023" t="s">
        <v>29</v>
      </c>
      <c r="F1023" t="s">
        <v>47</v>
      </c>
      <c r="G1023" t="s">
        <v>175</v>
      </c>
      <c r="H1023" t="s">
        <v>48</v>
      </c>
      <c r="I1023" t="s">
        <v>39</v>
      </c>
      <c r="J1023" t="s">
        <v>205</v>
      </c>
      <c r="K1023" s="1">
        <v>0.92800069444444444</v>
      </c>
      <c r="L1023">
        <f>YEAR(Coffe_sales[[#This Row],[Date]])</f>
        <v>2024</v>
      </c>
    </row>
    <row r="1024" spans="1:12" x14ac:dyDescent="0.2">
      <c r="A1024" t="s">
        <v>39</v>
      </c>
      <c r="B1024" t="s">
        <v>12</v>
      </c>
      <c r="C1024">
        <v>27.92</v>
      </c>
      <c r="D1024" t="s">
        <v>26</v>
      </c>
      <c r="E1024" t="s">
        <v>14</v>
      </c>
      <c r="F1024" t="s">
        <v>50</v>
      </c>
      <c r="G1024" t="s">
        <v>175</v>
      </c>
      <c r="H1024" t="s">
        <v>18</v>
      </c>
      <c r="I1024" t="s">
        <v>39</v>
      </c>
      <c r="J1024" t="s">
        <v>206</v>
      </c>
      <c r="K1024" s="1">
        <v>0.33324187500000002</v>
      </c>
      <c r="L1024">
        <f>YEAR(Coffe_sales[[#This Row],[Date]])</f>
        <v>2024</v>
      </c>
    </row>
    <row r="1025" spans="1:12" x14ac:dyDescent="0.2">
      <c r="A1025" t="s">
        <v>123</v>
      </c>
      <c r="B1025" t="s">
        <v>12</v>
      </c>
      <c r="C1025">
        <v>27.92</v>
      </c>
      <c r="D1025" t="s">
        <v>26</v>
      </c>
      <c r="E1025" t="s">
        <v>14</v>
      </c>
      <c r="F1025" t="s">
        <v>50</v>
      </c>
      <c r="G1025" t="s">
        <v>175</v>
      </c>
      <c r="H1025" t="s">
        <v>18</v>
      </c>
      <c r="I1025" t="s">
        <v>39</v>
      </c>
      <c r="J1025" t="s">
        <v>206</v>
      </c>
      <c r="K1025" s="1">
        <v>0.35951322916666667</v>
      </c>
      <c r="L1025">
        <f>YEAR(Coffe_sales[[#This Row],[Date]])</f>
        <v>2024</v>
      </c>
    </row>
    <row r="1026" spans="1:12" x14ac:dyDescent="0.2">
      <c r="A1026" t="s">
        <v>123</v>
      </c>
      <c r="B1026" t="s">
        <v>12</v>
      </c>
      <c r="C1026">
        <v>27.92</v>
      </c>
      <c r="D1026" t="s">
        <v>26</v>
      </c>
      <c r="E1026" t="s">
        <v>14</v>
      </c>
      <c r="F1026" t="s">
        <v>50</v>
      </c>
      <c r="G1026" t="s">
        <v>175</v>
      </c>
      <c r="H1026" t="s">
        <v>18</v>
      </c>
      <c r="I1026" t="s">
        <v>39</v>
      </c>
      <c r="J1026" t="s">
        <v>206</v>
      </c>
      <c r="K1026" s="1">
        <v>0.36016476851851853</v>
      </c>
      <c r="L1026">
        <f>YEAR(Coffe_sales[[#This Row],[Date]])</f>
        <v>2024</v>
      </c>
    </row>
    <row r="1027" spans="1:12" x14ac:dyDescent="0.2">
      <c r="A1027" t="s">
        <v>46</v>
      </c>
      <c r="B1027" t="s">
        <v>12</v>
      </c>
      <c r="C1027">
        <v>23.02</v>
      </c>
      <c r="D1027" t="s">
        <v>24</v>
      </c>
      <c r="E1027" t="s">
        <v>14</v>
      </c>
      <c r="F1027" t="s">
        <v>50</v>
      </c>
      <c r="G1027" t="s">
        <v>175</v>
      </c>
      <c r="H1027" t="s">
        <v>18</v>
      </c>
      <c r="I1027" t="s">
        <v>39</v>
      </c>
      <c r="J1027" t="s">
        <v>206</v>
      </c>
      <c r="K1027" s="1">
        <v>0.41302447916666668</v>
      </c>
      <c r="L1027">
        <f>YEAR(Coffe_sales[[#This Row],[Date]])</f>
        <v>2024</v>
      </c>
    </row>
    <row r="1028" spans="1:12" x14ac:dyDescent="0.2">
      <c r="A1028" t="s">
        <v>46</v>
      </c>
      <c r="B1028" t="s">
        <v>12</v>
      </c>
      <c r="C1028">
        <v>23.02</v>
      </c>
      <c r="D1028" t="s">
        <v>24</v>
      </c>
      <c r="E1028" t="s">
        <v>14</v>
      </c>
      <c r="F1028" t="s">
        <v>50</v>
      </c>
      <c r="G1028" t="s">
        <v>175</v>
      </c>
      <c r="H1028" t="s">
        <v>18</v>
      </c>
      <c r="I1028" t="s">
        <v>39</v>
      </c>
      <c r="J1028" t="s">
        <v>206</v>
      </c>
      <c r="K1028" s="1">
        <v>0.41371692129629628</v>
      </c>
      <c r="L1028">
        <f>YEAR(Coffe_sales[[#This Row],[Date]])</f>
        <v>2024</v>
      </c>
    </row>
    <row r="1029" spans="1:12" x14ac:dyDescent="0.2">
      <c r="A1029" t="s">
        <v>46</v>
      </c>
      <c r="B1029" t="s">
        <v>12</v>
      </c>
      <c r="C1029">
        <v>27.92</v>
      </c>
      <c r="D1029" t="s">
        <v>26</v>
      </c>
      <c r="E1029" t="s">
        <v>14</v>
      </c>
      <c r="F1029" t="s">
        <v>50</v>
      </c>
      <c r="G1029" t="s">
        <v>175</v>
      </c>
      <c r="H1029" t="s">
        <v>18</v>
      </c>
      <c r="I1029" t="s">
        <v>39</v>
      </c>
      <c r="J1029" t="s">
        <v>206</v>
      </c>
      <c r="K1029" s="1">
        <v>0.41546137731481481</v>
      </c>
      <c r="L1029">
        <f>YEAR(Coffe_sales[[#This Row],[Date]])</f>
        <v>2024</v>
      </c>
    </row>
    <row r="1030" spans="1:12" x14ac:dyDescent="0.2">
      <c r="A1030" t="s">
        <v>23</v>
      </c>
      <c r="B1030" t="s">
        <v>12</v>
      </c>
      <c r="C1030">
        <v>32.82</v>
      </c>
      <c r="D1030" t="s">
        <v>31</v>
      </c>
      <c r="E1030" t="s">
        <v>22</v>
      </c>
      <c r="F1030" t="s">
        <v>50</v>
      </c>
      <c r="G1030" t="s">
        <v>175</v>
      </c>
      <c r="H1030" t="s">
        <v>18</v>
      </c>
      <c r="I1030" t="s">
        <v>39</v>
      </c>
      <c r="J1030" t="s">
        <v>206</v>
      </c>
      <c r="K1030" s="1">
        <v>0.54979871527777779</v>
      </c>
      <c r="L1030">
        <f>YEAR(Coffe_sales[[#This Row],[Date]])</f>
        <v>2024</v>
      </c>
    </row>
    <row r="1031" spans="1:12" x14ac:dyDescent="0.2">
      <c r="A1031" t="s">
        <v>23</v>
      </c>
      <c r="B1031" t="s">
        <v>12</v>
      </c>
      <c r="C1031">
        <v>32.82</v>
      </c>
      <c r="D1031" t="s">
        <v>13</v>
      </c>
      <c r="E1031" t="s">
        <v>22</v>
      </c>
      <c r="F1031" t="s">
        <v>50</v>
      </c>
      <c r="G1031" t="s">
        <v>175</v>
      </c>
      <c r="H1031" t="s">
        <v>18</v>
      </c>
      <c r="I1031" t="s">
        <v>39</v>
      </c>
      <c r="J1031" t="s">
        <v>206</v>
      </c>
      <c r="K1031" s="1">
        <v>0.55139219907407411</v>
      </c>
      <c r="L1031">
        <f>YEAR(Coffe_sales[[#This Row],[Date]])</f>
        <v>2024</v>
      </c>
    </row>
    <row r="1032" spans="1:12" x14ac:dyDescent="0.2">
      <c r="A1032" t="s">
        <v>23</v>
      </c>
      <c r="B1032" t="s">
        <v>12</v>
      </c>
      <c r="C1032">
        <v>27.92</v>
      </c>
      <c r="D1032" t="s">
        <v>26</v>
      </c>
      <c r="E1032" t="s">
        <v>22</v>
      </c>
      <c r="F1032" t="s">
        <v>50</v>
      </c>
      <c r="G1032" t="s">
        <v>175</v>
      </c>
      <c r="H1032" t="s">
        <v>18</v>
      </c>
      <c r="I1032" t="s">
        <v>39</v>
      </c>
      <c r="J1032" t="s">
        <v>206</v>
      </c>
      <c r="K1032" s="1">
        <v>0.55890552083333334</v>
      </c>
      <c r="L1032">
        <f>YEAR(Coffe_sales[[#This Row],[Date]])</f>
        <v>2024</v>
      </c>
    </row>
    <row r="1033" spans="1:12" x14ac:dyDescent="0.2">
      <c r="A1033" t="s">
        <v>37</v>
      </c>
      <c r="B1033" t="s">
        <v>12</v>
      </c>
      <c r="C1033">
        <v>23.02</v>
      </c>
      <c r="D1033" t="s">
        <v>41</v>
      </c>
      <c r="E1033" t="s">
        <v>29</v>
      </c>
      <c r="F1033" t="s">
        <v>50</v>
      </c>
      <c r="G1033" t="s">
        <v>175</v>
      </c>
      <c r="H1033" t="s">
        <v>18</v>
      </c>
      <c r="I1033" t="s">
        <v>39</v>
      </c>
      <c r="J1033" t="s">
        <v>206</v>
      </c>
      <c r="K1033" s="1">
        <v>0.74174521990740738</v>
      </c>
      <c r="L1033">
        <f>YEAR(Coffe_sales[[#This Row],[Date]])</f>
        <v>2024</v>
      </c>
    </row>
    <row r="1034" spans="1:12" x14ac:dyDescent="0.2">
      <c r="A1034" t="s">
        <v>28</v>
      </c>
      <c r="B1034" t="s">
        <v>12</v>
      </c>
      <c r="C1034">
        <v>32.82</v>
      </c>
      <c r="D1034" t="s">
        <v>13</v>
      </c>
      <c r="E1034" t="s">
        <v>29</v>
      </c>
      <c r="F1034" t="s">
        <v>50</v>
      </c>
      <c r="G1034" t="s">
        <v>175</v>
      </c>
      <c r="H1034" t="s">
        <v>18</v>
      </c>
      <c r="I1034" t="s">
        <v>39</v>
      </c>
      <c r="J1034" t="s">
        <v>206</v>
      </c>
      <c r="K1034" s="1">
        <v>0.75295106481481477</v>
      </c>
      <c r="L1034">
        <f>YEAR(Coffe_sales[[#This Row],[Date]])</f>
        <v>2024</v>
      </c>
    </row>
    <row r="1035" spans="1:12" x14ac:dyDescent="0.2">
      <c r="A1035" t="s">
        <v>30</v>
      </c>
      <c r="B1035" t="s">
        <v>12</v>
      </c>
      <c r="C1035">
        <v>23.02</v>
      </c>
      <c r="D1035" t="s">
        <v>41</v>
      </c>
      <c r="E1035" t="s">
        <v>29</v>
      </c>
      <c r="F1035" t="s">
        <v>50</v>
      </c>
      <c r="G1035" t="s">
        <v>175</v>
      </c>
      <c r="H1035" t="s">
        <v>18</v>
      </c>
      <c r="I1035" t="s">
        <v>39</v>
      </c>
      <c r="J1035" t="s">
        <v>206</v>
      </c>
      <c r="K1035" s="1">
        <v>0.80739447916666662</v>
      </c>
      <c r="L1035">
        <f>YEAR(Coffe_sales[[#This Row],[Date]])</f>
        <v>2024</v>
      </c>
    </row>
    <row r="1036" spans="1:12" x14ac:dyDescent="0.2">
      <c r="A1036" t="s">
        <v>30</v>
      </c>
      <c r="B1036" t="s">
        <v>12</v>
      </c>
      <c r="C1036">
        <v>32.82</v>
      </c>
      <c r="D1036" t="s">
        <v>13</v>
      </c>
      <c r="E1036" t="s">
        <v>29</v>
      </c>
      <c r="F1036" t="s">
        <v>50</v>
      </c>
      <c r="G1036" t="s">
        <v>175</v>
      </c>
      <c r="H1036" t="s">
        <v>18</v>
      </c>
      <c r="I1036" t="s">
        <v>39</v>
      </c>
      <c r="J1036" t="s">
        <v>206</v>
      </c>
      <c r="K1036" s="1">
        <v>0.81163357638888889</v>
      </c>
      <c r="L1036">
        <f>YEAR(Coffe_sales[[#This Row],[Date]])</f>
        <v>2024</v>
      </c>
    </row>
    <row r="1037" spans="1:12" x14ac:dyDescent="0.2">
      <c r="A1037" t="s">
        <v>91</v>
      </c>
      <c r="B1037" t="s">
        <v>12</v>
      </c>
      <c r="C1037">
        <v>32.82</v>
      </c>
      <c r="D1037" t="s">
        <v>31</v>
      </c>
      <c r="E1037" t="s">
        <v>29</v>
      </c>
      <c r="F1037" t="s">
        <v>50</v>
      </c>
      <c r="G1037" t="s">
        <v>175</v>
      </c>
      <c r="H1037" t="s">
        <v>18</v>
      </c>
      <c r="I1037" t="s">
        <v>39</v>
      </c>
      <c r="J1037" t="s">
        <v>206</v>
      </c>
      <c r="K1037" s="1">
        <v>0.8657687268518518</v>
      </c>
      <c r="L1037">
        <f>YEAR(Coffe_sales[[#This Row],[Date]])</f>
        <v>2024</v>
      </c>
    </row>
    <row r="1038" spans="1:12" x14ac:dyDescent="0.2">
      <c r="A1038" t="s">
        <v>91</v>
      </c>
      <c r="B1038" t="s">
        <v>12</v>
      </c>
      <c r="C1038">
        <v>23.02</v>
      </c>
      <c r="D1038" t="s">
        <v>41</v>
      </c>
      <c r="E1038" t="s">
        <v>29</v>
      </c>
      <c r="F1038" t="s">
        <v>50</v>
      </c>
      <c r="G1038" t="s">
        <v>175</v>
      </c>
      <c r="H1038" t="s">
        <v>18</v>
      </c>
      <c r="I1038" t="s">
        <v>39</v>
      </c>
      <c r="J1038" t="s">
        <v>206</v>
      </c>
      <c r="K1038" s="1">
        <v>0.86814133101851854</v>
      </c>
      <c r="L1038">
        <f>YEAR(Coffe_sales[[#This Row],[Date]])</f>
        <v>2024</v>
      </c>
    </row>
    <row r="1039" spans="1:12" x14ac:dyDescent="0.2">
      <c r="A1039" t="s">
        <v>91</v>
      </c>
      <c r="B1039" t="s">
        <v>12</v>
      </c>
      <c r="C1039">
        <v>32.82</v>
      </c>
      <c r="D1039" t="s">
        <v>13</v>
      </c>
      <c r="E1039" t="s">
        <v>29</v>
      </c>
      <c r="F1039" t="s">
        <v>50</v>
      </c>
      <c r="G1039" t="s">
        <v>175</v>
      </c>
      <c r="H1039" t="s">
        <v>18</v>
      </c>
      <c r="I1039" t="s">
        <v>39</v>
      </c>
      <c r="J1039" t="s">
        <v>206</v>
      </c>
      <c r="K1039" s="1">
        <v>0.86887017361111107</v>
      </c>
      <c r="L1039">
        <f>YEAR(Coffe_sales[[#This Row],[Date]])</f>
        <v>2024</v>
      </c>
    </row>
    <row r="1040" spans="1:12" x14ac:dyDescent="0.2">
      <c r="A1040" t="s">
        <v>91</v>
      </c>
      <c r="B1040" t="s">
        <v>12</v>
      </c>
      <c r="C1040">
        <v>32.82</v>
      </c>
      <c r="D1040" t="s">
        <v>52</v>
      </c>
      <c r="E1040" t="s">
        <v>29</v>
      </c>
      <c r="F1040" t="s">
        <v>50</v>
      </c>
      <c r="G1040" t="s">
        <v>175</v>
      </c>
      <c r="H1040" t="s">
        <v>18</v>
      </c>
      <c r="I1040" t="s">
        <v>39</v>
      </c>
      <c r="J1040" t="s">
        <v>206</v>
      </c>
      <c r="K1040" s="1">
        <v>0.86961576388888884</v>
      </c>
      <c r="L1040">
        <f>YEAR(Coffe_sales[[#This Row],[Date]])</f>
        <v>2024</v>
      </c>
    </row>
    <row r="1041" spans="1:12" x14ac:dyDescent="0.2">
      <c r="A1041" t="s">
        <v>91</v>
      </c>
      <c r="B1041" t="s">
        <v>12</v>
      </c>
      <c r="C1041">
        <v>23.02</v>
      </c>
      <c r="D1041" t="s">
        <v>41</v>
      </c>
      <c r="E1041" t="s">
        <v>29</v>
      </c>
      <c r="F1041" t="s">
        <v>50</v>
      </c>
      <c r="G1041" t="s">
        <v>175</v>
      </c>
      <c r="H1041" t="s">
        <v>18</v>
      </c>
      <c r="I1041" t="s">
        <v>39</v>
      </c>
      <c r="J1041" t="s">
        <v>206</v>
      </c>
      <c r="K1041" s="1">
        <v>0.87054487268518521</v>
      </c>
      <c r="L1041">
        <f>YEAR(Coffe_sales[[#This Row],[Date]])</f>
        <v>2024</v>
      </c>
    </row>
    <row r="1042" spans="1:12" x14ac:dyDescent="0.2">
      <c r="A1042" t="s">
        <v>91</v>
      </c>
      <c r="B1042" t="s">
        <v>12</v>
      </c>
      <c r="C1042">
        <v>27.92</v>
      </c>
      <c r="D1042" t="s">
        <v>26</v>
      </c>
      <c r="E1042" t="s">
        <v>29</v>
      </c>
      <c r="F1042" t="s">
        <v>50</v>
      </c>
      <c r="G1042" t="s">
        <v>175</v>
      </c>
      <c r="H1042" t="s">
        <v>18</v>
      </c>
      <c r="I1042" t="s">
        <v>39</v>
      </c>
      <c r="J1042" t="s">
        <v>206</v>
      </c>
      <c r="K1042" s="1">
        <v>0.8745950578703704</v>
      </c>
      <c r="L1042">
        <f>YEAR(Coffe_sales[[#This Row],[Date]])</f>
        <v>2024</v>
      </c>
    </row>
    <row r="1043" spans="1:12" x14ac:dyDescent="0.2">
      <c r="A1043" t="s">
        <v>131</v>
      </c>
      <c r="B1043" t="s">
        <v>12</v>
      </c>
      <c r="C1043">
        <v>32.82</v>
      </c>
      <c r="D1043" t="s">
        <v>13</v>
      </c>
      <c r="E1043" t="s">
        <v>29</v>
      </c>
      <c r="F1043" t="s">
        <v>50</v>
      </c>
      <c r="G1043" t="s">
        <v>175</v>
      </c>
      <c r="H1043" t="s">
        <v>18</v>
      </c>
      <c r="I1043" t="s">
        <v>39</v>
      </c>
      <c r="J1043" t="s">
        <v>206</v>
      </c>
      <c r="K1043" s="1">
        <v>0.8933564814814815</v>
      </c>
      <c r="L1043">
        <f>YEAR(Coffe_sales[[#This Row],[Date]])</f>
        <v>2024</v>
      </c>
    </row>
    <row r="1044" spans="1:12" x14ac:dyDescent="0.2">
      <c r="A1044" t="s">
        <v>131</v>
      </c>
      <c r="B1044" t="s">
        <v>12</v>
      </c>
      <c r="C1044">
        <v>32.82</v>
      </c>
      <c r="D1044" t="s">
        <v>13</v>
      </c>
      <c r="E1044" t="s">
        <v>29</v>
      </c>
      <c r="F1044" t="s">
        <v>50</v>
      </c>
      <c r="G1044" t="s">
        <v>175</v>
      </c>
      <c r="H1044" t="s">
        <v>18</v>
      </c>
      <c r="I1044" t="s">
        <v>39</v>
      </c>
      <c r="J1044" t="s">
        <v>206</v>
      </c>
      <c r="K1044" s="1">
        <v>0.91263685185185184</v>
      </c>
      <c r="L1044">
        <f>YEAR(Coffe_sales[[#This Row],[Date]])</f>
        <v>2024</v>
      </c>
    </row>
    <row r="1045" spans="1:12" x14ac:dyDescent="0.2">
      <c r="A1045" t="s">
        <v>131</v>
      </c>
      <c r="B1045" t="s">
        <v>12</v>
      </c>
      <c r="C1045">
        <v>32.82</v>
      </c>
      <c r="D1045" t="s">
        <v>13</v>
      </c>
      <c r="E1045" t="s">
        <v>29</v>
      </c>
      <c r="F1045" t="s">
        <v>50</v>
      </c>
      <c r="G1045" t="s">
        <v>175</v>
      </c>
      <c r="H1045" t="s">
        <v>18</v>
      </c>
      <c r="I1045" t="s">
        <v>39</v>
      </c>
      <c r="J1045" t="s">
        <v>206</v>
      </c>
      <c r="K1045" s="1">
        <v>0.91338622685185189</v>
      </c>
      <c r="L1045">
        <f>YEAR(Coffe_sales[[#This Row],[Date]])</f>
        <v>2024</v>
      </c>
    </row>
    <row r="1046" spans="1:12" x14ac:dyDescent="0.2">
      <c r="A1046" t="s">
        <v>39</v>
      </c>
      <c r="B1046" t="s">
        <v>12</v>
      </c>
      <c r="C1046">
        <v>27.92</v>
      </c>
      <c r="D1046" t="s">
        <v>26</v>
      </c>
      <c r="E1046" t="s">
        <v>14</v>
      </c>
      <c r="F1046" t="s">
        <v>53</v>
      </c>
      <c r="G1046" t="s">
        <v>207</v>
      </c>
      <c r="H1046" t="s">
        <v>54</v>
      </c>
      <c r="I1046" t="s">
        <v>123</v>
      </c>
      <c r="J1046" t="s">
        <v>208</v>
      </c>
      <c r="K1046" s="1">
        <v>0.31319542824074076</v>
      </c>
      <c r="L1046">
        <f>YEAR(Coffe_sales[[#This Row],[Date]])</f>
        <v>2024</v>
      </c>
    </row>
    <row r="1047" spans="1:12" x14ac:dyDescent="0.2">
      <c r="A1047" t="s">
        <v>46</v>
      </c>
      <c r="B1047" t="s">
        <v>12</v>
      </c>
      <c r="C1047">
        <v>27.92</v>
      </c>
      <c r="D1047" t="s">
        <v>26</v>
      </c>
      <c r="E1047" t="s">
        <v>14</v>
      </c>
      <c r="F1047" t="s">
        <v>53</v>
      </c>
      <c r="G1047" t="s">
        <v>207</v>
      </c>
      <c r="H1047" t="s">
        <v>54</v>
      </c>
      <c r="I1047" t="s">
        <v>123</v>
      </c>
      <c r="J1047" t="s">
        <v>208</v>
      </c>
      <c r="K1047" s="1">
        <v>0.39259328703703705</v>
      </c>
      <c r="L1047">
        <f>YEAR(Coffe_sales[[#This Row],[Date]])</f>
        <v>2024</v>
      </c>
    </row>
    <row r="1048" spans="1:12" x14ac:dyDescent="0.2">
      <c r="A1048" t="s">
        <v>35</v>
      </c>
      <c r="B1048" t="s">
        <v>12</v>
      </c>
      <c r="C1048">
        <v>27.92</v>
      </c>
      <c r="D1048" t="s">
        <v>26</v>
      </c>
      <c r="E1048" t="s">
        <v>14</v>
      </c>
      <c r="F1048" t="s">
        <v>53</v>
      </c>
      <c r="G1048" t="s">
        <v>207</v>
      </c>
      <c r="H1048" t="s">
        <v>54</v>
      </c>
      <c r="I1048" t="s">
        <v>123</v>
      </c>
      <c r="J1048" t="s">
        <v>208</v>
      </c>
      <c r="K1048" s="1">
        <v>0.46127392361111114</v>
      </c>
      <c r="L1048">
        <f>YEAR(Coffe_sales[[#This Row],[Date]])</f>
        <v>2024</v>
      </c>
    </row>
    <row r="1049" spans="1:12" x14ac:dyDescent="0.2">
      <c r="A1049" t="s">
        <v>35</v>
      </c>
      <c r="B1049" t="s">
        <v>12</v>
      </c>
      <c r="C1049">
        <v>27.92</v>
      </c>
      <c r="D1049" t="s">
        <v>26</v>
      </c>
      <c r="E1049" t="s">
        <v>14</v>
      </c>
      <c r="F1049" t="s">
        <v>53</v>
      </c>
      <c r="G1049" t="s">
        <v>207</v>
      </c>
      <c r="H1049" t="s">
        <v>54</v>
      </c>
      <c r="I1049" t="s">
        <v>123</v>
      </c>
      <c r="J1049" t="s">
        <v>208</v>
      </c>
      <c r="K1049" s="1">
        <v>0.47414778935185187</v>
      </c>
      <c r="L1049">
        <f>YEAR(Coffe_sales[[#This Row],[Date]])</f>
        <v>2024</v>
      </c>
    </row>
    <row r="1050" spans="1:12" x14ac:dyDescent="0.2">
      <c r="A1050" t="s">
        <v>23</v>
      </c>
      <c r="B1050" t="s">
        <v>12</v>
      </c>
      <c r="C1050">
        <v>23.02</v>
      </c>
      <c r="D1050" t="s">
        <v>41</v>
      </c>
      <c r="E1050" t="s">
        <v>22</v>
      </c>
      <c r="F1050" t="s">
        <v>53</v>
      </c>
      <c r="G1050" t="s">
        <v>207</v>
      </c>
      <c r="H1050" t="s">
        <v>54</v>
      </c>
      <c r="I1050" t="s">
        <v>123</v>
      </c>
      <c r="J1050" t="s">
        <v>208</v>
      </c>
      <c r="K1050" s="1">
        <v>0.55748380787037033</v>
      </c>
      <c r="L1050">
        <f>YEAR(Coffe_sales[[#This Row],[Date]])</f>
        <v>2024</v>
      </c>
    </row>
    <row r="1051" spans="1:12" x14ac:dyDescent="0.2">
      <c r="A1051" t="s">
        <v>23</v>
      </c>
      <c r="B1051" t="s">
        <v>12</v>
      </c>
      <c r="C1051">
        <v>32.82</v>
      </c>
      <c r="D1051" t="s">
        <v>52</v>
      </c>
      <c r="E1051" t="s">
        <v>22</v>
      </c>
      <c r="F1051" t="s">
        <v>53</v>
      </c>
      <c r="G1051" t="s">
        <v>207</v>
      </c>
      <c r="H1051" t="s">
        <v>54</v>
      </c>
      <c r="I1051" t="s">
        <v>123</v>
      </c>
      <c r="J1051" t="s">
        <v>208</v>
      </c>
      <c r="K1051" s="1">
        <v>0.55807076388888888</v>
      </c>
      <c r="L1051">
        <f>YEAR(Coffe_sales[[#This Row],[Date]])</f>
        <v>2024</v>
      </c>
    </row>
    <row r="1052" spans="1:12" x14ac:dyDescent="0.2">
      <c r="A1052" t="s">
        <v>23</v>
      </c>
      <c r="B1052" t="s">
        <v>12</v>
      </c>
      <c r="C1052">
        <v>32.82</v>
      </c>
      <c r="D1052" t="s">
        <v>52</v>
      </c>
      <c r="E1052" t="s">
        <v>22</v>
      </c>
      <c r="F1052" t="s">
        <v>53</v>
      </c>
      <c r="G1052" t="s">
        <v>207</v>
      </c>
      <c r="H1052" t="s">
        <v>54</v>
      </c>
      <c r="I1052" t="s">
        <v>123</v>
      </c>
      <c r="J1052" t="s">
        <v>208</v>
      </c>
      <c r="K1052" s="1">
        <v>0.57577853009259261</v>
      </c>
      <c r="L1052">
        <f>YEAR(Coffe_sales[[#This Row],[Date]])</f>
        <v>2024</v>
      </c>
    </row>
    <row r="1053" spans="1:12" x14ac:dyDescent="0.2">
      <c r="A1053" t="s">
        <v>25</v>
      </c>
      <c r="B1053" t="s">
        <v>12</v>
      </c>
      <c r="C1053">
        <v>27.92</v>
      </c>
      <c r="D1053" t="s">
        <v>26</v>
      </c>
      <c r="E1053" t="s">
        <v>22</v>
      </c>
      <c r="F1053" t="s">
        <v>53</v>
      </c>
      <c r="G1053" t="s">
        <v>207</v>
      </c>
      <c r="H1053" t="s">
        <v>54</v>
      </c>
      <c r="I1053" t="s">
        <v>123</v>
      </c>
      <c r="J1053" t="s">
        <v>208</v>
      </c>
      <c r="K1053" s="1">
        <v>0.65536828703703709</v>
      </c>
      <c r="L1053">
        <f>YEAR(Coffe_sales[[#This Row],[Date]])</f>
        <v>2024</v>
      </c>
    </row>
    <row r="1054" spans="1:12" x14ac:dyDescent="0.2">
      <c r="A1054" t="s">
        <v>27</v>
      </c>
      <c r="B1054" t="s">
        <v>12</v>
      </c>
      <c r="C1054">
        <v>27.92</v>
      </c>
      <c r="D1054" t="s">
        <v>26</v>
      </c>
      <c r="E1054" t="s">
        <v>22</v>
      </c>
      <c r="F1054" t="s">
        <v>53</v>
      </c>
      <c r="G1054" t="s">
        <v>207</v>
      </c>
      <c r="H1054" t="s">
        <v>54</v>
      </c>
      <c r="I1054" t="s">
        <v>123</v>
      </c>
      <c r="J1054" t="s">
        <v>208</v>
      </c>
      <c r="K1054" s="1">
        <v>0.68334100694444444</v>
      </c>
      <c r="L1054">
        <f>YEAR(Coffe_sales[[#This Row],[Date]])</f>
        <v>2024</v>
      </c>
    </row>
    <row r="1055" spans="1:12" x14ac:dyDescent="0.2">
      <c r="A1055" t="s">
        <v>27</v>
      </c>
      <c r="B1055" t="s">
        <v>12</v>
      </c>
      <c r="C1055">
        <v>23.02</v>
      </c>
      <c r="D1055" t="s">
        <v>24</v>
      </c>
      <c r="E1055" t="s">
        <v>22</v>
      </c>
      <c r="F1055" t="s">
        <v>53</v>
      </c>
      <c r="G1055" t="s">
        <v>207</v>
      </c>
      <c r="H1055" t="s">
        <v>54</v>
      </c>
      <c r="I1055" t="s">
        <v>123</v>
      </c>
      <c r="J1055" t="s">
        <v>208</v>
      </c>
      <c r="K1055" s="1">
        <v>0.68480707175925926</v>
      </c>
      <c r="L1055">
        <f>YEAR(Coffe_sales[[#This Row],[Date]])</f>
        <v>2024</v>
      </c>
    </row>
    <row r="1056" spans="1:12" x14ac:dyDescent="0.2">
      <c r="A1056" t="s">
        <v>37</v>
      </c>
      <c r="B1056" t="s">
        <v>12</v>
      </c>
      <c r="C1056">
        <v>23.02</v>
      </c>
      <c r="D1056" t="s">
        <v>24</v>
      </c>
      <c r="E1056" t="s">
        <v>29</v>
      </c>
      <c r="F1056" t="s">
        <v>53</v>
      </c>
      <c r="G1056" t="s">
        <v>207</v>
      </c>
      <c r="H1056" t="s">
        <v>54</v>
      </c>
      <c r="I1056" t="s">
        <v>123</v>
      </c>
      <c r="J1056" t="s">
        <v>208</v>
      </c>
      <c r="K1056" s="1">
        <v>0.72471340277777774</v>
      </c>
      <c r="L1056">
        <f>YEAR(Coffe_sales[[#This Row],[Date]])</f>
        <v>2024</v>
      </c>
    </row>
    <row r="1057" spans="1:12" x14ac:dyDescent="0.2">
      <c r="A1057" t="s">
        <v>91</v>
      </c>
      <c r="B1057" t="s">
        <v>12</v>
      </c>
      <c r="C1057">
        <v>32.82</v>
      </c>
      <c r="D1057" t="s">
        <v>52</v>
      </c>
      <c r="E1057" t="s">
        <v>29</v>
      </c>
      <c r="F1057" t="s">
        <v>53</v>
      </c>
      <c r="G1057" t="s">
        <v>207</v>
      </c>
      <c r="H1057" t="s">
        <v>54</v>
      </c>
      <c r="I1057" t="s">
        <v>123</v>
      </c>
      <c r="J1057" t="s">
        <v>208</v>
      </c>
      <c r="K1057" s="1">
        <v>0.86213099537037041</v>
      </c>
      <c r="L1057">
        <f>YEAR(Coffe_sales[[#This Row],[Date]])</f>
        <v>2024</v>
      </c>
    </row>
    <row r="1058" spans="1:12" x14ac:dyDescent="0.2">
      <c r="A1058" t="s">
        <v>46</v>
      </c>
      <c r="B1058" t="s">
        <v>12</v>
      </c>
      <c r="C1058">
        <v>27.92</v>
      </c>
      <c r="D1058" t="s">
        <v>26</v>
      </c>
      <c r="E1058" t="s">
        <v>14</v>
      </c>
      <c r="F1058" t="s">
        <v>15</v>
      </c>
      <c r="G1058" t="s">
        <v>207</v>
      </c>
      <c r="H1058" t="s">
        <v>17</v>
      </c>
      <c r="I1058" t="s">
        <v>123</v>
      </c>
      <c r="J1058" t="s">
        <v>209</v>
      </c>
      <c r="K1058" s="1">
        <v>0.37632135416666668</v>
      </c>
      <c r="L1058">
        <f>YEAR(Coffe_sales[[#This Row],[Date]])</f>
        <v>2024</v>
      </c>
    </row>
    <row r="1059" spans="1:12" x14ac:dyDescent="0.2">
      <c r="A1059" t="s">
        <v>46</v>
      </c>
      <c r="B1059" t="s">
        <v>12</v>
      </c>
      <c r="C1059">
        <v>27.92</v>
      </c>
      <c r="D1059" t="s">
        <v>26</v>
      </c>
      <c r="E1059" t="s">
        <v>14</v>
      </c>
      <c r="F1059" t="s">
        <v>15</v>
      </c>
      <c r="G1059" t="s">
        <v>207</v>
      </c>
      <c r="H1059" t="s">
        <v>17</v>
      </c>
      <c r="I1059" t="s">
        <v>123</v>
      </c>
      <c r="J1059" t="s">
        <v>209</v>
      </c>
      <c r="K1059" s="1">
        <v>0.3993391087962963</v>
      </c>
      <c r="L1059">
        <f>YEAR(Coffe_sales[[#This Row],[Date]])</f>
        <v>2024</v>
      </c>
    </row>
    <row r="1060" spans="1:12" x14ac:dyDescent="0.2">
      <c r="A1060" t="s">
        <v>35</v>
      </c>
      <c r="B1060" t="s">
        <v>12</v>
      </c>
      <c r="C1060">
        <v>23.02</v>
      </c>
      <c r="D1060" t="s">
        <v>41</v>
      </c>
      <c r="E1060" t="s">
        <v>14</v>
      </c>
      <c r="F1060" t="s">
        <v>15</v>
      </c>
      <c r="G1060" t="s">
        <v>207</v>
      </c>
      <c r="H1060" t="s">
        <v>17</v>
      </c>
      <c r="I1060" t="s">
        <v>123</v>
      </c>
      <c r="J1060" t="s">
        <v>209</v>
      </c>
      <c r="K1060" s="1">
        <v>0.46480862268518519</v>
      </c>
      <c r="L1060">
        <f>YEAR(Coffe_sales[[#This Row],[Date]])</f>
        <v>2024</v>
      </c>
    </row>
    <row r="1061" spans="1:12" x14ac:dyDescent="0.2">
      <c r="A1061" t="s">
        <v>28</v>
      </c>
      <c r="B1061" t="s">
        <v>12</v>
      </c>
      <c r="C1061">
        <v>27.92</v>
      </c>
      <c r="D1061" t="s">
        <v>26</v>
      </c>
      <c r="E1061" t="s">
        <v>29</v>
      </c>
      <c r="F1061" t="s">
        <v>15</v>
      </c>
      <c r="G1061" t="s">
        <v>207</v>
      </c>
      <c r="H1061" t="s">
        <v>17</v>
      </c>
      <c r="I1061" t="s">
        <v>123</v>
      </c>
      <c r="J1061" t="s">
        <v>209</v>
      </c>
      <c r="K1061" s="1">
        <v>0.75596391203703706</v>
      </c>
      <c r="L1061">
        <f>YEAR(Coffe_sales[[#This Row],[Date]])</f>
        <v>2024</v>
      </c>
    </row>
    <row r="1062" spans="1:12" x14ac:dyDescent="0.2">
      <c r="A1062" t="s">
        <v>131</v>
      </c>
      <c r="B1062" t="s">
        <v>12</v>
      </c>
      <c r="C1062">
        <v>32.82</v>
      </c>
      <c r="D1062" t="s">
        <v>13</v>
      </c>
      <c r="E1062" t="s">
        <v>29</v>
      </c>
      <c r="F1062" t="s">
        <v>15</v>
      </c>
      <c r="G1062" t="s">
        <v>207</v>
      </c>
      <c r="H1062" t="s">
        <v>17</v>
      </c>
      <c r="I1062" t="s">
        <v>123</v>
      </c>
      <c r="J1062" t="s">
        <v>209</v>
      </c>
      <c r="K1062" s="1">
        <v>0.89102267361111109</v>
      </c>
      <c r="L1062">
        <f>YEAR(Coffe_sales[[#This Row],[Date]])</f>
        <v>2024</v>
      </c>
    </row>
    <row r="1063" spans="1:12" x14ac:dyDescent="0.2">
      <c r="A1063" t="s">
        <v>123</v>
      </c>
      <c r="B1063" t="s">
        <v>12</v>
      </c>
      <c r="C1063">
        <v>27.92</v>
      </c>
      <c r="D1063" t="s">
        <v>26</v>
      </c>
      <c r="E1063" t="s">
        <v>14</v>
      </c>
      <c r="F1063" t="s">
        <v>32</v>
      </c>
      <c r="G1063" t="s">
        <v>207</v>
      </c>
      <c r="H1063" t="s">
        <v>33</v>
      </c>
      <c r="I1063" t="s">
        <v>123</v>
      </c>
      <c r="J1063" t="s">
        <v>210</v>
      </c>
      <c r="K1063" s="1">
        <v>0.37067883101851851</v>
      </c>
      <c r="L1063">
        <f>YEAR(Coffe_sales[[#This Row],[Date]])</f>
        <v>2024</v>
      </c>
    </row>
    <row r="1064" spans="1:12" x14ac:dyDescent="0.2">
      <c r="A1064" t="s">
        <v>46</v>
      </c>
      <c r="B1064" t="s">
        <v>12</v>
      </c>
      <c r="C1064">
        <v>27.92</v>
      </c>
      <c r="D1064" t="s">
        <v>26</v>
      </c>
      <c r="E1064" t="s">
        <v>14</v>
      </c>
      <c r="F1064" t="s">
        <v>32</v>
      </c>
      <c r="G1064" t="s">
        <v>207</v>
      </c>
      <c r="H1064" t="s">
        <v>33</v>
      </c>
      <c r="I1064" t="s">
        <v>123</v>
      </c>
      <c r="J1064" t="s">
        <v>210</v>
      </c>
      <c r="K1064" s="1">
        <v>0.40091681712962962</v>
      </c>
      <c r="L1064">
        <f>YEAR(Coffe_sales[[#This Row],[Date]])</f>
        <v>2024</v>
      </c>
    </row>
    <row r="1065" spans="1:12" x14ac:dyDescent="0.2">
      <c r="A1065" t="s">
        <v>46</v>
      </c>
      <c r="B1065" t="s">
        <v>12</v>
      </c>
      <c r="C1065">
        <v>27.92</v>
      </c>
      <c r="D1065" t="s">
        <v>26</v>
      </c>
      <c r="E1065" t="s">
        <v>14</v>
      </c>
      <c r="F1065" t="s">
        <v>32</v>
      </c>
      <c r="G1065" t="s">
        <v>207</v>
      </c>
      <c r="H1065" t="s">
        <v>33</v>
      </c>
      <c r="I1065" t="s">
        <v>123</v>
      </c>
      <c r="J1065" t="s">
        <v>210</v>
      </c>
      <c r="K1065" s="1">
        <v>0.40186354166666666</v>
      </c>
      <c r="L1065">
        <f>YEAR(Coffe_sales[[#This Row],[Date]])</f>
        <v>2024</v>
      </c>
    </row>
    <row r="1066" spans="1:12" x14ac:dyDescent="0.2">
      <c r="A1066" t="s">
        <v>11</v>
      </c>
      <c r="B1066" t="s">
        <v>12</v>
      </c>
      <c r="C1066">
        <v>27.92</v>
      </c>
      <c r="D1066" t="s">
        <v>26</v>
      </c>
      <c r="E1066" t="s">
        <v>14</v>
      </c>
      <c r="F1066" t="s">
        <v>32</v>
      </c>
      <c r="G1066" t="s">
        <v>207</v>
      </c>
      <c r="H1066" t="s">
        <v>33</v>
      </c>
      <c r="I1066" t="s">
        <v>123</v>
      </c>
      <c r="J1066" t="s">
        <v>210</v>
      </c>
      <c r="K1066" s="1">
        <v>0.42529687500000002</v>
      </c>
      <c r="L1066">
        <f>YEAR(Coffe_sales[[#This Row],[Date]])</f>
        <v>2024</v>
      </c>
    </row>
    <row r="1067" spans="1:12" x14ac:dyDescent="0.2">
      <c r="A1067" t="s">
        <v>35</v>
      </c>
      <c r="B1067" t="s">
        <v>12</v>
      </c>
      <c r="C1067">
        <v>23.02</v>
      </c>
      <c r="D1067" t="s">
        <v>41</v>
      </c>
      <c r="E1067" t="s">
        <v>14</v>
      </c>
      <c r="F1067" t="s">
        <v>32</v>
      </c>
      <c r="G1067" t="s">
        <v>207</v>
      </c>
      <c r="H1067" t="s">
        <v>33</v>
      </c>
      <c r="I1067" t="s">
        <v>123</v>
      </c>
      <c r="J1067" t="s">
        <v>210</v>
      </c>
      <c r="K1067" s="1">
        <v>0.47252975694444443</v>
      </c>
      <c r="L1067">
        <f>YEAR(Coffe_sales[[#This Row],[Date]])</f>
        <v>2024</v>
      </c>
    </row>
    <row r="1068" spans="1:12" x14ac:dyDescent="0.2">
      <c r="A1068" t="s">
        <v>35</v>
      </c>
      <c r="B1068" t="s">
        <v>12</v>
      </c>
      <c r="C1068">
        <v>23.02</v>
      </c>
      <c r="D1068" t="s">
        <v>41</v>
      </c>
      <c r="E1068" t="s">
        <v>14</v>
      </c>
      <c r="F1068" t="s">
        <v>32</v>
      </c>
      <c r="G1068" t="s">
        <v>207</v>
      </c>
      <c r="H1068" t="s">
        <v>33</v>
      </c>
      <c r="I1068" t="s">
        <v>123</v>
      </c>
      <c r="J1068" t="s">
        <v>210</v>
      </c>
      <c r="K1068" s="1">
        <v>0.47317129629629628</v>
      </c>
      <c r="L1068">
        <f>YEAR(Coffe_sales[[#This Row],[Date]])</f>
        <v>2024</v>
      </c>
    </row>
    <row r="1069" spans="1:12" x14ac:dyDescent="0.2">
      <c r="A1069" t="s">
        <v>35</v>
      </c>
      <c r="B1069" t="s">
        <v>12</v>
      </c>
      <c r="C1069">
        <v>18.12</v>
      </c>
      <c r="D1069" t="s">
        <v>45</v>
      </c>
      <c r="E1069" t="s">
        <v>14</v>
      </c>
      <c r="F1069" t="s">
        <v>32</v>
      </c>
      <c r="G1069" t="s">
        <v>207</v>
      </c>
      <c r="H1069" t="s">
        <v>33</v>
      </c>
      <c r="I1069" t="s">
        <v>123</v>
      </c>
      <c r="J1069" t="s">
        <v>210</v>
      </c>
      <c r="K1069" s="1">
        <v>0.49764615740740742</v>
      </c>
      <c r="L1069">
        <f>YEAR(Coffe_sales[[#This Row],[Date]])</f>
        <v>2024</v>
      </c>
    </row>
    <row r="1070" spans="1:12" x14ac:dyDescent="0.2">
      <c r="A1070" t="s">
        <v>35</v>
      </c>
      <c r="B1070" t="s">
        <v>12</v>
      </c>
      <c r="C1070">
        <v>27.92</v>
      </c>
      <c r="D1070" t="s">
        <v>26</v>
      </c>
      <c r="E1070" t="s">
        <v>14</v>
      </c>
      <c r="F1070" t="s">
        <v>32</v>
      </c>
      <c r="G1070" t="s">
        <v>207</v>
      </c>
      <c r="H1070" t="s">
        <v>33</v>
      </c>
      <c r="I1070" t="s">
        <v>123</v>
      </c>
      <c r="J1070" t="s">
        <v>210</v>
      </c>
      <c r="K1070" s="1">
        <v>0.49827862268518519</v>
      </c>
      <c r="L1070">
        <f>YEAR(Coffe_sales[[#This Row],[Date]])</f>
        <v>2024</v>
      </c>
    </row>
    <row r="1071" spans="1:12" x14ac:dyDescent="0.2">
      <c r="A1071" t="s">
        <v>20</v>
      </c>
      <c r="B1071" t="s">
        <v>12</v>
      </c>
      <c r="C1071">
        <v>27.92</v>
      </c>
      <c r="D1071" t="s">
        <v>26</v>
      </c>
      <c r="E1071" t="s">
        <v>22</v>
      </c>
      <c r="F1071" t="s">
        <v>32</v>
      </c>
      <c r="G1071" t="s">
        <v>207</v>
      </c>
      <c r="H1071" t="s">
        <v>33</v>
      </c>
      <c r="I1071" t="s">
        <v>123</v>
      </c>
      <c r="J1071" t="s">
        <v>210</v>
      </c>
      <c r="K1071" s="1">
        <v>0.50249741898148148</v>
      </c>
      <c r="L1071">
        <f>YEAR(Coffe_sales[[#This Row],[Date]])</f>
        <v>2024</v>
      </c>
    </row>
    <row r="1072" spans="1:12" x14ac:dyDescent="0.2">
      <c r="A1072" t="s">
        <v>27</v>
      </c>
      <c r="B1072" t="s">
        <v>12</v>
      </c>
      <c r="C1072">
        <v>27.92</v>
      </c>
      <c r="D1072" t="s">
        <v>26</v>
      </c>
      <c r="E1072" t="s">
        <v>22</v>
      </c>
      <c r="F1072" t="s">
        <v>32</v>
      </c>
      <c r="G1072" t="s">
        <v>207</v>
      </c>
      <c r="H1072" t="s">
        <v>33</v>
      </c>
      <c r="I1072" t="s">
        <v>123</v>
      </c>
      <c r="J1072" t="s">
        <v>210</v>
      </c>
      <c r="K1072" s="1">
        <v>0.70416582175925924</v>
      </c>
      <c r="L1072">
        <f>YEAR(Coffe_sales[[#This Row],[Date]])</f>
        <v>2024</v>
      </c>
    </row>
    <row r="1073" spans="1:12" x14ac:dyDescent="0.2">
      <c r="A1073" t="s">
        <v>28</v>
      </c>
      <c r="B1073" t="s">
        <v>12</v>
      </c>
      <c r="C1073">
        <v>32.82</v>
      </c>
      <c r="D1073" t="s">
        <v>52</v>
      </c>
      <c r="E1073" t="s">
        <v>29</v>
      </c>
      <c r="F1073" t="s">
        <v>32</v>
      </c>
      <c r="G1073" t="s">
        <v>207</v>
      </c>
      <c r="H1073" t="s">
        <v>33</v>
      </c>
      <c r="I1073" t="s">
        <v>123</v>
      </c>
      <c r="J1073" t="s">
        <v>210</v>
      </c>
      <c r="K1073" s="1">
        <v>0.77687530092592594</v>
      </c>
      <c r="L1073">
        <f>YEAR(Coffe_sales[[#This Row],[Date]])</f>
        <v>2024</v>
      </c>
    </row>
    <row r="1074" spans="1:12" x14ac:dyDescent="0.2">
      <c r="A1074" t="s">
        <v>131</v>
      </c>
      <c r="B1074" t="s">
        <v>12</v>
      </c>
      <c r="C1074">
        <v>32.82</v>
      </c>
      <c r="D1074" t="s">
        <v>13</v>
      </c>
      <c r="E1074" t="s">
        <v>29</v>
      </c>
      <c r="F1074" t="s">
        <v>32</v>
      </c>
      <c r="G1074" t="s">
        <v>207</v>
      </c>
      <c r="H1074" t="s">
        <v>33</v>
      </c>
      <c r="I1074" t="s">
        <v>123</v>
      </c>
      <c r="J1074" t="s">
        <v>210</v>
      </c>
      <c r="K1074" s="1">
        <v>0.8963999768518518</v>
      </c>
      <c r="L1074">
        <f>YEAR(Coffe_sales[[#This Row],[Date]])</f>
        <v>2024</v>
      </c>
    </row>
    <row r="1075" spans="1:12" x14ac:dyDescent="0.2">
      <c r="A1075" t="s">
        <v>131</v>
      </c>
      <c r="B1075" t="s">
        <v>12</v>
      </c>
      <c r="C1075">
        <v>32.82</v>
      </c>
      <c r="D1075" t="s">
        <v>13</v>
      </c>
      <c r="E1075" t="s">
        <v>29</v>
      </c>
      <c r="F1075" t="s">
        <v>32</v>
      </c>
      <c r="G1075" t="s">
        <v>207</v>
      </c>
      <c r="H1075" t="s">
        <v>33</v>
      </c>
      <c r="I1075" t="s">
        <v>123</v>
      </c>
      <c r="J1075" t="s">
        <v>210</v>
      </c>
      <c r="K1075" s="1">
        <v>0.89798917824074076</v>
      </c>
      <c r="L1075">
        <f>YEAR(Coffe_sales[[#This Row],[Date]])</f>
        <v>2024</v>
      </c>
    </row>
    <row r="1076" spans="1:12" x14ac:dyDescent="0.2">
      <c r="A1076" t="s">
        <v>123</v>
      </c>
      <c r="B1076" t="s">
        <v>12</v>
      </c>
      <c r="C1076">
        <v>32.82</v>
      </c>
      <c r="D1076" t="s">
        <v>52</v>
      </c>
      <c r="E1076" t="s">
        <v>14</v>
      </c>
      <c r="F1076" t="s">
        <v>38</v>
      </c>
      <c r="G1076" t="s">
        <v>207</v>
      </c>
      <c r="H1076" t="s">
        <v>39</v>
      </c>
      <c r="I1076" t="s">
        <v>123</v>
      </c>
      <c r="J1076" t="s">
        <v>211</v>
      </c>
      <c r="K1076" s="1">
        <v>0.34626520833333335</v>
      </c>
      <c r="L1076">
        <f>YEAR(Coffe_sales[[#This Row],[Date]])</f>
        <v>2024</v>
      </c>
    </row>
    <row r="1077" spans="1:12" x14ac:dyDescent="0.2">
      <c r="A1077" t="s">
        <v>11</v>
      </c>
      <c r="B1077" t="s">
        <v>12</v>
      </c>
      <c r="C1077">
        <v>27.92</v>
      </c>
      <c r="D1077" t="s">
        <v>26</v>
      </c>
      <c r="E1077" t="s">
        <v>14</v>
      </c>
      <c r="F1077" t="s">
        <v>38</v>
      </c>
      <c r="G1077" t="s">
        <v>207</v>
      </c>
      <c r="H1077" t="s">
        <v>39</v>
      </c>
      <c r="I1077" t="s">
        <v>123</v>
      </c>
      <c r="J1077" t="s">
        <v>211</v>
      </c>
      <c r="K1077" s="1">
        <v>0.44295258101851853</v>
      </c>
      <c r="L1077">
        <f>YEAR(Coffe_sales[[#This Row],[Date]])</f>
        <v>2024</v>
      </c>
    </row>
    <row r="1078" spans="1:12" x14ac:dyDescent="0.2">
      <c r="A1078" t="s">
        <v>35</v>
      </c>
      <c r="B1078" t="s">
        <v>12</v>
      </c>
      <c r="C1078">
        <v>32.82</v>
      </c>
      <c r="D1078" t="s">
        <v>52</v>
      </c>
      <c r="E1078" t="s">
        <v>14</v>
      </c>
      <c r="F1078" t="s">
        <v>38</v>
      </c>
      <c r="G1078" t="s">
        <v>207</v>
      </c>
      <c r="H1078" t="s">
        <v>39</v>
      </c>
      <c r="I1078" t="s">
        <v>123</v>
      </c>
      <c r="J1078" t="s">
        <v>211</v>
      </c>
      <c r="K1078" s="1">
        <v>0.49368753472222221</v>
      </c>
      <c r="L1078">
        <f>YEAR(Coffe_sales[[#This Row],[Date]])</f>
        <v>2024</v>
      </c>
    </row>
    <row r="1079" spans="1:12" x14ac:dyDescent="0.2">
      <c r="A1079" t="s">
        <v>35</v>
      </c>
      <c r="B1079" t="s">
        <v>12</v>
      </c>
      <c r="C1079">
        <v>27.92</v>
      </c>
      <c r="D1079" t="s">
        <v>26</v>
      </c>
      <c r="E1079" t="s">
        <v>14</v>
      </c>
      <c r="F1079" t="s">
        <v>38</v>
      </c>
      <c r="G1079" t="s">
        <v>207</v>
      </c>
      <c r="H1079" t="s">
        <v>39</v>
      </c>
      <c r="I1079" t="s">
        <v>123</v>
      </c>
      <c r="J1079" t="s">
        <v>211</v>
      </c>
      <c r="K1079" s="1">
        <v>0.49482658564814813</v>
      </c>
      <c r="L1079">
        <f>YEAR(Coffe_sales[[#This Row],[Date]])</f>
        <v>2024</v>
      </c>
    </row>
    <row r="1080" spans="1:12" x14ac:dyDescent="0.2">
      <c r="A1080" t="s">
        <v>25</v>
      </c>
      <c r="B1080" t="s">
        <v>12</v>
      </c>
      <c r="C1080">
        <v>32.82</v>
      </c>
      <c r="D1080" t="s">
        <v>52</v>
      </c>
      <c r="E1080" t="s">
        <v>22</v>
      </c>
      <c r="F1080" t="s">
        <v>38</v>
      </c>
      <c r="G1080" t="s">
        <v>207</v>
      </c>
      <c r="H1080" t="s">
        <v>39</v>
      </c>
      <c r="I1080" t="s">
        <v>123</v>
      </c>
      <c r="J1080" t="s">
        <v>211</v>
      </c>
      <c r="K1080" s="1">
        <v>0.64852010416666672</v>
      </c>
      <c r="L1080">
        <f>YEAR(Coffe_sales[[#This Row],[Date]])</f>
        <v>2024</v>
      </c>
    </row>
    <row r="1081" spans="1:12" x14ac:dyDescent="0.2">
      <c r="A1081" t="s">
        <v>25</v>
      </c>
      <c r="B1081" t="s">
        <v>12</v>
      </c>
      <c r="C1081">
        <v>32.82</v>
      </c>
      <c r="D1081" t="s">
        <v>52</v>
      </c>
      <c r="E1081" t="s">
        <v>22</v>
      </c>
      <c r="F1081" t="s">
        <v>38</v>
      </c>
      <c r="G1081" t="s">
        <v>207</v>
      </c>
      <c r="H1081" t="s">
        <v>39</v>
      </c>
      <c r="I1081" t="s">
        <v>123</v>
      </c>
      <c r="J1081" t="s">
        <v>211</v>
      </c>
      <c r="K1081" s="1">
        <v>0.64937391203703698</v>
      </c>
      <c r="L1081">
        <f>YEAR(Coffe_sales[[#This Row],[Date]])</f>
        <v>2024</v>
      </c>
    </row>
    <row r="1082" spans="1:12" x14ac:dyDescent="0.2">
      <c r="A1082" t="s">
        <v>123</v>
      </c>
      <c r="B1082" t="s">
        <v>12</v>
      </c>
      <c r="C1082">
        <v>23.02</v>
      </c>
      <c r="D1082" t="s">
        <v>41</v>
      </c>
      <c r="E1082" t="s">
        <v>14</v>
      </c>
      <c r="F1082" t="s">
        <v>42</v>
      </c>
      <c r="G1082" t="s">
        <v>207</v>
      </c>
      <c r="H1082" t="s">
        <v>43</v>
      </c>
      <c r="I1082" t="s">
        <v>123</v>
      </c>
      <c r="J1082" t="s">
        <v>212</v>
      </c>
      <c r="K1082" s="1">
        <v>0.36812214120370368</v>
      </c>
      <c r="L1082">
        <f>YEAR(Coffe_sales[[#This Row],[Date]])</f>
        <v>2024</v>
      </c>
    </row>
    <row r="1083" spans="1:12" x14ac:dyDescent="0.2">
      <c r="A1083" t="s">
        <v>46</v>
      </c>
      <c r="B1083" t="s">
        <v>12</v>
      </c>
      <c r="C1083">
        <v>27.92</v>
      </c>
      <c r="D1083" t="s">
        <v>26</v>
      </c>
      <c r="E1083" t="s">
        <v>14</v>
      </c>
      <c r="F1083" t="s">
        <v>42</v>
      </c>
      <c r="G1083" t="s">
        <v>207</v>
      </c>
      <c r="H1083" t="s">
        <v>43</v>
      </c>
      <c r="I1083" t="s">
        <v>123</v>
      </c>
      <c r="J1083" t="s">
        <v>212</v>
      </c>
      <c r="K1083" s="1">
        <v>0.38841638888888891</v>
      </c>
      <c r="L1083">
        <f>YEAR(Coffe_sales[[#This Row],[Date]])</f>
        <v>2024</v>
      </c>
    </row>
    <row r="1084" spans="1:12" x14ac:dyDescent="0.2">
      <c r="A1084" t="s">
        <v>35</v>
      </c>
      <c r="B1084" t="s">
        <v>12</v>
      </c>
      <c r="C1084">
        <v>23.02</v>
      </c>
      <c r="D1084" t="s">
        <v>41</v>
      </c>
      <c r="E1084" t="s">
        <v>14</v>
      </c>
      <c r="F1084" t="s">
        <v>42</v>
      </c>
      <c r="G1084" t="s">
        <v>207</v>
      </c>
      <c r="H1084" t="s">
        <v>43</v>
      </c>
      <c r="I1084" t="s">
        <v>123</v>
      </c>
      <c r="J1084" t="s">
        <v>212</v>
      </c>
      <c r="K1084" s="1">
        <v>0.47277134259259257</v>
      </c>
      <c r="L1084">
        <f>YEAR(Coffe_sales[[#This Row],[Date]])</f>
        <v>2024</v>
      </c>
    </row>
    <row r="1085" spans="1:12" x14ac:dyDescent="0.2">
      <c r="A1085" t="s">
        <v>23</v>
      </c>
      <c r="B1085" t="s">
        <v>12</v>
      </c>
      <c r="C1085">
        <v>32.82</v>
      </c>
      <c r="D1085" t="s">
        <v>52</v>
      </c>
      <c r="E1085" t="s">
        <v>22</v>
      </c>
      <c r="F1085" t="s">
        <v>42</v>
      </c>
      <c r="G1085" t="s">
        <v>207</v>
      </c>
      <c r="H1085" t="s">
        <v>43</v>
      </c>
      <c r="I1085" t="s">
        <v>123</v>
      </c>
      <c r="J1085" t="s">
        <v>212</v>
      </c>
      <c r="K1085" s="1">
        <v>0.5731765509259259</v>
      </c>
      <c r="L1085">
        <f>YEAR(Coffe_sales[[#This Row],[Date]])</f>
        <v>2024</v>
      </c>
    </row>
    <row r="1086" spans="1:12" x14ac:dyDescent="0.2">
      <c r="A1086" t="s">
        <v>27</v>
      </c>
      <c r="B1086" t="s">
        <v>12</v>
      </c>
      <c r="C1086">
        <v>32.82</v>
      </c>
      <c r="D1086" t="s">
        <v>13</v>
      </c>
      <c r="E1086" t="s">
        <v>22</v>
      </c>
      <c r="F1086" t="s">
        <v>42</v>
      </c>
      <c r="G1086" t="s">
        <v>207</v>
      </c>
      <c r="H1086" t="s">
        <v>43</v>
      </c>
      <c r="I1086" t="s">
        <v>123</v>
      </c>
      <c r="J1086" t="s">
        <v>212</v>
      </c>
      <c r="K1086" s="1">
        <v>0.6708071527777778</v>
      </c>
      <c r="L1086">
        <f>YEAR(Coffe_sales[[#This Row],[Date]])</f>
        <v>2024</v>
      </c>
    </row>
    <row r="1087" spans="1:12" x14ac:dyDescent="0.2">
      <c r="A1087" t="s">
        <v>27</v>
      </c>
      <c r="B1087" t="s">
        <v>12</v>
      </c>
      <c r="C1087">
        <v>32.82</v>
      </c>
      <c r="D1087" t="s">
        <v>13</v>
      </c>
      <c r="E1087" t="s">
        <v>22</v>
      </c>
      <c r="F1087" t="s">
        <v>42</v>
      </c>
      <c r="G1087" t="s">
        <v>207</v>
      </c>
      <c r="H1087" t="s">
        <v>43</v>
      </c>
      <c r="I1087" t="s">
        <v>123</v>
      </c>
      <c r="J1087" t="s">
        <v>212</v>
      </c>
      <c r="K1087" s="1">
        <v>0.67174579861111106</v>
      </c>
      <c r="L1087">
        <f>YEAR(Coffe_sales[[#This Row],[Date]])</f>
        <v>2024</v>
      </c>
    </row>
    <row r="1088" spans="1:12" x14ac:dyDescent="0.2">
      <c r="A1088" t="s">
        <v>37</v>
      </c>
      <c r="B1088" t="s">
        <v>12</v>
      </c>
      <c r="C1088">
        <v>32.82</v>
      </c>
      <c r="D1088" t="s">
        <v>13</v>
      </c>
      <c r="E1088" t="s">
        <v>29</v>
      </c>
      <c r="F1088" t="s">
        <v>42</v>
      </c>
      <c r="G1088" t="s">
        <v>207</v>
      </c>
      <c r="H1088" t="s">
        <v>43</v>
      </c>
      <c r="I1088" t="s">
        <v>123</v>
      </c>
      <c r="J1088" t="s">
        <v>212</v>
      </c>
      <c r="K1088" s="1">
        <v>0.73917252314814819</v>
      </c>
      <c r="L1088">
        <f>YEAR(Coffe_sales[[#This Row],[Date]])</f>
        <v>2024</v>
      </c>
    </row>
    <row r="1089" spans="1:12" x14ac:dyDescent="0.2">
      <c r="A1089" t="s">
        <v>37</v>
      </c>
      <c r="B1089" t="s">
        <v>12</v>
      </c>
      <c r="C1089">
        <v>27.92</v>
      </c>
      <c r="D1089" t="s">
        <v>26</v>
      </c>
      <c r="E1089" t="s">
        <v>29</v>
      </c>
      <c r="F1089" t="s">
        <v>42</v>
      </c>
      <c r="G1089" t="s">
        <v>207</v>
      </c>
      <c r="H1089" t="s">
        <v>43</v>
      </c>
      <c r="I1089" t="s">
        <v>123</v>
      </c>
      <c r="J1089" t="s">
        <v>212</v>
      </c>
      <c r="K1089" s="1">
        <v>0.73995505787037041</v>
      </c>
      <c r="L1089">
        <f>YEAR(Coffe_sales[[#This Row],[Date]])</f>
        <v>2024</v>
      </c>
    </row>
    <row r="1090" spans="1:12" x14ac:dyDescent="0.2">
      <c r="A1090" t="s">
        <v>30</v>
      </c>
      <c r="B1090" t="s">
        <v>12</v>
      </c>
      <c r="C1090">
        <v>32.82</v>
      </c>
      <c r="D1090" t="s">
        <v>13</v>
      </c>
      <c r="E1090" t="s">
        <v>29</v>
      </c>
      <c r="F1090" t="s">
        <v>42</v>
      </c>
      <c r="G1090" t="s">
        <v>207</v>
      </c>
      <c r="H1090" t="s">
        <v>43</v>
      </c>
      <c r="I1090" t="s">
        <v>123</v>
      </c>
      <c r="J1090" t="s">
        <v>212</v>
      </c>
      <c r="K1090" s="1">
        <v>0.80558653935185187</v>
      </c>
      <c r="L1090">
        <f>YEAR(Coffe_sales[[#This Row],[Date]])</f>
        <v>2024</v>
      </c>
    </row>
    <row r="1091" spans="1:12" x14ac:dyDescent="0.2">
      <c r="A1091" t="s">
        <v>30</v>
      </c>
      <c r="B1091" t="s">
        <v>12</v>
      </c>
      <c r="C1091">
        <v>32.82</v>
      </c>
      <c r="D1091" t="s">
        <v>13</v>
      </c>
      <c r="E1091" t="s">
        <v>29</v>
      </c>
      <c r="F1091" t="s">
        <v>42</v>
      </c>
      <c r="G1091" t="s">
        <v>207</v>
      </c>
      <c r="H1091" t="s">
        <v>43</v>
      </c>
      <c r="I1091" t="s">
        <v>123</v>
      </c>
      <c r="J1091" t="s">
        <v>212</v>
      </c>
      <c r="K1091" s="1">
        <v>0.81587365740740736</v>
      </c>
      <c r="L1091">
        <f>YEAR(Coffe_sales[[#This Row],[Date]])</f>
        <v>2024</v>
      </c>
    </row>
    <row r="1092" spans="1:12" x14ac:dyDescent="0.2">
      <c r="A1092" t="s">
        <v>91</v>
      </c>
      <c r="B1092" t="s">
        <v>12</v>
      </c>
      <c r="C1092">
        <v>32.82</v>
      </c>
      <c r="D1092" t="s">
        <v>31</v>
      </c>
      <c r="E1092" t="s">
        <v>29</v>
      </c>
      <c r="F1092" t="s">
        <v>42</v>
      </c>
      <c r="G1092" t="s">
        <v>207</v>
      </c>
      <c r="H1092" t="s">
        <v>43</v>
      </c>
      <c r="I1092" t="s">
        <v>123</v>
      </c>
      <c r="J1092" t="s">
        <v>212</v>
      </c>
      <c r="K1092" s="1">
        <v>0.86771927083333333</v>
      </c>
      <c r="L1092">
        <f>YEAR(Coffe_sales[[#This Row],[Date]])</f>
        <v>2024</v>
      </c>
    </row>
    <row r="1093" spans="1:12" x14ac:dyDescent="0.2">
      <c r="A1093" t="s">
        <v>91</v>
      </c>
      <c r="B1093" t="s">
        <v>12</v>
      </c>
      <c r="C1093">
        <v>32.82</v>
      </c>
      <c r="D1093" t="s">
        <v>31</v>
      </c>
      <c r="E1093" t="s">
        <v>29</v>
      </c>
      <c r="F1093" t="s">
        <v>42</v>
      </c>
      <c r="G1093" t="s">
        <v>207</v>
      </c>
      <c r="H1093" t="s">
        <v>43</v>
      </c>
      <c r="I1093" t="s">
        <v>123</v>
      </c>
      <c r="J1093" t="s">
        <v>212</v>
      </c>
      <c r="K1093" s="1">
        <v>0.86830924768518514</v>
      </c>
      <c r="L1093">
        <f>YEAR(Coffe_sales[[#This Row],[Date]])</f>
        <v>2024</v>
      </c>
    </row>
    <row r="1094" spans="1:12" x14ac:dyDescent="0.2">
      <c r="A1094" t="s">
        <v>125</v>
      </c>
      <c r="B1094" t="s">
        <v>12</v>
      </c>
      <c r="C1094">
        <v>27.92</v>
      </c>
      <c r="D1094" t="s">
        <v>26</v>
      </c>
      <c r="E1094" t="s">
        <v>29</v>
      </c>
      <c r="F1094" t="s">
        <v>42</v>
      </c>
      <c r="G1094" t="s">
        <v>207</v>
      </c>
      <c r="H1094" t="s">
        <v>43</v>
      </c>
      <c r="I1094" t="s">
        <v>123</v>
      </c>
      <c r="J1094" t="s">
        <v>212</v>
      </c>
      <c r="K1094" s="1">
        <v>0.94708556712962966</v>
      </c>
      <c r="L1094">
        <f>YEAR(Coffe_sales[[#This Row],[Date]])</f>
        <v>2024</v>
      </c>
    </row>
    <row r="1095" spans="1:12" x14ac:dyDescent="0.2">
      <c r="A1095" t="s">
        <v>11</v>
      </c>
      <c r="B1095" t="s">
        <v>12</v>
      </c>
      <c r="C1095">
        <v>23.02</v>
      </c>
      <c r="D1095" t="s">
        <v>41</v>
      </c>
      <c r="E1095" t="s">
        <v>14</v>
      </c>
      <c r="F1095" t="s">
        <v>47</v>
      </c>
      <c r="G1095" t="s">
        <v>207</v>
      </c>
      <c r="H1095" t="s">
        <v>48</v>
      </c>
      <c r="I1095" t="s">
        <v>123</v>
      </c>
      <c r="J1095" t="s">
        <v>213</v>
      </c>
      <c r="K1095" s="1">
        <v>0.43128842592592592</v>
      </c>
      <c r="L1095">
        <f>YEAR(Coffe_sales[[#This Row],[Date]])</f>
        <v>2024</v>
      </c>
    </row>
    <row r="1096" spans="1:12" x14ac:dyDescent="0.2">
      <c r="A1096" t="s">
        <v>11</v>
      </c>
      <c r="B1096" t="s">
        <v>12</v>
      </c>
      <c r="C1096">
        <v>32.82</v>
      </c>
      <c r="D1096" t="s">
        <v>21</v>
      </c>
      <c r="E1096" t="s">
        <v>14</v>
      </c>
      <c r="F1096" t="s">
        <v>47</v>
      </c>
      <c r="G1096" t="s">
        <v>207</v>
      </c>
      <c r="H1096" t="s">
        <v>48</v>
      </c>
      <c r="I1096" t="s">
        <v>123</v>
      </c>
      <c r="J1096" t="s">
        <v>213</v>
      </c>
      <c r="K1096" s="1">
        <v>0.43926313657407406</v>
      </c>
      <c r="L1096">
        <f>YEAR(Coffe_sales[[#This Row],[Date]])</f>
        <v>2024</v>
      </c>
    </row>
    <row r="1097" spans="1:12" x14ac:dyDescent="0.2">
      <c r="A1097" t="s">
        <v>37</v>
      </c>
      <c r="B1097" t="s">
        <v>12</v>
      </c>
      <c r="C1097">
        <v>32.82</v>
      </c>
      <c r="D1097" t="s">
        <v>52</v>
      </c>
      <c r="E1097" t="s">
        <v>29</v>
      </c>
      <c r="F1097" t="s">
        <v>47</v>
      </c>
      <c r="G1097" t="s">
        <v>207</v>
      </c>
      <c r="H1097" t="s">
        <v>48</v>
      </c>
      <c r="I1097" t="s">
        <v>123</v>
      </c>
      <c r="J1097" t="s">
        <v>213</v>
      </c>
      <c r="K1097" s="1">
        <v>0.73668056712962959</v>
      </c>
      <c r="L1097">
        <f>YEAR(Coffe_sales[[#This Row],[Date]])</f>
        <v>2024</v>
      </c>
    </row>
    <row r="1098" spans="1:12" x14ac:dyDescent="0.2">
      <c r="A1098" t="s">
        <v>37</v>
      </c>
      <c r="B1098" t="s">
        <v>12</v>
      </c>
      <c r="C1098">
        <v>32.82</v>
      </c>
      <c r="D1098" t="s">
        <v>13</v>
      </c>
      <c r="E1098" t="s">
        <v>29</v>
      </c>
      <c r="F1098" t="s">
        <v>47</v>
      </c>
      <c r="G1098" t="s">
        <v>207</v>
      </c>
      <c r="H1098" t="s">
        <v>48</v>
      </c>
      <c r="I1098" t="s">
        <v>123</v>
      </c>
      <c r="J1098" t="s">
        <v>213</v>
      </c>
      <c r="K1098" s="1">
        <v>0.73810995370370369</v>
      </c>
      <c r="L1098">
        <f>YEAR(Coffe_sales[[#This Row],[Date]])</f>
        <v>2024</v>
      </c>
    </row>
    <row r="1099" spans="1:12" x14ac:dyDescent="0.2">
      <c r="A1099" t="s">
        <v>37</v>
      </c>
      <c r="B1099" t="s">
        <v>12</v>
      </c>
      <c r="C1099">
        <v>32.82</v>
      </c>
      <c r="D1099" t="s">
        <v>31</v>
      </c>
      <c r="E1099" t="s">
        <v>29</v>
      </c>
      <c r="F1099" t="s">
        <v>47</v>
      </c>
      <c r="G1099" t="s">
        <v>207</v>
      </c>
      <c r="H1099" t="s">
        <v>48</v>
      </c>
      <c r="I1099" t="s">
        <v>123</v>
      </c>
      <c r="J1099" t="s">
        <v>213</v>
      </c>
      <c r="K1099" s="1">
        <v>0.73894753472222219</v>
      </c>
      <c r="L1099">
        <f>YEAR(Coffe_sales[[#This Row],[Date]])</f>
        <v>2024</v>
      </c>
    </row>
    <row r="1100" spans="1:12" x14ac:dyDescent="0.2">
      <c r="A1100" t="s">
        <v>30</v>
      </c>
      <c r="B1100" t="s">
        <v>12</v>
      </c>
      <c r="C1100">
        <v>32.82</v>
      </c>
      <c r="D1100" t="s">
        <v>13</v>
      </c>
      <c r="E1100" t="s">
        <v>29</v>
      </c>
      <c r="F1100" t="s">
        <v>47</v>
      </c>
      <c r="G1100" t="s">
        <v>207</v>
      </c>
      <c r="H1100" t="s">
        <v>48</v>
      </c>
      <c r="I1100" t="s">
        <v>123</v>
      </c>
      <c r="J1100" t="s">
        <v>213</v>
      </c>
      <c r="K1100" s="1">
        <v>0.794497037037037</v>
      </c>
      <c r="L1100">
        <f>YEAR(Coffe_sales[[#This Row],[Date]])</f>
        <v>2024</v>
      </c>
    </row>
    <row r="1101" spans="1:12" x14ac:dyDescent="0.2">
      <c r="A1101" t="s">
        <v>30</v>
      </c>
      <c r="B1101" t="s">
        <v>12</v>
      </c>
      <c r="C1101">
        <v>27.92</v>
      </c>
      <c r="D1101" t="s">
        <v>26</v>
      </c>
      <c r="E1101" t="s">
        <v>29</v>
      </c>
      <c r="F1101" t="s">
        <v>47</v>
      </c>
      <c r="G1101" t="s">
        <v>207</v>
      </c>
      <c r="H1101" t="s">
        <v>48</v>
      </c>
      <c r="I1101" t="s">
        <v>123</v>
      </c>
      <c r="J1101" t="s">
        <v>213</v>
      </c>
      <c r="K1101" s="1">
        <v>0.79540636574074075</v>
      </c>
      <c r="L1101">
        <f>YEAR(Coffe_sales[[#This Row],[Date]])</f>
        <v>2024</v>
      </c>
    </row>
    <row r="1102" spans="1:12" x14ac:dyDescent="0.2">
      <c r="A1102" t="s">
        <v>91</v>
      </c>
      <c r="B1102" t="s">
        <v>12</v>
      </c>
      <c r="C1102">
        <v>32.82</v>
      </c>
      <c r="D1102" t="s">
        <v>13</v>
      </c>
      <c r="E1102" t="s">
        <v>29</v>
      </c>
      <c r="F1102" t="s">
        <v>47</v>
      </c>
      <c r="G1102" t="s">
        <v>207</v>
      </c>
      <c r="H1102" t="s">
        <v>48</v>
      </c>
      <c r="I1102" t="s">
        <v>123</v>
      </c>
      <c r="J1102" t="s">
        <v>213</v>
      </c>
      <c r="K1102" s="1">
        <v>0.83642515046296295</v>
      </c>
      <c r="L1102">
        <f>YEAR(Coffe_sales[[#This Row],[Date]])</f>
        <v>2024</v>
      </c>
    </row>
    <row r="1103" spans="1:12" x14ac:dyDescent="0.2">
      <c r="A1103" t="s">
        <v>123</v>
      </c>
      <c r="B1103" t="s">
        <v>12</v>
      </c>
      <c r="C1103">
        <v>27.92</v>
      </c>
      <c r="D1103" t="s">
        <v>26</v>
      </c>
      <c r="E1103" t="s">
        <v>14</v>
      </c>
      <c r="F1103" t="s">
        <v>50</v>
      </c>
      <c r="G1103" t="s">
        <v>207</v>
      </c>
      <c r="H1103" t="s">
        <v>18</v>
      </c>
      <c r="I1103" t="s">
        <v>123</v>
      </c>
      <c r="J1103" t="s">
        <v>214</v>
      </c>
      <c r="K1103" s="1">
        <v>0.37208859953703705</v>
      </c>
      <c r="L1103">
        <f>YEAR(Coffe_sales[[#This Row],[Date]])</f>
        <v>2024</v>
      </c>
    </row>
    <row r="1104" spans="1:12" x14ac:dyDescent="0.2">
      <c r="A1104" t="s">
        <v>20</v>
      </c>
      <c r="B1104" t="s">
        <v>12</v>
      </c>
      <c r="C1104">
        <v>23.02</v>
      </c>
      <c r="D1104" t="s">
        <v>24</v>
      </c>
      <c r="E1104" t="s">
        <v>22</v>
      </c>
      <c r="F1104" t="s">
        <v>50</v>
      </c>
      <c r="G1104" t="s">
        <v>207</v>
      </c>
      <c r="H1104" t="s">
        <v>18</v>
      </c>
      <c r="I1104" t="s">
        <v>123</v>
      </c>
      <c r="J1104" t="s">
        <v>214</v>
      </c>
      <c r="K1104" s="1">
        <v>0.50864351851851852</v>
      </c>
      <c r="L1104">
        <f>YEAR(Coffe_sales[[#This Row],[Date]])</f>
        <v>2024</v>
      </c>
    </row>
    <row r="1105" spans="1:12" x14ac:dyDescent="0.2">
      <c r="A1105" t="s">
        <v>20</v>
      </c>
      <c r="B1105" t="s">
        <v>12</v>
      </c>
      <c r="C1105">
        <v>23.02</v>
      </c>
      <c r="D1105" t="s">
        <v>24</v>
      </c>
      <c r="E1105" t="s">
        <v>22</v>
      </c>
      <c r="F1105" t="s">
        <v>50</v>
      </c>
      <c r="G1105" t="s">
        <v>207</v>
      </c>
      <c r="H1105" t="s">
        <v>18</v>
      </c>
      <c r="I1105" t="s">
        <v>123</v>
      </c>
      <c r="J1105" t="s">
        <v>214</v>
      </c>
      <c r="K1105" s="1">
        <v>0.50949842592592598</v>
      </c>
      <c r="L1105">
        <f>YEAR(Coffe_sales[[#This Row],[Date]])</f>
        <v>2024</v>
      </c>
    </row>
    <row r="1106" spans="1:12" x14ac:dyDescent="0.2">
      <c r="A1106" t="s">
        <v>23</v>
      </c>
      <c r="B1106" t="s">
        <v>12</v>
      </c>
      <c r="C1106">
        <v>18.12</v>
      </c>
      <c r="D1106" t="s">
        <v>45</v>
      </c>
      <c r="E1106" t="s">
        <v>22</v>
      </c>
      <c r="F1106" t="s">
        <v>50</v>
      </c>
      <c r="G1106" t="s">
        <v>207</v>
      </c>
      <c r="H1106" t="s">
        <v>18</v>
      </c>
      <c r="I1106" t="s">
        <v>123</v>
      </c>
      <c r="J1106" t="s">
        <v>214</v>
      </c>
      <c r="K1106" s="1">
        <v>0.54949253472222226</v>
      </c>
      <c r="L1106">
        <f>YEAR(Coffe_sales[[#This Row],[Date]])</f>
        <v>2024</v>
      </c>
    </row>
    <row r="1107" spans="1:12" x14ac:dyDescent="0.2">
      <c r="A1107" t="s">
        <v>27</v>
      </c>
      <c r="B1107" t="s">
        <v>12</v>
      </c>
      <c r="C1107">
        <v>23.02</v>
      </c>
      <c r="D1107" t="s">
        <v>24</v>
      </c>
      <c r="E1107" t="s">
        <v>22</v>
      </c>
      <c r="F1107" t="s">
        <v>50</v>
      </c>
      <c r="G1107" t="s">
        <v>207</v>
      </c>
      <c r="H1107" t="s">
        <v>18</v>
      </c>
      <c r="I1107" t="s">
        <v>123</v>
      </c>
      <c r="J1107" t="s">
        <v>214</v>
      </c>
      <c r="K1107" s="1">
        <v>0.67988028935185185</v>
      </c>
      <c r="L1107">
        <f>YEAR(Coffe_sales[[#This Row],[Date]])</f>
        <v>2024</v>
      </c>
    </row>
    <row r="1108" spans="1:12" x14ac:dyDescent="0.2">
      <c r="A1108" t="s">
        <v>30</v>
      </c>
      <c r="B1108" t="s">
        <v>12</v>
      </c>
      <c r="C1108">
        <v>32.82</v>
      </c>
      <c r="D1108" t="s">
        <v>13</v>
      </c>
      <c r="E1108" t="s">
        <v>29</v>
      </c>
      <c r="F1108" t="s">
        <v>50</v>
      </c>
      <c r="G1108" t="s">
        <v>207</v>
      </c>
      <c r="H1108" t="s">
        <v>18</v>
      </c>
      <c r="I1108" t="s">
        <v>123</v>
      </c>
      <c r="J1108" t="s">
        <v>214</v>
      </c>
      <c r="K1108" s="1">
        <v>0.81692984953703707</v>
      </c>
      <c r="L1108">
        <f>YEAR(Coffe_sales[[#This Row],[Date]])</f>
        <v>2024</v>
      </c>
    </row>
    <row r="1109" spans="1:12" x14ac:dyDescent="0.2">
      <c r="A1109" t="s">
        <v>91</v>
      </c>
      <c r="B1109" t="s">
        <v>12</v>
      </c>
      <c r="C1109">
        <v>32.82</v>
      </c>
      <c r="D1109" t="s">
        <v>31</v>
      </c>
      <c r="E1109" t="s">
        <v>29</v>
      </c>
      <c r="F1109" t="s">
        <v>50</v>
      </c>
      <c r="G1109" t="s">
        <v>207</v>
      </c>
      <c r="H1109" t="s">
        <v>18</v>
      </c>
      <c r="I1109" t="s">
        <v>123</v>
      </c>
      <c r="J1109" t="s">
        <v>214</v>
      </c>
      <c r="K1109" s="1">
        <v>0.86121853009259264</v>
      </c>
      <c r="L1109">
        <f>YEAR(Coffe_sales[[#This Row],[Date]])</f>
        <v>2024</v>
      </c>
    </row>
    <row r="1110" spans="1:12" x14ac:dyDescent="0.2">
      <c r="A1110" t="s">
        <v>131</v>
      </c>
      <c r="B1110" t="s">
        <v>12</v>
      </c>
      <c r="C1110">
        <v>32.82</v>
      </c>
      <c r="D1110" t="s">
        <v>52</v>
      </c>
      <c r="E1110" t="s">
        <v>29</v>
      </c>
      <c r="F1110" t="s">
        <v>50</v>
      </c>
      <c r="G1110" t="s">
        <v>207</v>
      </c>
      <c r="H1110" t="s">
        <v>18</v>
      </c>
      <c r="I1110" t="s">
        <v>123</v>
      </c>
      <c r="J1110" t="s">
        <v>214</v>
      </c>
      <c r="K1110" s="1">
        <v>0.8876387731481481</v>
      </c>
      <c r="L1110">
        <f>YEAR(Coffe_sales[[#This Row],[Date]])</f>
        <v>2024</v>
      </c>
    </row>
    <row r="1111" spans="1:12" x14ac:dyDescent="0.2">
      <c r="A1111" t="s">
        <v>125</v>
      </c>
      <c r="B1111" t="s">
        <v>12</v>
      </c>
      <c r="C1111">
        <v>32.82</v>
      </c>
      <c r="D1111" t="s">
        <v>13</v>
      </c>
      <c r="E1111" t="s">
        <v>29</v>
      </c>
      <c r="F1111" t="s">
        <v>50</v>
      </c>
      <c r="G1111" t="s">
        <v>207</v>
      </c>
      <c r="H1111" t="s">
        <v>18</v>
      </c>
      <c r="I1111" t="s">
        <v>123</v>
      </c>
      <c r="J1111" t="s">
        <v>214</v>
      </c>
      <c r="K1111" s="1">
        <v>0.93676719907407402</v>
      </c>
      <c r="L1111">
        <f>YEAR(Coffe_sales[[#This Row],[Date]])</f>
        <v>2024</v>
      </c>
    </row>
    <row r="1112" spans="1:12" x14ac:dyDescent="0.2">
      <c r="A1112" t="s">
        <v>125</v>
      </c>
      <c r="B1112" t="s">
        <v>12</v>
      </c>
      <c r="C1112">
        <v>32.82</v>
      </c>
      <c r="D1112" t="s">
        <v>13</v>
      </c>
      <c r="E1112" t="s">
        <v>29</v>
      </c>
      <c r="F1112" t="s">
        <v>50</v>
      </c>
      <c r="G1112" t="s">
        <v>207</v>
      </c>
      <c r="H1112" t="s">
        <v>18</v>
      </c>
      <c r="I1112" t="s">
        <v>123</v>
      </c>
      <c r="J1112" t="s">
        <v>214</v>
      </c>
      <c r="K1112" s="1">
        <v>0.9390737384259259</v>
      </c>
      <c r="L1112">
        <f>YEAR(Coffe_sales[[#This Row],[Date]])</f>
        <v>2024</v>
      </c>
    </row>
    <row r="1113" spans="1:12" x14ac:dyDescent="0.2">
      <c r="A1113" t="s">
        <v>123</v>
      </c>
      <c r="B1113" t="s">
        <v>12</v>
      </c>
      <c r="C1113">
        <v>18.12</v>
      </c>
      <c r="D1113" t="s">
        <v>45</v>
      </c>
      <c r="E1113" t="s">
        <v>14</v>
      </c>
      <c r="F1113" t="s">
        <v>53</v>
      </c>
      <c r="G1113" t="s">
        <v>207</v>
      </c>
      <c r="H1113" t="s">
        <v>54</v>
      </c>
      <c r="I1113" t="s">
        <v>123</v>
      </c>
      <c r="J1113" t="s">
        <v>215</v>
      </c>
      <c r="K1113" s="1">
        <v>0.36569680555555556</v>
      </c>
      <c r="L1113">
        <f>YEAR(Coffe_sales[[#This Row],[Date]])</f>
        <v>2024</v>
      </c>
    </row>
    <row r="1114" spans="1:12" x14ac:dyDescent="0.2">
      <c r="A1114" t="s">
        <v>123</v>
      </c>
      <c r="B1114" t="s">
        <v>12</v>
      </c>
      <c r="C1114">
        <v>23.02</v>
      </c>
      <c r="D1114" t="s">
        <v>41</v>
      </c>
      <c r="E1114" t="s">
        <v>14</v>
      </c>
      <c r="F1114" t="s">
        <v>53</v>
      </c>
      <c r="G1114" t="s">
        <v>207</v>
      </c>
      <c r="H1114" t="s">
        <v>54</v>
      </c>
      <c r="I1114" t="s">
        <v>123</v>
      </c>
      <c r="J1114" t="s">
        <v>215</v>
      </c>
      <c r="K1114" s="1">
        <v>0.36630423611111113</v>
      </c>
      <c r="L1114">
        <f>YEAR(Coffe_sales[[#This Row],[Date]])</f>
        <v>2024</v>
      </c>
    </row>
    <row r="1115" spans="1:12" x14ac:dyDescent="0.2">
      <c r="A1115" t="s">
        <v>20</v>
      </c>
      <c r="B1115" t="s">
        <v>12</v>
      </c>
      <c r="C1115">
        <v>27.92</v>
      </c>
      <c r="D1115" t="s">
        <v>26</v>
      </c>
      <c r="E1115" t="s">
        <v>22</v>
      </c>
      <c r="F1115" t="s">
        <v>53</v>
      </c>
      <c r="G1115" t="s">
        <v>207</v>
      </c>
      <c r="H1115" t="s">
        <v>54</v>
      </c>
      <c r="I1115" t="s">
        <v>123</v>
      </c>
      <c r="J1115" t="s">
        <v>215</v>
      </c>
      <c r="K1115" s="1">
        <v>0.51881218750000002</v>
      </c>
      <c r="L1115">
        <f>YEAR(Coffe_sales[[#This Row],[Date]])</f>
        <v>2024</v>
      </c>
    </row>
    <row r="1116" spans="1:12" x14ac:dyDescent="0.2">
      <c r="A1116" t="s">
        <v>20</v>
      </c>
      <c r="B1116" t="s">
        <v>12</v>
      </c>
      <c r="C1116">
        <v>23.02</v>
      </c>
      <c r="D1116" t="s">
        <v>41</v>
      </c>
      <c r="E1116" t="s">
        <v>22</v>
      </c>
      <c r="F1116" t="s">
        <v>53</v>
      </c>
      <c r="G1116" t="s">
        <v>207</v>
      </c>
      <c r="H1116" t="s">
        <v>54</v>
      </c>
      <c r="I1116" t="s">
        <v>123</v>
      </c>
      <c r="J1116" t="s">
        <v>215</v>
      </c>
      <c r="K1116" s="1">
        <v>0.53008747685185187</v>
      </c>
      <c r="L1116">
        <f>YEAR(Coffe_sales[[#This Row],[Date]])</f>
        <v>2024</v>
      </c>
    </row>
    <row r="1117" spans="1:12" x14ac:dyDescent="0.2">
      <c r="A1117" t="s">
        <v>20</v>
      </c>
      <c r="B1117" t="s">
        <v>12</v>
      </c>
      <c r="C1117">
        <v>23.02</v>
      </c>
      <c r="D1117" t="s">
        <v>41</v>
      </c>
      <c r="E1117" t="s">
        <v>22</v>
      </c>
      <c r="F1117" t="s">
        <v>53</v>
      </c>
      <c r="G1117" t="s">
        <v>207</v>
      </c>
      <c r="H1117" t="s">
        <v>54</v>
      </c>
      <c r="I1117" t="s">
        <v>123</v>
      </c>
      <c r="J1117" t="s">
        <v>215</v>
      </c>
      <c r="K1117" s="1">
        <v>0.53072862268518517</v>
      </c>
      <c r="L1117">
        <f>YEAR(Coffe_sales[[#This Row],[Date]])</f>
        <v>2024</v>
      </c>
    </row>
    <row r="1118" spans="1:12" x14ac:dyDescent="0.2">
      <c r="A1118" t="s">
        <v>27</v>
      </c>
      <c r="B1118" t="s">
        <v>12</v>
      </c>
      <c r="C1118">
        <v>32.82</v>
      </c>
      <c r="D1118" t="s">
        <v>52</v>
      </c>
      <c r="E1118" t="s">
        <v>22</v>
      </c>
      <c r="F1118" t="s">
        <v>53</v>
      </c>
      <c r="G1118" t="s">
        <v>207</v>
      </c>
      <c r="H1118" t="s">
        <v>54</v>
      </c>
      <c r="I1118" t="s">
        <v>123</v>
      </c>
      <c r="J1118" t="s">
        <v>215</v>
      </c>
      <c r="K1118" s="1">
        <v>0.70686650462962963</v>
      </c>
      <c r="L1118">
        <f>YEAR(Coffe_sales[[#This Row],[Date]])</f>
        <v>2024</v>
      </c>
    </row>
    <row r="1119" spans="1:12" x14ac:dyDescent="0.2">
      <c r="A1119" t="s">
        <v>37</v>
      </c>
      <c r="B1119" t="s">
        <v>12</v>
      </c>
      <c r="C1119">
        <v>32.82</v>
      </c>
      <c r="D1119" t="s">
        <v>52</v>
      </c>
      <c r="E1119" t="s">
        <v>29</v>
      </c>
      <c r="F1119" t="s">
        <v>53</v>
      </c>
      <c r="G1119" t="s">
        <v>207</v>
      </c>
      <c r="H1119" t="s">
        <v>54</v>
      </c>
      <c r="I1119" t="s">
        <v>123</v>
      </c>
      <c r="J1119" t="s">
        <v>215</v>
      </c>
      <c r="K1119" s="1">
        <v>0.7207378356481482</v>
      </c>
      <c r="L1119">
        <f>YEAR(Coffe_sales[[#This Row],[Date]])</f>
        <v>2024</v>
      </c>
    </row>
    <row r="1120" spans="1:12" x14ac:dyDescent="0.2">
      <c r="A1120" t="s">
        <v>131</v>
      </c>
      <c r="B1120" t="s">
        <v>12</v>
      </c>
      <c r="C1120">
        <v>27.92</v>
      </c>
      <c r="D1120" t="s">
        <v>26</v>
      </c>
      <c r="E1120" t="s">
        <v>29</v>
      </c>
      <c r="F1120" t="s">
        <v>53</v>
      </c>
      <c r="G1120" t="s">
        <v>207</v>
      </c>
      <c r="H1120" t="s">
        <v>54</v>
      </c>
      <c r="I1120" t="s">
        <v>123</v>
      </c>
      <c r="J1120" t="s">
        <v>215</v>
      </c>
      <c r="K1120" s="1">
        <v>0.89304704861111106</v>
      </c>
      <c r="L1120">
        <f>YEAR(Coffe_sales[[#This Row],[Date]])</f>
        <v>2024</v>
      </c>
    </row>
    <row r="1121" spans="1:12" x14ac:dyDescent="0.2">
      <c r="A1121" t="s">
        <v>39</v>
      </c>
      <c r="B1121" t="s">
        <v>12</v>
      </c>
      <c r="C1121">
        <v>32.82</v>
      </c>
      <c r="D1121" t="s">
        <v>13</v>
      </c>
      <c r="E1121" t="s">
        <v>14</v>
      </c>
      <c r="F1121" t="s">
        <v>15</v>
      </c>
      <c r="G1121" t="s">
        <v>207</v>
      </c>
      <c r="H1121" t="s">
        <v>17</v>
      </c>
      <c r="I1121" t="s">
        <v>123</v>
      </c>
      <c r="J1121" t="s">
        <v>216</v>
      </c>
      <c r="K1121" s="1">
        <v>0.31623078703703705</v>
      </c>
      <c r="L1121">
        <f>YEAR(Coffe_sales[[#This Row],[Date]])</f>
        <v>2024</v>
      </c>
    </row>
    <row r="1122" spans="1:12" x14ac:dyDescent="0.2">
      <c r="A1122" t="s">
        <v>46</v>
      </c>
      <c r="B1122" t="s">
        <v>12</v>
      </c>
      <c r="C1122">
        <v>23.02</v>
      </c>
      <c r="D1122" t="s">
        <v>24</v>
      </c>
      <c r="E1122" t="s">
        <v>14</v>
      </c>
      <c r="F1122" t="s">
        <v>15</v>
      </c>
      <c r="G1122" t="s">
        <v>207</v>
      </c>
      <c r="H1122" t="s">
        <v>17</v>
      </c>
      <c r="I1122" t="s">
        <v>123</v>
      </c>
      <c r="J1122" t="s">
        <v>216</v>
      </c>
      <c r="K1122" s="1">
        <v>0.41220547453703704</v>
      </c>
      <c r="L1122">
        <f>YEAR(Coffe_sales[[#This Row],[Date]])</f>
        <v>2024</v>
      </c>
    </row>
    <row r="1123" spans="1:12" x14ac:dyDescent="0.2">
      <c r="A1123" t="s">
        <v>11</v>
      </c>
      <c r="B1123" t="s">
        <v>12</v>
      </c>
      <c r="C1123">
        <v>23.02</v>
      </c>
      <c r="D1123" t="s">
        <v>41</v>
      </c>
      <c r="E1123" t="s">
        <v>14</v>
      </c>
      <c r="F1123" t="s">
        <v>15</v>
      </c>
      <c r="G1123" t="s">
        <v>207</v>
      </c>
      <c r="H1123" t="s">
        <v>17</v>
      </c>
      <c r="I1123" t="s">
        <v>123</v>
      </c>
      <c r="J1123" t="s">
        <v>216</v>
      </c>
      <c r="K1123" s="1">
        <v>0.42578167824074076</v>
      </c>
      <c r="L1123">
        <f>YEAR(Coffe_sales[[#This Row],[Date]])</f>
        <v>2024</v>
      </c>
    </row>
    <row r="1124" spans="1:12" x14ac:dyDescent="0.2">
      <c r="A1124" t="s">
        <v>11</v>
      </c>
      <c r="B1124" t="s">
        <v>12</v>
      </c>
      <c r="C1124">
        <v>27.92</v>
      </c>
      <c r="D1124" t="s">
        <v>26</v>
      </c>
      <c r="E1124" t="s">
        <v>14</v>
      </c>
      <c r="F1124" t="s">
        <v>15</v>
      </c>
      <c r="G1124" t="s">
        <v>207</v>
      </c>
      <c r="H1124" t="s">
        <v>17</v>
      </c>
      <c r="I1124" t="s">
        <v>123</v>
      </c>
      <c r="J1124" t="s">
        <v>216</v>
      </c>
      <c r="K1124" s="1">
        <v>0.4352682175925926</v>
      </c>
      <c r="L1124">
        <f>YEAR(Coffe_sales[[#This Row],[Date]])</f>
        <v>2024</v>
      </c>
    </row>
    <row r="1125" spans="1:12" x14ac:dyDescent="0.2">
      <c r="A1125" t="s">
        <v>35</v>
      </c>
      <c r="B1125" t="s">
        <v>12</v>
      </c>
      <c r="C1125">
        <v>32.82</v>
      </c>
      <c r="D1125" t="s">
        <v>13</v>
      </c>
      <c r="E1125" t="s">
        <v>14</v>
      </c>
      <c r="F1125" t="s">
        <v>15</v>
      </c>
      <c r="G1125" t="s">
        <v>207</v>
      </c>
      <c r="H1125" t="s">
        <v>17</v>
      </c>
      <c r="I1125" t="s">
        <v>123</v>
      </c>
      <c r="J1125" t="s">
        <v>216</v>
      </c>
      <c r="K1125" s="1">
        <v>0.47787872685185184</v>
      </c>
      <c r="L1125">
        <f>YEAR(Coffe_sales[[#This Row],[Date]])</f>
        <v>2024</v>
      </c>
    </row>
    <row r="1126" spans="1:12" x14ac:dyDescent="0.2">
      <c r="A1126" t="s">
        <v>35</v>
      </c>
      <c r="B1126" t="s">
        <v>12</v>
      </c>
      <c r="C1126">
        <v>23.02</v>
      </c>
      <c r="D1126" t="s">
        <v>24</v>
      </c>
      <c r="E1126" t="s">
        <v>14</v>
      </c>
      <c r="F1126" t="s">
        <v>15</v>
      </c>
      <c r="G1126" t="s">
        <v>207</v>
      </c>
      <c r="H1126" t="s">
        <v>17</v>
      </c>
      <c r="I1126" t="s">
        <v>123</v>
      </c>
      <c r="J1126" t="s">
        <v>216</v>
      </c>
      <c r="K1126" s="1">
        <v>0.47903567129629632</v>
      </c>
      <c r="L1126">
        <f>YEAR(Coffe_sales[[#This Row],[Date]])</f>
        <v>2024</v>
      </c>
    </row>
    <row r="1127" spans="1:12" x14ac:dyDescent="0.2">
      <c r="A1127" t="s">
        <v>28</v>
      </c>
      <c r="B1127" t="s">
        <v>12</v>
      </c>
      <c r="C1127">
        <v>23.02</v>
      </c>
      <c r="D1127" t="s">
        <v>24</v>
      </c>
      <c r="E1127" t="s">
        <v>29</v>
      </c>
      <c r="F1127" t="s">
        <v>15</v>
      </c>
      <c r="G1127" t="s">
        <v>207</v>
      </c>
      <c r="H1127" t="s">
        <v>17</v>
      </c>
      <c r="I1127" t="s">
        <v>123</v>
      </c>
      <c r="J1127" t="s">
        <v>216</v>
      </c>
      <c r="K1127" s="1">
        <v>0.78920962962962959</v>
      </c>
      <c r="L1127">
        <f>YEAR(Coffe_sales[[#This Row],[Date]])</f>
        <v>2024</v>
      </c>
    </row>
    <row r="1128" spans="1:12" x14ac:dyDescent="0.2">
      <c r="A1128" t="s">
        <v>30</v>
      </c>
      <c r="B1128" t="s">
        <v>12</v>
      </c>
      <c r="C1128">
        <v>32.82</v>
      </c>
      <c r="D1128" t="s">
        <v>21</v>
      </c>
      <c r="E1128" t="s">
        <v>29</v>
      </c>
      <c r="F1128" t="s">
        <v>15</v>
      </c>
      <c r="G1128" t="s">
        <v>207</v>
      </c>
      <c r="H1128" t="s">
        <v>17</v>
      </c>
      <c r="I1128" t="s">
        <v>123</v>
      </c>
      <c r="J1128" t="s">
        <v>216</v>
      </c>
      <c r="K1128" s="1">
        <v>0.7938265162037037</v>
      </c>
      <c r="L1128">
        <f>YEAR(Coffe_sales[[#This Row],[Date]])</f>
        <v>2024</v>
      </c>
    </row>
    <row r="1129" spans="1:12" x14ac:dyDescent="0.2">
      <c r="A1129" t="s">
        <v>123</v>
      </c>
      <c r="B1129" t="s">
        <v>12</v>
      </c>
      <c r="C1129">
        <v>32.82</v>
      </c>
      <c r="D1129" t="s">
        <v>52</v>
      </c>
      <c r="E1129" t="s">
        <v>14</v>
      </c>
      <c r="F1129" t="s">
        <v>32</v>
      </c>
      <c r="G1129" t="s">
        <v>207</v>
      </c>
      <c r="H1129" t="s">
        <v>33</v>
      </c>
      <c r="I1129" t="s">
        <v>123</v>
      </c>
      <c r="J1129" t="s">
        <v>217</v>
      </c>
      <c r="K1129" s="1">
        <v>0.35884986111111111</v>
      </c>
      <c r="L1129">
        <f>YEAR(Coffe_sales[[#This Row],[Date]])</f>
        <v>2024</v>
      </c>
    </row>
    <row r="1130" spans="1:12" x14ac:dyDescent="0.2">
      <c r="A1130" t="s">
        <v>123</v>
      </c>
      <c r="B1130" t="s">
        <v>12</v>
      </c>
      <c r="C1130">
        <v>27.92</v>
      </c>
      <c r="D1130" t="s">
        <v>26</v>
      </c>
      <c r="E1130" t="s">
        <v>14</v>
      </c>
      <c r="F1130" t="s">
        <v>32</v>
      </c>
      <c r="G1130" t="s">
        <v>207</v>
      </c>
      <c r="H1130" t="s">
        <v>33</v>
      </c>
      <c r="I1130" t="s">
        <v>123</v>
      </c>
      <c r="J1130" t="s">
        <v>217</v>
      </c>
      <c r="K1130" s="1">
        <v>0.35968829861111112</v>
      </c>
      <c r="L1130">
        <f>YEAR(Coffe_sales[[#This Row],[Date]])</f>
        <v>2024</v>
      </c>
    </row>
    <row r="1131" spans="1:12" x14ac:dyDescent="0.2">
      <c r="A1131" t="s">
        <v>123</v>
      </c>
      <c r="B1131" t="s">
        <v>12</v>
      </c>
      <c r="C1131">
        <v>23.02</v>
      </c>
      <c r="D1131" t="s">
        <v>41</v>
      </c>
      <c r="E1131" t="s">
        <v>14</v>
      </c>
      <c r="F1131" t="s">
        <v>32</v>
      </c>
      <c r="G1131" t="s">
        <v>207</v>
      </c>
      <c r="H1131" t="s">
        <v>33</v>
      </c>
      <c r="I1131" t="s">
        <v>123</v>
      </c>
      <c r="J1131" t="s">
        <v>217</v>
      </c>
      <c r="K1131" s="1">
        <v>0.36468771990740739</v>
      </c>
      <c r="L1131">
        <f>YEAR(Coffe_sales[[#This Row],[Date]])</f>
        <v>2024</v>
      </c>
    </row>
    <row r="1132" spans="1:12" x14ac:dyDescent="0.2">
      <c r="A1132" t="s">
        <v>35</v>
      </c>
      <c r="B1132" t="s">
        <v>12</v>
      </c>
      <c r="C1132">
        <v>23.02</v>
      </c>
      <c r="D1132" t="s">
        <v>41</v>
      </c>
      <c r="E1132" t="s">
        <v>14</v>
      </c>
      <c r="F1132" t="s">
        <v>32</v>
      </c>
      <c r="G1132" t="s">
        <v>207</v>
      </c>
      <c r="H1132" t="s">
        <v>33</v>
      </c>
      <c r="I1132" t="s">
        <v>123</v>
      </c>
      <c r="J1132" t="s">
        <v>217</v>
      </c>
      <c r="K1132" s="1">
        <v>0.49483606481481479</v>
      </c>
      <c r="L1132">
        <f>YEAR(Coffe_sales[[#This Row],[Date]])</f>
        <v>2024</v>
      </c>
    </row>
    <row r="1133" spans="1:12" x14ac:dyDescent="0.2">
      <c r="A1133" t="s">
        <v>35</v>
      </c>
      <c r="B1133" t="s">
        <v>12</v>
      </c>
      <c r="C1133">
        <v>23.02</v>
      </c>
      <c r="D1133" t="s">
        <v>24</v>
      </c>
      <c r="E1133" t="s">
        <v>14</v>
      </c>
      <c r="F1133" t="s">
        <v>32</v>
      </c>
      <c r="G1133" t="s">
        <v>207</v>
      </c>
      <c r="H1133" t="s">
        <v>33</v>
      </c>
      <c r="I1133" t="s">
        <v>123</v>
      </c>
      <c r="J1133" t="s">
        <v>217</v>
      </c>
      <c r="K1133" s="1">
        <v>0.49610571759259259</v>
      </c>
      <c r="L1133">
        <f>YEAR(Coffe_sales[[#This Row],[Date]])</f>
        <v>2024</v>
      </c>
    </row>
    <row r="1134" spans="1:12" x14ac:dyDescent="0.2">
      <c r="A1134" t="s">
        <v>20</v>
      </c>
      <c r="B1134" t="s">
        <v>12</v>
      </c>
      <c r="C1134">
        <v>32.82</v>
      </c>
      <c r="D1134" t="s">
        <v>13</v>
      </c>
      <c r="E1134" t="s">
        <v>22</v>
      </c>
      <c r="F1134" t="s">
        <v>32</v>
      </c>
      <c r="G1134" t="s">
        <v>207</v>
      </c>
      <c r="H1134" t="s">
        <v>33</v>
      </c>
      <c r="I1134" t="s">
        <v>123</v>
      </c>
      <c r="J1134" t="s">
        <v>217</v>
      </c>
      <c r="K1134" s="1">
        <v>0.51054313657407402</v>
      </c>
      <c r="L1134">
        <f>YEAR(Coffe_sales[[#This Row],[Date]])</f>
        <v>2024</v>
      </c>
    </row>
    <row r="1135" spans="1:12" x14ac:dyDescent="0.2">
      <c r="A1135" t="s">
        <v>20</v>
      </c>
      <c r="B1135" t="s">
        <v>12</v>
      </c>
      <c r="C1135">
        <v>27.92</v>
      </c>
      <c r="D1135" t="s">
        <v>26</v>
      </c>
      <c r="E1135" t="s">
        <v>22</v>
      </c>
      <c r="F1135" t="s">
        <v>32</v>
      </c>
      <c r="G1135" t="s">
        <v>207</v>
      </c>
      <c r="H1135" t="s">
        <v>33</v>
      </c>
      <c r="I1135" t="s">
        <v>123</v>
      </c>
      <c r="J1135" t="s">
        <v>217</v>
      </c>
      <c r="K1135" s="1">
        <v>0.52306081018518513</v>
      </c>
      <c r="L1135">
        <f>YEAR(Coffe_sales[[#This Row],[Date]])</f>
        <v>2024</v>
      </c>
    </row>
    <row r="1136" spans="1:12" x14ac:dyDescent="0.2">
      <c r="A1136" t="s">
        <v>27</v>
      </c>
      <c r="B1136" t="s">
        <v>12</v>
      </c>
      <c r="C1136">
        <v>32.82</v>
      </c>
      <c r="D1136" t="s">
        <v>13</v>
      </c>
      <c r="E1136" t="s">
        <v>22</v>
      </c>
      <c r="F1136" t="s">
        <v>32</v>
      </c>
      <c r="G1136" t="s">
        <v>207</v>
      </c>
      <c r="H1136" t="s">
        <v>33</v>
      </c>
      <c r="I1136" t="s">
        <v>123</v>
      </c>
      <c r="J1136" t="s">
        <v>217</v>
      </c>
      <c r="K1136" s="1">
        <v>0.67097320601851851</v>
      </c>
      <c r="L1136">
        <f>YEAR(Coffe_sales[[#This Row],[Date]])</f>
        <v>2024</v>
      </c>
    </row>
    <row r="1137" spans="1:12" x14ac:dyDescent="0.2">
      <c r="A1137" t="s">
        <v>131</v>
      </c>
      <c r="B1137" t="s">
        <v>12</v>
      </c>
      <c r="C1137">
        <v>32.82</v>
      </c>
      <c r="D1137" t="s">
        <v>31</v>
      </c>
      <c r="E1137" t="s">
        <v>29</v>
      </c>
      <c r="F1137" t="s">
        <v>32</v>
      </c>
      <c r="G1137" t="s">
        <v>207</v>
      </c>
      <c r="H1137" t="s">
        <v>33</v>
      </c>
      <c r="I1137" t="s">
        <v>123</v>
      </c>
      <c r="J1137" t="s">
        <v>217</v>
      </c>
      <c r="K1137" s="1">
        <v>0.8866731712962963</v>
      </c>
      <c r="L1137">
        <f>YEAR(Coffe_sales[[#This Row],[Date]])</f>
        <v>2024</v>
      </c>
    </row>
    <row r="1138" spans="1:12" x14ac:dyDescent="0.2">
      <c r="A1138" t="s">
        <v>131</v>
      </c>
      <c r="B1138" t="s">
        <v>12</v>
      </c>
      <c r="C1138">
        <v>32.82</v>
      </c>
      <c r="D1138" t="s">
        <v>31</v>
      </c>
      <c r="E1138" t="s">
        <v>29</v>
      </c>
      <c r="F1138" t="s">
        <v>32</v>
      </c>
      <c r="G1138" t="s">
        <v>207</v>
      </c>
      <c r="H1138" t="s">
        <v>33</v>
      </c>
      <c r="I1138" t="s">
        <v>123</v>
      </c>
      <c r="J1138" t="s">
        <v>217</v>
      </c>
      <c r="K1138" s="1">
        <v>0.88728109953703704</v>
      </c>
      <c r="L1138">
        <f>YEAR(Coffe_sales[[#This Row],[Date]])</f>
        <v>2024</v>
      </c>
    </row>
    <row r="1139" spans="1:12" x14ac:dyDescent="0.2">
      <c r="A1139" t="s">
        <v>131</v>
      </c>
      <c r="B1139" t="s">
        <v>12</v>
      </c>
      <c r="C1139">
        <v>32.82</v>
      </c>
      <c r="D1139" t="s">
        <v>31</v>
      </c>
      <c r="E1139" t="s">
        <v>29</v>
      </c>
      <c r="F1139" t="s">
        <v>32</v>
      </c>
      <c r="G1139" t="s">
        <v>207</v>
      </c>
      <c r="H1139" t="s">
        <v>33</v>
      </c>
      <c r="I1139" t="s">
        <v>123</v>
      </c>
      <c r="J1139" t="s">
        <v>217</v>
      </c>
      <c r="K1139" s="1">
        <v>0.90117496527777774</v>
      </c>
      <c r="L1139">
        <f>YEAR(Coffe_sales[[#This Row],[Date]])</f>
        <v>2024</v>
      </c>
    </row>
    <row r="1140" spans="1:12" x14ac:dyDescent="0.2">
      <c r="A1140" t="s">
        <v>46</v>
      </c>
      <c r="B1140" t="s">
        <v>12</v>
      </c>
      <c r="C1140">
        <v>32.82</v>
      </c>
      <c r="D1140" t="s">
        <v>13</v>
      </c>
      <c r="E1140" t="s">
        <v>14</v>
      </c>
      <c r="F1140" t="s">
        <v>38</v>
      </c>
      <c r="G1140" t="s">
        <v>207</v>
      </c>
      <c r="H1140" t="s">
        <v>39</v>
      </c>
      <c r="I1140" t="s">
        <v>123</v>
      </c>
      <c r="J1140" t="s">
        <v>218</v>
      </c>
      <c r="K1140" s="1">
        <v>0.41153460648148149</v>
      </c>
      <c r="L1140">
        <f>YEAR(Coffe_sales[[#This Row],[Date]])</f>
        <v>2024</v>
      </c>
    </row>
    <row r="1141" spans="1:12" x14ac:dyDescent="0.2">
      <c r="A1141" t="s">
        <v>46</v>
      </c>
      <c r="B1141" t="s">
        <v>12</v>
      </c>
      <c r="C1141">
        <v>32.82</v>
      </c>
      <c r="D1141" t="s">
        <v>13</v>
      </c>
      <c r="E1141" t="s">
        <v>14</v>
      </c>
      <c r="F1141" t="s">
        <v>38</v>
      </c>
      <c r="G1141" t="s">
        <v>207</v>
      </c>
      <c r="H1141" t="s">
        <v>39</v>
      </c>
      <c r="I1141" t="s">
        <v>123</v>
      </c>
      <c r="J1141" t="s">
        <v>218</v>
      </c>
      <c r="K1141" s="1">
        <v>0.41230976851851853</v>
      </c>
      <c r="L1141">
        <f>YEAR(Coffe_sales[[#This Row],[Date]])</f>
        <v>2024</v>
      </c>
    </row>
    <row r="1142" spans="1:12" x14ac:dyDescent="0.2">
      <c r="A1142" t="s">
        <v>11</v>
      </c>
      <c r="B1142" t="s">
        <v>12</v>
      </c>
      <c r="C1142">
        <v>27.92</v>
      </c>
      <c r="D1142" t="s">
        <v>26</v>
      </c>
      <c r="E1142" t="s">
        <v>14</v>
      </c>
      <c r="F1142" t="s">
        <v>38</v>
      </c>
      <c r="G1142" t="s">
        <v>207</v>
      </c>
      <c r="H1142" t="s">
        <v>39</v>
      </c>
      <c r="I1142" t="s">
        <v>123</v>
      </c>
      <c r="J1142" t="s">
        <v>218</v>
      </c>
      <c r="K1142" s="1">
        <v>0.42874578703703703</v>
      </c>
      <c r="L1142">
        <f>YEAR(Coffe_sales[[#This Row],[Date]])</f>
        <v>2024</v>
      </c>
    </row>
    <row r="1143" spans="1:12" x14ac:dyDescent="0.2">
      <c r="A1143" t="s">
        <v>35</v>
      </c>
      <c r="B1143" t="s">
        <v>12</v>
      </c>
      <c r="C1143">
        <v>32.82</v>
      </c>
      <c r="D1143" t="s">
        <v>52</v>
      </c>
      <c r="E1143" t="s">
        <v>14</v>
      </c>
      <c r="F1143" t="s">
        <v>38</v>
      </c>
      <c r="G1143" t="s">
        <v>207</v>
      </c>
      <c r="H1143" t="s">
        <v>39</v>
      </c>
      <c r="I1143" t="s">
        <v>123</v>
      </c>
      <c r="J1143" t="s">
        <v>218</v>
      </c>
      <c r="K1143" s="1">
        <v>0.49769842592592595</v>
      </c>
      <c r="L1143">
        <f>YEAR(Coffe_sales[[#This Row],[Date]])</f>
        <v>2024</v>
      </c>
    </row>
    <row r="1144" spans="1:12" x14ac:dyDescent="0.2">
      <c r="A1144" t="s">
        <v>35</v>
      </c>
      <c r="B1144" t="s">
        <v>12</v>
      </c>
      <c r="C1144">
        <v>27.92</v>
      </c>
      <c r="D1144" t="s">
        <v>26</v>
      </c>
      <c r="E1144" t="s">
        <v>14</v>
      </c>
      <c r="F1144" t="s">
        <v>38</v>
      </c>
      <c r="G1144" t="s">
        <v>207</v>
      </c>
      <c r="H1144" t="s">
        <v>39</v>
      </c>
      <c r="I1144" t="s">
        <v>123</v>
      </c>
      <c r="J1144" t="s">
        <v>218</v>
      </c>
      <c r="K1144" s="1">
        <v>0.49839431712962962</v>
      </c>
      <c r="L1144">
        <f>YEAR(Coffe_sales[[#This Row],[Date]])</f>
        <v>2024</v>
      </c>
    </row>
    <row r="1145" spans="1:12" x14ac:dyDescent="0.2">
      <c r="A1145" t="s">
        <v>20</v>
      </c>
      <c r="B1145" t="s">
        <v>12</v>
      </c>
      <c r="C1145">
        <v>23.02</v>
      </c>
      <c r="D1145" t="s">
        <v>41</v>
      </c>
      <c r="E1145" t="s">
        <v>22</v>
      </c>
      <c r="F1145" t="s">
        <v>38</v>
      </c>
      <c r="G1145" t="s">
        <v>207</v>
      </c>
      <c r="H1145" t="s">
        <v>39</v>
      </c>
      <c r="I1145" t="s">
        <v>123</v>
      </c>
      <c r="J1145" t="s">
        <v>218</v>
      </c>
      <c r="K1145" s="1">
        <v>0.51411539351851854</v>
      </c>
      <c r="L1145">
        <f>YEAR(Coffe_sales[[#This Row],[Date]])</f>
        <v>2024</v>
      </c>
    </row>
    <row r="1146" spans="1:12" x14ac:dyDescent="0.2">
      <c r="A1146" t="s">
        <v>25</v>
      </c>
      <c r="B1146" t="s">
        <v>12</v>
      </c>
      <c r="C1146">
        <v>32.82</v>
      </c>
      <c r="D1146" t="s">
        <v>13</v>
      </c>
      <c r="E1146" t="s">
        <v>22</v>
      </c>
      <c r="F1146" t="s">
        <v>38</v>
      </c>
      <c r="G1146" t="s">
        <v>207</v>
      </c>
      <c r="H1146" t="s">
        <v>39</v>
      </c>
      <c r="I1146" t="s">
        <v>123</v>
      </c>
      <c r="J1146" t="s">
        <v>218</v>
      </c>
      <c r="K1146" s="1">
        <v>0.66240222222222223</v>
      </c>
      <c r="L1146">
        <f>YEAR(Coffe_sales[[#This Row],[Date]])</f>
        <v>2024</v>
      </c>
    </row>
    <row r="1147" spans="1:12" x14ac:dyDescent="0.2">
      <c r="A1147" t="s">
        <v>25</v>
      </c>
      <c r="B1147" t="s">
        <v>12</v>
      </c>
      <c r="C1147">
        <v>27.92</v>
      </c>
      <c r="D1147" t="s">
        <v>26</v>
      </c>
      <c r="E1147" t="s">
        <v>22</v>
      </c>
      <c r="F1147" t="s">
        <v>38</v>
      </c>
      <c r="G1147" t="s">
        <v>207</v>
      </c>
      <c r="H1147" t="s">
        <v>39</v>
      </c>
      <c r="I1147" t="s">
        <v>123</v>
      </c>
      <c r="J1147" t="s">
        <v>218</v>
      </c>
      <c r="K1147" s="1">
        <v>0.66336635416666667</v>
      </c>
      <c r="L1147">
        <f>YEAR(Coffe_sales[[#This Row],[Date]])</f>
        <v>2024</v>
      </c>
    </row>
    <row r="1148" spans="1:12" x14ac:dyDescent="0.2">
      <c r="A1148" t="s">
        <v>25</v>
      </c>
      <c r="B1148" t="s">
        <v>12</v>
      </c>
      <c r="C1148">
        <v>32.82</v>
      </c>
      <c r="D1148" t="s">
        <v>31</v>
      </c>
      <c r="E1148" t="s">
        <v>22</v>
      </c>
      <c r="F1148" t="s">
        <v>38</v>
      </c>
      <c r="G1148" t="s">
        <v>207</v>
      </c>
      <c r="H1148" t="s">
        <v>39</v>
      </c>
      <c r="I1148" t="s">
        <v>123</v>
      </c>
      <c r="J1148" t="s">
        <v>218</v>
      </c>
      <c r="K1148" s="1">
        <v>0.66420945601851855</v>
      </c>
      <c r="L1148">
        <f>YEAR(Coffe_sales[[#This Row],[Date]])</f>
        <v>2024</v>
      </c>
    </row>
    <row r="1149" spans="1:12" x14ac:dyDescent="0.2">
      <c r="A1149" t="s">
        <v>27</v>
      </c>
      <c r="B1149" t="s">
        <v>12</v>
      </c>
      <c r="C1149">
        <v>32.82</v>
      </c>
      <c r="D1149" t="s">
        <v>52</v>
      </c>
      <c r="E1149" t="s">
        <v>22</v>
      </c>
      <c r="F1149" t="s">
        <v>38</v>
      </c>
      <c r="G1149" t="s">
        <v>207</v>
      </c>
      <c r="H1149" t="s">
        <v>39</v>
      </c>
      <c r="I1149" t="s">
        <v>123</v>
      </c>
      <c r="J1149" t="s">
        <v>218</v>
      </c>
      <c r="K1149" s="1">
        <v>0.68582321759259257</v>
      </c>
      <c r="L1149">
        <f>YEAR(Coffe_sales[[#This Row],[Date]])</f>
        <v>2024</v>
      </c>
    </row>
    <row r="1150" spans="1:12" x14ac:dyDescent="0.2">
      <c r="A1150" t="s">
        <v>27</v>
      </c>
      <c r="B1150" t="s">
        <v>12</v>
      </c>
      <c r="C1150">
        <v>18.12</v>
      </c>
      <c r="D1150" t="s">
        <v>45</v>
      </c>
      <c r="E1150" t="s">
        <v>22</v>
      </c>
      <c r="F1150" t="s">
        <v>38</v>
      </c>
      <c r="G1150" t="s">
        <v>207</v>
      </c>
      <c r="H1150" t="s">
        <v>39</v>
      </c>
      <c r="I1150" t="s">
        <v>123</v>
      </c>
      <c r="J1150" t="s">
        <v>218</v>
      </c>
      <c r="K1150" s="1">
        <v>0.68655435185185187</v>
      </c>
      <c r="L1150">
        <f>YEAR(Coffe_sales[[#This Row],[Date]])</f>
        <v>2024</v>
      </c>
    </row>
    <row r="1151" spans="1:12" x14ac:dyDescent="0.2">
      <c r="A1151" t="s">
        <v>131</v>
      </c>
      <c r="B1151" t="s">
        <v>12</v>
      </c>
      <c r="C1151">
        <v>23.02</v>
      </c>
      <c r="D1151" t="s">
        <v>41</v>
      </c>
      <c r="E1151" t="s">
        <v>29</v>
      </c>
      <c r="F1151" t="s">
        <v>38</v>
      </c>
      <c r="G1151" t="s">
        <v>207</v>
      </c>
      <c r="H1151" t="s">
        <v>39</v>
      </c>
      <c r="I1151" t="s">
        <v>123</v>
      </c>
      <c r="J1151" t="s">
        <v>218</v>
      </c>
      <c r="K1151" s="1">
        <v>0.89621005787037034</v>
      </c>
      <c r="L1151">
        <f>YEAR(Coffe_sales[[#This Row],[Date]])</f>
        <v>2024</v>
      </c>
    </row>
    <row r="1152" spans="1:12" x14ac:dyDescent="0.2">
      <c r="A1152" t="s">
        <v>131</v>
      </c>
      <c r="B1152" t="s">
        <v>12</v>
      </c>
      <c r="C1152">
        <v>32.82</v>
      </c>
      <c r="D1152" t="s">
        <v>13</v>
      </c>
      <c r="E1152" t="s">
        <v>29</v>
      </c>
      <c r="F1152" t="s">
        <v>38</v>
      </c>
      <c r="G1152" t="s">
        <v>207</v>
      </c>
      <c r="H1152" t="s">
        <v>39</v>
      </c>
      <c r="I1152" t="s">
        <v>123</v>
      </c>
      <c r="J1152" t="s">
        <v>218</v>
      </c>
      <c r="K1152" s="1">
        <v>0.90357719907407408</v>
      </c>
      <c r="L1152">
        <f>YEAR(Coffe_sales[[#This Row],[Date]])</f>
        <v>2024</v>
      </c>
    </row>
    <row r="1153" spans="1:12" x14ac:dyDescent="0.2">
      <c r="A1153" t="s">
        <v>131</v>
      </c>
      <c r="B1153" t="s">
        <v>12</v>
      </c>
      <c r="C1153">
        <v>32.82</v>
      </c>
      <c r="D1153" t="s">
        <v>13</v>
      </c>
      <c r="E1153" t="s">
        <v>29</v>
      </c>
      <c r="F1153" t="s">
        <v>38</v>
      </c>
      <c r="G1153" t="s">
        <v>207</v>
      </c>
      <c r="H1153" t="s">
        <v>39</v>
      </c>
      <c r="I1153" t="s">
        <v>123</v>
      </c>
      <c r="J1153" t="s">
        <v>218</v>
      </c>
      <c r="K1153" s="1">
        <v>0.9049781018518519</v>
      </c>
      <c r="L1153">
        <f>YEAR(Coffe_sales[[#This Row],[Date]])</f>
        <v>2024</v>
      </c>
    </row>
    <row r="1154" spans="1:12" x14ac:dyDescent="0.2">
      <c r="A1154" t="s">
        <v>125</v>
      </c>
      <c r="B1154" t="s">
        <v>12</v>
      </c>
      <c r="C1154">
        <v>32.82</v>
      </c>
      <c r="D1154" t="s">
        <v>52</v>
      </c>
      <c r="E1154" t="s">
        <v>29</v>
      </c>
      <c r="F1154" t="s">
        <v>38</v>
      </c>
      <c r="G1154" t="s">
        <v>207</v>
      </c>
      <c r="H1154" t="s">
        <v>39</v>
      </c>
      <c r="I1154" t="s">
        <v>123</v>
      </c>
      <c r="J1154" t="s">
        <v>218</v>
      </c>
      <c r="K1154" s="1">
        <v>0.94409621527777776</v>
      </c>
      <c r="L1154">
        <f>YEAR(Coffe_sales[[#This Row],[Date]])</f>
        <v>2024</v>
      </c>
    </row>
    <row r="1155" spans="1:12" x14ac:dyDescent="0.2">
      <c r="A1155" t="s">
        <v>123</v>
      </c>
      <c r="B1155" t="s">
        <v>12</v>
      </c>
      <c r="C1155">
        <v>32.82</v>
      </c>
      <c r="D1155" t="s">
        <v>21</v>
      </c>
      <c r="E1155" t="s">
        <v>14</v>
      </c>
      <c r="F1155" t="s">
        <v>42</v>
      </c>
      <c r="G1155" t="s">
        <v>207</v>
      </c>
      <c r="H1155" t="s">
        <v>43</v>
      </c>
      <c r="I1155" t="s">
        <v>123</v>
      </c>
      <c r="J1155" t="s">
        <v>219</v>
      </c>
      <c r="K1155" s="1">
        <v>0.3516140972222222</v>
      </c>
      <c r="L1155">
        <f>YEAR(Coffe_sales[[#This Row],[Date]])</f>
        <v>2024</v>
      </c>
    </row>
    <row r="1156" spans="1:12" x14ac:dyDescent="0.2">
      <c r="A1156" t="s">
        <v>35</v>
      </c>
      <c r="B1156" t="s">
        <v>12</v>
      </c>
      <c r="C1156">
        <v>27.92</v>
      </c>
      <c r="D1156" t="s">
        <v>26</v>
      </c>
      <c r="E1156" t="s">
        <v>14</v>
      </c>
      <c r="F1156" t="s">
        <v>42</v>
      </c>
      <c r="G1156" t="s">
        <v>207</v>
      </c>
      <c r="H1156" t="s">
        <v>43</v>
      </c>
      <c r="I1156" t="s">
        <v>123</v>
      </c>
      <c r="J1156" t="s">
        <v>219</v>
      </c>
      <c r="K1156" s="1">
        <v>0.46880521990740742</v>
      </c>
      <c r="L1156">
        <f>YEAR(Coffe_sales[[#This Row],[Date]])</f>
        <v>2024</v>
      </c>
    </row>
    <row r="1157" spans="1:12" x14ac:dyDescent="0.2">
      <c r="A1157" t="s">
        <v>35</v>
      </c>
      <c r="B1157" t="s">
        <v>12</v>
      </c>
      <c r="C1157">
        <v>23.02</v>
      </c>
      <c r="D1157" t="s">
        <v>24</v>
      </c>
      <c r="E1157" t="s">
        <v>14</v>
      </c>
      <c r="F1157" t="s">
        <v>42</v>
      </c>
      <c r="G1157" t="s">
        <v>207</v>
      </c>
      <c r="H1157" t="s">
        <v>43</v>
      </c>
      <c r="I1157" t="s">
        <v>123</v>
      </c>
      <c r="J1157" t="s">
        <v>219</v>
      </c>
      <c r="K1157" s="1">
        <v>0.47186936342592595</v>
      </c>
      <c r="L1157">
        <f>YEAR(Coffe_sales[[#This Row],[Date]])</f>
        <v>2024</v>
      </c>
    </row>
    <row r="1158" spans="1:12" x14ac:dyDescent="0.2">
      <c r="A1158" t="s">
        <v>35</v>
      </c>
      <c r="B1158" t="s">
        <v>12</v>
      </c>
      <c r="C1158">
        <v>32.82</v>
      </c>
      <c r="D1158" t="s">
        <v>13</v>
      </c>
      <c r="E1158" t="s">
        <v>14</v>
      </c>
      <c r="F1158" t="s">
        <v>42</v>
      </c>
      <c r="G1158" t="s">
        <v>207</v>
      </c>
      <c r="H1158" t="s">
        <v>43</v>
      </c>
      <c r="I1158" t="s">
        <v>123</v>
      </c>
      <c r="J1158" t="s">
        <v>219</v>
      </c>
      <c r="K1158" s="1">
        <v>0.47249583333333334</v>
      </c>
      <c r="L1158">
        <f>YEAR(Coffe_sales[[#This Row],[Date]])</f>
        <v>2024</v>
      </c>
    </row>
    <row r="1159" spans="1:12" x14ac:dyDescent="0.2">
      <c r="A1159" t="s">
        <v>35</v>
      </c>
      <c r="B1159" t="s">
        <v>12</v>
      </c>
      <c r="C1159">
        <v>32.82</v>
      </c>
      <c r="D1159" t="s">
        <v>13</v>
      </c>
      <c r="E1159" t="s">
        <v>14</v>
      </c>
      <c r="F1159" t="s">
        <v>42</v>
      </c>
      <c r="G1159" t="s">
        <v>207</v>
      </c>
      <c r="H1159" t="s">
        <v>43</v>
      </c>
      <c r="I1159" t="s">
        <v>123</v>
      </c>
      <c r="J1159" t="s">
        <v>219</v>
      </c>
      <c r="K1159" s="1">
        <v>0.48921740740740743</v>
      </c>
      <c r="L1159">
        <f>YEAR(Coffe_sales[[#This Row],[Date]])</f>
        <v>2024</v>
      </c>
    </row>
    <row r="1160" spans="1:12" x14ac:dyDescent="0.2">
      <c r="A1160" t="s">
        <v>36</v>
      </c>
      <c r="B1160" t="s">
        <v>12</v>
      </c>
      <c r="C1160">
        <v>18.12</v>
      </c>
      <c r="D1160" t="s">
        <v>45</v>
      </c>
      <c r="E1160" t="s">
        <v>22</v>
      </c>
      <c r="F1160" t="s">
        <v>42</v>
      </c>
      <c r="G1160" t="s">
        <v>207</v>
      </c>
      <c r="H1160" t="s">
        <v>43</v>
      </c>
      <c r="I1160" t="s">
        <v>123</v>
      </c>
      <c r="J1160" t="s">
        <v>219</v>
      </c>
      <c r="K1160" s="1">
        <v>0.58615045138888888</v>
      </c>
      <c r="L1160">
        <f>YEAR(Coffe_sales[[#This Row],[Date]])</f>
        <v>2024</v>
      </c>
    </row>
    <row r="1161" spans="1:12" x14ac:dyDescent="0.2">
      <c r="A1161" t="s">
        <v>36</v>
      </c>
      <c r="B1161" t="s">
        <v>12</v>
      </c>
      <c r="C1161">
        <v>27.92</v>
      </c>
      <c r="D1161" t="s">
        <v>26</v>
      </c>
      <c r="E1161" t="s">
        <v>22</v>
      </c>
      <c r="F1161" t="s">
        <v>42</v>
      </c>
      <c r="G1161" t="s">
        <v>207</v>
      </c>
      <c r="H1161" t="s">
        <v>43</v>
      </c>
      <c r="I1161" t="s">
        <v>123</v>
      </c>
      <c r="J1161" t="s">
        <v>219</v>
      </c>
      <c r="K1161" s="1">
        <v>0.58688577546296294</v>
      </c>
      <c r="L1161">
        <f>YEAR(Coffe_sales[[#This Row],[Date]])</f>
        <v>2024</v>
      </c>
    </row>
    <row r="1162" spans="1:12" x14ac:dyDescent="0.2">
      <c r="A1162" t="s">
        <v>25</v>
      </c>
      <c r="B1162" t="s">
        <v>12</v>
      </c>
      <c r="C1162">
        <v>27.92</v>
      </c>
      <c r="D1162" t="s">
        <v>26</v>
      </c>
      <c r="E1162" t="s">
        <v>22</v>
      </c>
      <c r="F1162" t="s">
        <v>42</v>
      </c>
      <c r="G1162" t="s">
        <v>207</v>
      </c>
      <c r="H1162" t="s">
        <v>43</v>
      </c>
      <c r="I1162" t="s">
        <v>123</v>
      </c>
      <c r="J1162" t="s">
        <v>219</v>
      </c>
      <c r="K1162" s="1">
        <v>0.64829988425925922</v>
      </c>
      <c r="L1162">
        <f>YEAR(Coffe_sales[[#This Row],[Date]])</f>
        <v>2024</v>
      </c>
    </row>
    <row r="1163" spans="1:12" x14ac:dyDescent="0.2">
      <c r="A1163" t="s">
        <v>28</v>
      </c>
      <c r="B1163" t="s">
        <v>12</v>
      </c>
      <c r="C1163">
        <v>27.92</v>
      </c>
      <c r="D1163" t="s">
        <v>26</v>
      </c>
      <c r="E1163" t="s">
        <v>29</v>
      </c>
      <c r="F1163" t="s">
        <v>42</v>
      </c>
      <c r="G1163" t="s">
        <v>207</v>
      </c>
      <c r="H1163" t="s">
        <v>43</v>
      </c>
      <c r="I1163" t="s">
        <v>123</v>
      </c>
      <c r="J1163" t="s">
        <v>219</v>
      </c>
      <c r="K1163" s="1">
        <v>0.75352812499999999</v>
      </c>
      <c r="L1163">
        <f>YEAR(Coffe_sales[[#This Row],[Date]])</f>
        <v>2024</v>
      </c>
    </row>
    <row r="1164" spans="1:12" x14ac:dyDescent="0.2">
      <c r="A1164" t="s">
        <v>131</v>
      </c>
      <c r="B1164" t="s">
        <v>12</v>
      </c>
      <c r="C1164">
        <v>27.92</v>
      </c>
      <c r="D1164" t="s">
        <v>26</v>
      </c>
      <c r="E1164" t="s">
        <v>29</v>
      </c>
      <c r="F1164" t="s">
        <v>42</v>
      </c>
      <c r="G1164" t="s">
        <v>207</v>
      </c>
      <c r="H1164" t="s">
        <v>43</v>
      </c>
      <c r="I1164" t="s">
        <v>123</v>
      </c>
      <c r="J1164" t="s">
        <v>219</v>
      </c>
      <c r="K1164" s="1">
        <v>0.89293230324074069</v>
      </c>
      <c r="L1164">
        <f>YEAR(Coffe_sales[[#This Row],[Date]])</f>
        <v>2024</v>
      </c>
    </row>
    <row r="1165" spans="1:12" x14ac:dyDescent="0.2">
      <c r="A1165" t="s">
        <v>131</v>
      </c>
      <c r="B1165" t="s">
        <v>12</v>
      </c>
      <c r="C1165">
        <v>32.82</v>
      </c>
      <c r="D1165" t="s">
        <v>13</v>
      </c>
      <c r="E1165" t="s">
        <v>29</v>
      </c>
      <c r="F1165" t="s">
        <v>42</v>
      </c>
      <c r="G1165" t="s">
        <v>207</v>
      </c>
      <c r="H1165" t="s">
        <v>43</v>
      </c>
      <c r="I1165" t="s">
        <v>123</v>
      </c>
      <c r="J1165" t="s">
        <v>219</v>
      </c>
      <c r="K1165" s="1">
        <v>0.90113473379629627</v>
      </c>
      <c r="L1165">
        <f>YEAR(Coffe_sales[[#This Row],[Date]])</f>
        <v>2024</v>
      </c>
    </row>
    <row r="1166" spans="1:12" x14ac:dyDescent="0.2">
      <c r="A1166" t="s">
        <v>125</v>
      </c>
      <c r="B1166" t="s">
        <v>12</v>
      </c>
      <c r="C1166">
        <v>32.82</v>
      </c>
      <c r="D1166" t="s">
        <v>52</v>
      </c>
      <c r="E1166" t="s">
        <v>29</v>
      </c>
      <c r="F1166" t="s">
        <v>42</v>
      </c>
      <c r="G1166" t="s">
        <v>207</v>
      </c>
      <c r="H1166" t="s">
        <v>43</v>
      </c>
      <c r="I1166" t="s">
        <v>123</v>
      </c>
      <c r="J1166" t="s">
        <v>219</v>
      </c>
      <c r="K1166" s="1">
        <v>0.95717675925925927</v>
      </c>
      <c r="L1166">
        <f>YEAR(Coffe_sales[[#This Row],[Date]])</f>
        <v>2024</v>
      </c>
    </row>
    <row r="1167" spans="1:12" x14ac:dyDescent="0.2">
      <c r="A1167" t="s">
        <v>125</v>
      </c>
      <c r="B1167" t="s">
        <v>12</v>
      </c>
      <c r="C1167">
        <v>32.82</v>
      </c>
      <c r="D1167" t="s">
        <v>52</v>
      </c>
      <c r="E1167" t="s">
        <v>29</v>
      </c>
      <c r="F1167" t="s">
        <v>42</v>
      </c>
      <c r="G1167" t="s">
        <v>207</v>
      </c>
      <c r="H1167" t="s">
        <v>43</v>
      </c>
      <c r="I1167" t="s">
        <v>123</v>
      </c>
      <c r="J1167" t="s">
        <v>219</v>
      </c>
      <c r="K1167" s="1">
        <v>0.95785351851851852</v>
      </c>
      <c r="L1167">
        <f>YEAR(Coffe_sales[[#This Row],[Date]])</f>
        <v>2024</v>
      </c>
    </row>
    <row r="1168" spans="1:12" x14ac:dyDescent="0.2">
      <c r="A1168" t="s">
        <v>123</v>
      </c>
      <c r="B1168" t="s">
        <v>12</v>
      </c>
      <c r="C1168">
        <v>27.92</v>
      </c>
      <c r="D1168" t="s">
        <v>26</v>
      </c>
      <c r="E1168" t="s">
        <v>14</v>
      </c>
      <c r="F1168" t="s">
        <v>47</v>
      </c>
      <c r="G1168" t="s">
        <v>207</v>
      </c>
      <c r="H1168" t="s">
        <v>48</v>
      </c>
      <c r="I1168" t="s">
        <v>123</v>
      </c>
      <c r="J1168" t="s">
        <v>220</v>
      </c>
      <c r="K1168" s="1">
        <v>0.36423827546296295</v>
      </c>
      <c r="L1168">
        <f>YEAR(Coffe_sales[[#This Row],[Date]])</f>
        <v>2024</v>
      </c>
    </row>
    <row r="1169" spans="1:12" x14ac:dyDescent="0.2">
      <c r="A1169" t="s">
        <v>46</v>
      </c>
      <c r="B1169" t="s">
        <v>12</v>
      </c>
      <c r="C1169">
        <v>27.92</v>
      </c>
      <c r="D1169" t="s">
        <v>26</v>
      </c>
      <c r="E1169" t="s">
        <v>14</v>
      </c>
      <c r="F1169" t="s">
        <v>47</v>
      </c>
      <c r="G1169" t="s">
        <v>207</v>
      </c>
      <c r="H1169" t="s">
        <v>48</v>
      </c>
      <c r="I1169" t="s">
        <v>123</v>
      </c>
      <c r="J1169" t="s">
        <v>220</v>
      </c>
      <c r="K1169" s="1">
        <v>0.3849721990740741</v>
      </c>
      <c r="L1169">
        <f>YEAR(Coffe_sales[[#This Row],[Date]])</f>
        <v>2024</v>
      </c>
    </row>
    <row r="1170" spans="1:12" x14ac:dyDescent="0.2">
      <c r="A1170" t="s">
        <v>46</v>
      </c>
      <c r="B1170" t="s">
        <v>12</v>
      </c>
      <c r="C1170">
        <v>27.92</v>
      </c>
      <c r="D1170" t="s">
        <v>26</v>
      </c>
      <c r="E1170" t="s">
        <v>14</v>
      </c>
      <c r="F1170" t="s">
        <v>47</v>
      </c>
      <c r="G1170" t="s">
        <v>207</v>
      </c>
      <c r="H1170" t="s">
        <v>48</v>
      </c>
      <c r="I1170" t="s">
        <v>123</v>
      </c>
      <c r="J1170" t="s">
        <v>220</v>
      </c>
      <c r="K1170" s="1">
        <v>0.40690243055555558</v>
      </c>
      <c r="L1170">
        <f>YEAR(Coffe_sales[[#This Row],[Date]])</f>
        <v>2024</v>
      </c>
    </row>
    <row r="1171" spans="1:12" x14ac:dyDescent="0.2">
      <c r="A1171" t="s">
        <v>11</v>
      </c>
      <c r="B1171" t="s">
        <v>12</v>
      </c>
      <c r="C1171">
        <v>23.02</v>
      </c>
      <c r="D1171" t="s">
        <v>41</v>
      </c>
      <c r="E1171" t="s">
        <v>14</v>
      </c>
      <c r="F1171" t="s">
        <v>47</v>
      </c>
      <c r="G1171" t="s">
        <v>207</v>
      </c>
      <c r="H1171" t="s">
        <v>48</v>
      </c>
      <c r="I1171" t="s">
        <v>123</v>
      </c>
      <c r="J1171" t="s">
        <v>220</v>
      </c>
      <c r="K1171" s="1">
        <v>0.44593487268518517</v>
      </c>
      <c r="L1171">
        <f>YEAR(Coffe_sales[[#This Row],[Date]])</f>
        <v>2024</v>
      </c>
    </row>
    <row r="1172" spans="1:12" x14ac:dyDescent="0.2">
      <c r="A1172" t="s">
        <v>35</v>
      </c>
      <c r="B1172" t="s">
        <v>12</v>
      </c>
      <c r="C1172">
        <v>32.82</v>
      </c>
      <c r="D1172" t="s">
        <v>13</v>
      </c>
      <c r="E1172" t="s">
        <v>14</v>
      </c>
      <c r="F1172" t="s">
        <v>47</v>
      </c>
      <c r="G1172" t="s">
        <v>207</v>
      </c>
      <c r="H1172" t="s">
        <v>48</v>
      </c>
      <c r="I1172" t="s">
        <v>123</v>
      </c>
      <c r="J1172" t="s">
        <v>220</v>
      </c>
      <c r="K1172" s="1">
        <v>0.49985662037037037</v>
      </c>
      <c r="L1172">
        <f>YEAR(Coffe_sales[[#This Row],[Date]])</f>
        <v>2024</v>
      </c>
    </row>
    <row r="1173" spans="1:12" x14ac:dyDescent="0.2">
      <c r="A1173" t="s">
        <v>23</v>
      </c>
      <c r="B1173" t="s">
        <v>12</v>
      </c>
      <c r="C1173">
        <v>27.92</v>
      </c>
      <c r="D1173" t="s">
        <v>26</v>
      </c>
      <c r="E1173" t="s">
        <v>22</v>
      </c>
      <c r="F1173" t="s">
        <v>47</v>
      </c>
      <c r="G1173" t="s">
        <v>207</v>
      </c>
      <c r="H1173" t="s">
        <v>48</v>
      </c>
      <c r="I1173" t="s">
        <v>123</v>
      </c>
      <c r="J1173" t="s">
        <v>220</v>
      </c>
      <c r="K1173" s="1">
        <v>0.54284128472222226</v>
      </c>
      <c r="L1173">
        <f>YEAR(Coffe_sales[[#This Row],[Date]])</f>
        <v>2024</v>
      </c>
    </row>
    <row r="1174" spans="1:12" x14ac:dyDescent="0.2">
      <c r="A1174" t="s">
        <v>36</v>
      </c>
      <c r="B1174" t="s">
        <v>12</v>
      </c>
      <c r="C1174">
        <v>32.82</v>
      </c>
      <c r="D1174" t="s">
        <v>13</v>
      </c>
      <c r="E1174" t="s">
        <v>22</v>
      </c>
      <c r="F1174" t="s">
        <v>47</v>
      </c>
      <c r="G1174" t="s">
        <v>207</v>
      </c>
      <c r="H1174" t="s">
        <v>48</v>
      </c>
      <c r="I1174" t="s">
        <v>123</v>
      </c>
      <c r="J1174" t="s">
        <v>220</v>
      </c>
      <c r="K1174" s="1">
        <v>0.61504269675925927</v>
      </c>
      <c r="L1174">
        <f>YEAR(Coffe_sales[[#This Row],[Date]])</f>
        <v>2024</v>
      </c>
    </row>
    <row r="1175" spans="1:12" x14ac:dyDescent="0.2">
      <c r="A1175" t="s">
        <v>25</v>
      </c>
      <c r="B1175" t="s">
        <v>12</v>
      </c>
      <c r="C1175">
        <v>32.82</v>
      </c>
      <c r="D1175" t="s">
        <v>52</v>
      </c>
      <c r="E1175" t="s">
        <v>22</v>
      </c>
      <c r="F1175" t="s">
        <v>47</v>
      </c>
      <c r="G1175" t="s">
        <v>207</v>
      </c>
      <c r="H1175" t="s">
        <v>48</v>
      </c>
      <c r="I1175" t="s">
        <v>123</v>
      </c>
      <c r="J1175" t="s">
        <v>220</v>
      </c>
      <c r="K1175" s="1">
        <v>0.65829517361111112</v>
      </c>
      <c r="L1175">
        <f>YEAR(Coffe_sales[[#This Row],[Date]])</f>
        <v>2024</v>
      </c>
    </row>
    <row r="1176" spans="1:12" x14ac:dyDescent="0.2">
      <c r="A1176" t="s">
        <v>25</v>
      </c>
      <c r="B1176" t="s">
        <v>12</v>
      </c>
      <c r="C1176">
        <v>27.92</v>
      </c>
      <c r="D1176" t="s">
        <v>26</v>
      </c>
      <c r="E1176" t="s">
        <v>22</v>
      </c>
      <c r="F1176" t="s">
        <v>47</v>
      </c>
      <c r="G1176" t="s">
        <v>207</v>
      </c>
      <c r="H1176" t="s">
        <v>48</v>
      </c>
      <c r="I1176" t="s">
        <v>123</v>
      </c>
      <c r="J1176" t="s">
        <v>220</v>
      </c>
      <c r="K1176" s="1">
        <v>0.66353679398148147</v>
      </c>
      <c r="L1176">
        <f>YEAR(Coffe_sales[[#This Row],[Date]])</f>
        <v>2024</v>
      </c>
    </row>
    <row r="1177" spans="1:12" x14ac:dyDescent="0.2">
      <c r="A1177" t="s">
        <v>91</v>
      </c>
      <c r="B1177" t="s">
        <v>12</v>
      </c>
      <c r="C1177">
        <v>32.82</v>
      </c>
      <c r="D1177" t="s">
        <v>13</v>
      </c>
      <c r="E1177" t="s">
        <v>29</v>
      </c>
      <c r="F1177" t="s">
        <v>47</v>
      </c>
      <c r="G1177" t="s">
        <v>207</v>
      </c>
      <c r="H1177" t="s">
        <v>48</v>
      </c>
      <c r="I1177" t="s">
        <v>123</v>
      </c>
      <c r="J1177" t="s">
        <v>220</v>
      </c>
      <c r="K1177" s="1">
        <v>0.85387188657407409</v>
      </c>
      <c r="L1177">
        <f>YEAR(Coffe_sales[[#This Row],[Date]])</f>
        <v>2024</v>
      </c>
    </row>
    <row r="1178" spans="1:12" x14ac:dyDescent="0.2">
      <c r="A1178" t="s">
        <v>91</v>
      </c>
      <c r="B1178" t="s">
        <v>12</v>
      </c>
      <c r="C1178">
        <v>32.82</v>
      </c>
      <c r="D1178" t="s">
        <v>31</v>
      </c>
      <c r="E1178" t="s">
        <v>29</v>
      </c>
      <c r="F1178" t="s">
        <v>47</v>
      </c>
      <c r="G1178" t="s">
        <v>207</v>
      </c>
      <c r="H1178" t="s">
        <v>48</v>
      </c>
      <c r="I1178" t="s">
        <v>123</v>
      </c>
      <c r="J1178" t="s">
        <v>220</v>
      </c>
      <c r="K1178" s="1">
        <v>0.8545966435185185</v>
      </c>
      <c r="L1178">
        <f>YEAR(Coffe_sales[[#This Row],[Date]])</f>
        <v>2024</v>
      </c>
    </row>
    <row r="1179" spans="1:12" x14ac:dyDescent="0.2">
      <c r="A1179" t="s">
        <v>91</v>
      </c>
      <c r="B1179" t="s">
        <v>12</v>
      </c>
      <c r="C1179">
        <v>32.82</v>
      </c>
      <c r="D1179" t="s">
        <v>52</v>
      </c>
      <c r="E1179" t="s">
        <v>29</v>
      </c>
      <c r="F1179" t="s">
        <v>47</v>
      </c>
      <c r="G1179" t="s">
        <v>207</v>
      </c>
      <c r="H1179" t="s">
        <v>48</v>
      </c>
      <c r="I1179" t="s">
        <v>123</v>
      </c>
      <c r="J1179" t="s">
        <v>220</v>
      </c>
      <c r="K1179" s="1">
        <v>0.86415498842592597</v>
      </c>
      <c r="L1179">
        <f>YEAR(Coffe_sales[[#This Row],[Date]])</f>
        <v>2024</v>
      </c>
    </row>
    <row r="1180" spans="1:12" x14ac:dyDescent="0.2">
      <c r="A1180" t="s">
        <v>131</v>
      </c>
      <c r="B1180" t="s">
        <v>12</v>
      </c>
      <c r="C1180">
        <v>23.02</v>
      </c>
      <c r="D1180" t="s">
        <v>41</v>
      </c>
      <c r="E1180" t="s">
        <v>29</v>
      </c>
      <c r="F1180" t="s">
        <v>47</v>
      </c>
      <c r="G1180" t="s">
        <v>207</v>
      </c>
      <c r="H1180" t="s">
        <v>48</v>
      </c>
      <c r="I1180" t="s">
        <v>123</v>
      </c>
      <c r="J1180" t="s">
        <v>220</v>
      </c>
      <c r="K1180" s="1">
        <v>0.87551722222222217</v>
      </c>
      <c r="L1180">
        <f>YEAR(Coffe_sales[[#This Row],[Date]])</f>
        <v>2024</v>
      </c>
    </row>
    <row r="1181" spans="1:12" x14ac:dyDescent="0.2">
      <c r="A1181" t="s">
        <v>39</v>
      </c>
      <c r="B1181" t="s">
        <v>12</v>
      </c>
      <c r="C1181">
        <v>32.82</v>
      </c>
      <c r="D1181" t="s">
        <v>13</v>
      </c>
      <c r="E1181" t="s">
        <v>14</v>
      </c>
      <c r="F1181" t="s">
        <v>50</v>
      </c>
      <c r="G1181" t="s">
        <v>207</v>
      </c>
      <c r="H1181" t="s">
        <v>18</v>
      </c>
      <c r="I1181" t="s">
        <v>123</v>
      </c>
      <c r="J1181" t="s">
        <v>221</v>
      </c>
      <c r="K1181" s="1">
        <v>0.31652896990740742</v>
      </c>
      <c r="L1181">
        <f>YEAR(Coffe_sales[[#This Row],[Date]])</f>
        <v>2024</v>
      </c>
    </row>
    <row r="1182" spans="1:12" x14ac:dyDescent="0.2">
      <c r="A1182" t="s">
        <v>39</v>
      </c>
      <c r="B1182" t="s">
        <v>12</v>
      </c>
      <c r="C1182">
        <v>32.82</v>
      </c>
      <c r="D1182" t="s">
        <v>52</v>
      </c>
      <c r="E1182" t="s">
        <v>14</v>
      </c>
      <c r="F1182" t="s">
        <v>50</v>
      </c>
      <c r="G1182" t="s">
        <v>207</v>
      </c>
      <c r="H1182" t="s">
        <v>18</v>
      </c>
      <c r="I1182" t="s">
        <v>123</v>
      </c>
      <c r="J1182" t="s">
        <v>221</v>
      </c>
      <c r="K1182" s="1">
        <v>0.31731017361111113</v>
      </c>
      <c r="L1182">
        <f>YEAR(Coffe_sales[[#This Row],[Date]])</f>
        <v>2024</v>
      </c>
    </row>
    <row r="1183" spans="1:12" x14ac:dyDescent="0.2">
      <c r="A1183" t="s">
        <v>11</v>
      </c>
      <c r="B1183" t="s">
        <v>12</v>
      </c>
      <c r="C1183">
        <v>23.02</v>
      </c>
      <c r="D1183" t="s">
        <v>41</v>
      </c>
      <c r="E1183" t="s">
        <v>14</v>
      </c>
      <c r="F1183" t="s">
        <v>50</v>
      </c>
      <c r="G1183" t="s">
        <v>207</v>
      </c>
      <c r="H1183" t="s">
        <v>18</v>
      </c>
      <c r="I1183" t="s">
        <v>123</v>
      </c>
      <c r="J1183" t="s">
        <v>221</v>
      </c>
      <c r="K1183" s="1">
        <v>0.42325376157407407</v>
      </c>
      <c r="L1183">
        <f>YEAR(Coffe_sales[[#This Row],[Date]])</f>
        <v>2024</v>
      </c>
    </row>
    <row r="1184" spans="1:12" x14ac:dyDescent="0.2">
      <c r="A1184" t="s">
        <v>35</v>
      </c>
      <c r="B1184" t="s">
        <v>12</v>
      </c>
      <c r="C1184">
        <v>18.12</v>
      </c>
      <c r="D1184" t="s">
        <v>45</v>
      </c>
      <c r="E1184" t="s">
        <v>14</v>
      </c>
      <c r="F1184" t="s">
        <v>50</v>
      </c>
      <c r="G1184" t="s">
        <v>207</v>
      </c>
      <c r="H1184" t="s">
        <v>18</v>
      </c>
      <c r="I1184" t="s">
        <v>123</v>
      </c>
      <c r="J1184" t="s">
        <v>221</v>
      </c>
      <c r="K1184" s="1">
        <v>0.48550789351851853</v>
      </c>
      <c r="L1184">
        <f>YEAR(Coffe_sales[[#This Row],[Date]])</f>
        <v>2024</v>
      </c>
    </row>
    <row r="1185" spans="1:12" x14ac:dyDescent="0.2">
      <c r="A1185" t="s">
        <v>20</v>
      </c>
      <c r="B1185" t="s">
        <v>12</v>
      </c>
      <c r="C1185">
        <v>23.02</v>
      </c>
      <c r="D1185" t="s">
        <v>24</v>
      </c>
      <c r="E1185" t="s">
        <v>22</v>
      </c>
      <c r="F1185" t="s">
        <v>50</v>
      </c>
      <c r="G1185" t="s">
        <v>207</v>
      </c>
      <c r="H1185" t="s">
        <v>18</v>
      </c>
      <c r="I1185" t="s">
        <v>123</v>
      </c>
      <c r="J1185" t="s">
        <v>221</v>
      </c>
      <c r="K1185" s="1">
        <v>0.53422396990740739</v>
      </c>
      <c r="L1185">
        <f>YEAR(Coffe_sales[[#This Row],[Date]])</f>
        <v>2024</v>
      </c>
    </row>
    <row r="1186" spans="1:12" x14ac:dyDescent="0.2">
      <c r="A1186" t="s">
        <v>20</v>
      </c>
      <c r="B1186" t="s">
        <v>12</v>
      </c>
      <c r="C1186">
        <v>23.02</v>
      </c>
      <c r="D1186" t="s">
        <v>24</v>
      </c>
      <c r="E1186" t="s">
        <v>22</v>
      </c>
      <c r="F1186" t="s">
        <v>50</v>
      </c>
      <c r="G1186" t="s">
        <v>207</v>
      </c>
      <c r="H1186" t="s">
        <v>18</v>
      </c>
      <c r="I1186" t="s">
        <v>123</v>
      </c>
      <c r="J1186" t="s">
        <v>221</v>
      </c>
      <c r="K1186" s="1">
        <v>0.5354730324074074</v>
      </c>
      <c r="L1186">
        <f>YEAR(Coffe_sales[[#This Row],[Date]])</f>
        <v>2024</v>
      </c>
    </row>
    <row r="1187" spans="1:12" x14ac:dyDescent="0.2">
      <c r="A1187" t="s">
        <v>25</v>
      </c>
      <c r="B1187" t="s">
        <v>12</v>
      </c>
      <c r="C1187">
        <v>32.82</v>
      </c>
      <c r="D1187" t="s">
        <v>13</v>
      </c>
      <c r="E1187" t="s">
        <v>22</v>
      </c>
      <c r="F1187" t="s">
        <v>50</v>
      </c>
      <c r="G1187" t="s">
        <v>207</v>
      </c>
      <c r="H1187" t="s">
        <v>18</v>
      </c>
      <c r="I1187" t="s">
        <v>123</v>
      </c>
      <c r="J1187" t="s">
        <v>221</v>
      </c>
      <c r="K1187" s="1">
        <v>0.63989884259259255</v>
      </c>
      <c r="L1187">
        <f>YEAR(Coffe_sales[[#This Row],[Date]])</f>
        <v>2024</v>
      </c>
    </row>
    <row r="1188" spans="1:12" x14ac:dyDescent="0.2">
      <c r="A1188" t="s">
        <v>37</v>
      </c>
      <c r="B1188" t="s">
        <v>12</v>
      </c>
      <c r="C1188">
        <v>23.02</v>
      </c>
      <c r="D1188" t="s">
        <v>24</v>
      </c>
      <c r="E1188" t="s">
        <v>29</v>
      </c>
      <c r="F1188" t="s">
        <v>50</v>
      </c>
      <c r="G1188" t="s">
        <v>207</v>
      </c>
      <c r="H1188" t="s">
        <v>18</v>
      </c>
      <c r="I1188" t="s">
        <v>123</v>
      </c>
      <c r="J1188" t="s">
        <v>221</v>
      </c>
      <c r="K1188" s="1">
        <v>0.72526374999999998</v>
      </c>
      <c r="L1188">
        <f>YEAR(Coffe_sales[[#This Row],[Date]])</f>
        <v>2024</v>
      </c>
    </row>
    <row r="1189" spans="1:12" x14ac:dyDescent="0.2">
      <c r="A1189" t="s">
        <v>28</v>
      </c>
      <c r="B1189" t="s">
        <v>12</v>
      </c>
      <c r="C1189">
        <v>23.02</v>
      </c>
      <c r="D1189" t="s">
        <v>41</v>
      </c>
      <c r="E1189" t="s">
        <v>29</v>
      </c>
      <c r="F1189" t="s">
        <v>50</v>
      </c>
      <c r="G1189" t="s">
        <v>207</v>
      </c>
      <c r="H1189" t="s">
        <v>18</v>
      </c>
      <c r="I1189" t="s">
        <v>123</v>
      </c>
      <c r="J1189" t="s">
        <v>221</v>
      </c>
      <c r="K1189" s="1">
        <v>0.75698753472222224</v>
      </c>
      <c r="L1189">
        <f>YEAR(Coffe_sales[[#This Row],[Date]])</f>
        <v>2024</v>
      </c>
    </row>
    <row r="1190" spans="1:12" x14ac:dyDescent="0.2">
      <c r="A1190" t="s">
        <v>28</v>
      </c>
      <c r="B1190" t="s">
        <v>12</v>
      </c>
      <c r="C1190">
        <v>27.92</v>
      </c>
      <c r="D1190" t="s">
        <v>26</v>
      </c>
      <c r="E1190" t="s">
        <v>29</v>
      </c>
      <c r="F1190" t="s">
        <v>50</v>
      </c>
      <c r="G1190" t="s">
        <v>207</v>
      </c>
      <c r="H1190" t="s">
        <v>18</v>
      </c>
      <c r="I1190" t="s">
        <v>123</v>
      </c>
      <c r="J1190" t="s">
        <v>221</v>
      </c>
      <c r="K1190" s="1">
        <v>0.79118378472222217</v>
      </c>
      <c r="L1190">
        <f>YEAR(Coffe_sales[[#This Row],[Date]])</f>
        <v>2024</v>
      </c>
    </row>
    <row r="1191" spans="1:12" x14ac:dyDescent="0.2">
      <c r="A1191" t="s">
        <v>30</v>
      </c>
      <c r="B1191" t="s">
        <v>12</v>
      </c>
      <c r="C1191">
        <v>32.82</v>
      </c>
      <c r="D1191" t="s">
        <v>13</v>
      </c>
      <c r="E1191" t="s">
        <v>29</v>
      </c>
      <c r="F1191" t="s">
        <v>50</v>
      </c>
      <c r="G1191" t="s">
        <v>207</v>
      </c>
      <c r="H1191" t="s">
        <v>18</v>
      </c>
      <c r="I1191" t="s">
        <v>123</v>
      </c>
      <c r="J1191" t="s">
        <v>221</v>
      </c>
      <c r="K1191" s="1">
        <v>0.81587651620370372</v>
      </c>
      <c r="L1191">
        <f>YEAR(Coffe_sales[[#This Row],[Date]])</f>
        <v>2024</v>
      </c>
    </row>
    <row r="1192" spans="1:12" x14ac:dyDescent="0.2">
      <c r="A1192" t="s">
        <v>30</v>
      </c>
      <c r="B1192" t="s">
        <v>12</v>
      </c>
      <c r="C1192">
        <v>23.02</v>
      </c>
      <c r="D1192" t="s">
        <v>41</v>
      </c>
      <c r="E1192" t="s">
        <v>29</v>
      </c>
      <c r="F1192" t="s">
        <v>50</v>
      </c>
      <c r="G1192" t="s">
        <v>207</v>
      </c>
      <c r="H1192" t="s">
        <v>18</v>
      </c>
      <c r="I1192" t="s">
        <v>123</v>
      </c>
      <c r="J1192" t="s">
        <v>221</v>
      </c>
      <c r="K1192" s="1">
        <v>0.81653408564814811</v>
      </c>
      <c r="L1192">
        <f>YEAR(Coffe_sales[[#This Row],[Date]])</f>
        <v>2024</v>
      </c>
    </row>
    <row r="1193" spans="1:12" x14ac:dyDescent="0.2">
      <c r="A1193" t="s">
        <v>131</v>
      </c>
      <c r="B1193" t="s">
        <v>12</v>
      </c>
      <c r="C1193">
        <v>32.82</v>
      </c>
      <c r="D1193" t="s">
        <v>13</v>
      </c>
      <c r="E1193" t="s">
        <v>29</v>
      </c>
      <c r="F1193" t="s">
        <v>50</v>
      </c>
      <c r="G1193" t="s">
        <v>207</v>
      </c>
      <c r="H1193" t="s">
        <v>18</v>
      </c>
      <c r="I1193" t="s">
        <v>123</v>
      </c>
      <c r="J1193" t="s">
        <v>221</v>
      </c>
      <c r="K1193" s="1">
        <v>0.9038544097222222</v>
      </c>
      <c r="L1193">
        <f>YEAR(Coffe_sales[[#This Row],[Date]])</f>
        <v>2024</v>
      </c>
    </row>
    <row r="1194" spans="1:12" x14ac:dyDescent="0.2">
      <c r="A1194" t="s">
        <v>46</v>
      </c>
      <c r="B1194" t="s">
        <v>12</v>
      </c>
      <c r="C1194">
        <v>23.02</v>
      </c>
      <c r="D1194" t="s">
        <v>41</v>
      </c>
      <c r="E1194" t="s">
        <v>14</v>
      </c>
      <c r="F1194" t="s">
        <v>53</v>
      </c>
      <c r="G1194" t="s">
        <v>207</v>
      </c>
      <c r="H1194" t="s">
        <v>54</v>
      </c>
      <c r="I1194" t="s">
        <v>123</v>
      </c>
      <c r="J1194" t="s">
        <v>222</v>
      </c>
      <c r="K1194" s="1">
        <v>0.40012908564814814</v>
      </c>
      <c r="L1194">
        <f>YEAR(Coffe_sales[[#This Row],[Date]])</f>
        <v>2024</v>
      </c>
    </row>
    <row r="1195" spans="1:12" x14ac:dyDescent="0.2">
      <c r="A1195" t="s">
        <v>46</v>
      </c>
      <c r="B1195" t="s">
        <v>12</v>
      </c>
      <c r="C1195">
        <v>32.82</v>
      </c>
      <c r="D1195" t="s">
        <v>52</v>
      </c>
      <c r="E1195" t="s">
        <v>14</v>
      </c>
      <c r="F1195" t="s">
        <v>53</v>
      </c>
      <c r="G1195" t="s">
        <v>207</v>
      </c>
      <c r="H1195" t="s">
        <v>54</v>
      </c>
      <c r="I1195" t="s">
        <v>123</v>
      </c>
      <c r="J1195" t="s">
        <v>222</v>
      </c>
      <c r="K1195" s="1">
        <v>0.40071958333333335</v>
      </c>
      <c r="L1195">
        <f>YEAR(Coffe_sales[[#This Row],[Date]])</f>
        <v>2024</v>
      </c>
    </row>
    <row r="1196" spans="1:12" x14ac:dyDescent="0.2">
      <c r="A1196" t="s">
        <v>46</v>
      </c>
      <c r="B1196" t="s">
        <v>12</v>
      </c>
      <c r="C1196">
        <v>32.82</v>
      </c>
      <c r="D1196" t="s">
        <v>21</v>
      </c>
      <c r="E1196" t="s">
        <v>14</v>
      </c>
      <c r="F1196" t="s">
        <v>53</v>
      </c>
      <c r="G1196" t="s">
        <v>207</v>
      </c>
      <c r="H1196" t="s">
        <v>54</v>
      </c>
      <c r="I1196" t="s">
        <v>123</v>
      </c>
      <c r="J1196" t="s">
        <v>222</v>
      </c>
      <c r="K1196" s="1">
        <v>0.40144563657407406</v>
      </c>
      <c r="L1196">
        <f>YEAR(Coffe_sales[[#This Row],[Date]])</f>
        <v>2024</v>
      </c>
    </row>
    <row r="1197" spans="1:12" x14ac:dyDescent="0.2">
      <c r="A1197" t="s">
        <v>46</v>
      </c>
      <c r="B1197" t="s">
        <v>12</v>
      </c>
      <c r="C1197">
        <v>32.82</v>
      </c>
      <c r="D1197" t="s">
        <v>13</v>
      </c>
      <c r="E1197" t="s">
        <v>14</v>
      </c>
      <c r="F1197" t="s">
        <v>53</v>
      </c>
      <c r="G1197" t="s">
        <v>207</v>
      </c>
      <c r="H1197" t="s">
        <v>54</v>
      </c>
      <c r="I1197" t="s">
        <v>123</v>
      </c>
      <c r="J1197" t="s">
        <v>222</v>
      </c>
      <c r="K1197" s="1">
        <v>0.40196452546296296</v>
      </c>
      <c r="L1197">
        <f>YEAR(Coffe_sales[[#This Row],[Date]])</f>
        <v>2024</v>
      </c>
    </row>
    <row r="1198" spans="1:12" x14ac:dyDescent="0.2">
      <c r="A1198" t="s">
        <v>20</v>
      </c>
      <c r="B1198" t="s">
        <v>12</v>
      </c>
      <c r="C1198">
        <v>32.82</v>
      </c>
      <c r="D1198" t="s">
        <v>13</v>
      </c>
      <c r="E1198" t="s">
        <v>22</v>
      </c>
      <c r="F1198" t="s">
        <v>53</v>
      </c>
      <c r="G1198" t="s">
        <v>207</v>
      </c>
      <c r="H1198" t="s">
        <v>54</v>
      </c>
      <c r="I1198" t="s">
        <v>123</v>
      </c>
      <c r="J1198" t="s">
        <v>222</v>
      </c>
      <c r="K1198" s="1">
        <v>0.5268236458333333</v>
      </c>
      <c r="L1198">
        <f>YEAR(Coffe_sales[[#This Row],[Date]])</f>
        <v>2024</v>
      </c>
    </row>
    <row r="1199" spans="1:12" x14ac:dyDescent="0.2">
      <c r="A1199" t="s">
        <v>23</v>
      </c>
      <c r="B1199" t="s">
        <v>12</v>
      </c>
      <c r="C1199">
        <v>32.82</v>
      </c>
      <c r="D1199" t="s">
        <v>13</v>
      </c>
      <c r="E1199" t="s">
        <v>22</v>
      </c>
      <c r="F1199" t="s">
        <v>53</v>
      </c>
      <c r="G1199" t="s">
        <v>207</v>
      </c>
      <c r="H1199" t="s">
        <v>54</v>
      </c>
      <c r="I1199" t="s">
        <v>123</v>
      </c>
      <c r="J1199" t="s">
        <v>222</v>
      </c>
      <c r="K1199" s="1">
        <v>0.57515741898148143</v>
      </c>
      <c r="L1199">
        <f>YEAR(Coffe_sales[[#This Row],[Date]])</f>
        <v>2024</v>
      </c>
    </row>
    <row r="1200" spans="1:12" x14ac:dyDescent="0.2">
      <c r="A1200" t="s">
        <v>36</v>
      </c>
      <c r="B1200" t="s">
        <v>12</v>
      </c>
      <c r="C1200">
        <v>23.02</v>
      </c>
      <c r="D1200" t="s">
        <v>24</v>
      </c>
      <c r="E1200" t="s">
        <v>22</v>
      </c>
      <c r="F1200" t="s">
        <v>53</v>
      </c>
      <c r="G1200" t="s">
        <v>207</v>
      </c>
      <c r="H1200" t="s">
        <v>54</v>
      </c>
      <c r="I1200" t="s">
        <v>123</v>
      </c>
      <c r="J1200" t="s">
        <v>222</v>
      </c>
      <c r="K1200" s="1">
        <v>0.59569656250000003</v>
      </c>
      <c r="L1200">
        <f>YEAR(Coffe_sales[[#This Row],[Date]])</f>
        <v>2024</v>
      </c>
    </row>
    <row r="1201" spans="1:12" x14ac:dyDescent="0.2">
      <c r="A1201" t="s">
        <v>36</v>
      </c>
      <c r="B1201" t="s">
        <v>12</v>
      </c>
      <c r="C1201">
        <v>18.12</v>
      </c>
      <c r="D1201" t="s">
        <v>45</v>
      </c>
      <c r="E1201" t="s">
        <v>22</v>
      </c>
      <c r="F1201" t="s">
        <v>53</v>
      </c>
      <c r="G1201" t="s">
        <v>207</v>
      </c>
      <c r="H1201" t="s">
        <v>54</v>
      </c>
      <c r="I1201" t="s">
        <v>123</v>
      </c>
      <c r="J1201" t="s">
        <v>222</v>
      </c>
      <c r="K1201" s="1">
        <v>0.59642103009259262</v>
      </c>
      <c r="L1201">
        <f>YEAR(Coffe_sales[[#This Row],[Date]])</f>
        <v>2024</v>
      </c>
    </row>
    <row r="1202" spans="1:12" x14ac:dyDescent="0.2">
      <c r="A1202" t="s">
        <v>37</v>
      </c>
      <c r="B1202" t="s">
        <v>12</v>
      </c>
      <c r="C1202">
        <v>27.92</v>
      </c>
      <c r="D1202" t="s">
        <v>26</v>
      </c>
      <c r="E1202" t="s">
        <v>29</v>
      </c>
      <c r="F1202" t="s">
        <v>53</v>
      </c>
      <c r="G1202" t="s">
        <v>207</v>
      </c>
      <c r="H1202" t="s">
        <v>54</v>
      </c>
      <c r="I1202" t="s">
        <v>123</v>
      </c>
      <c r="J1202" t="s">
        <v>222</v>
      </c>
      <c r="K1202" s="1">
        <v>0.74574334490740746</v>
      </c>
      <c r="L1202">
        <f>YEAR(Coffe_sales[[#This Row],[Date]])</f>
        <v>2024</v>
      </c>
    </row>
    <row r="1203" spans="1:12" x14ac:dyDescent="0.2">
      <c r="A1203" t="s">
        <v>30</v>
      </c>
      <c r="B1203" t="s">
        <v>12</v>
      </c>
      <c r="C1203">
        <v>32.82</v>
      </c>
      <c r="D1203" t="s">
        <v>21</v>
      </c>
      <c r="E1203" t="s">
        <v>29</v>
      </c>
      <c r="F1203" t="s">
        <v>53</v>
      </c>
      <c r="G1203" t="s">
        <v>207</v>
      </c>
      <c r="H1203" t="s">
        <v>54</v>
      </c>
      <c r="I1203" t="s">
        <v>123</v>
      </c>
      <c r="J1203" t="s">
        <v>222</v>
      </c>
      <c r="K1203" s="1">
        <v>0.79928497685185185</v>
      </c>
      <c r="L1203">
        <f>YEAR(Coffe_sales[[#This Row],[Date]])</f>
        <v>2024</v>
      </c>
    </row>
    <row r="1204" spans="1:12" x14ac:dyDescent="0.2">
      <c r="A1204" t="s">
        <v>30</v>
      </c>
      <c r="B1204" t="s">
        <v>12</v>
      </c>
      <c r="C1204">
        <v>27.92</v>
      </c>
      <c r="D1204" t="s">
        <v>26</v>
      </c>
      <c r="E1204" t="s">
        <v>29</v>
      </c>
      <c r="F1204" t="s">
        <v>53</v>
      </c>
      <c r="G1204" t="s">
        <v>207</v>
      </c>
      <c r="H1204" t="s">
        <v>54</v>
      </c>
      <c r="I1204" t="s">
        <v>123</v>
      </c>
      <c r="J1204" t="s">
        <v>222</v>
      </c>
      <c r="K1204" s="1">
        <v>0.7999309722222222</v>
      </c>
      <c r="L1204">
        <f>YEAR(Coffe_sales[[#This Row],[Date]])</f>
        <v>2024</v>
      </c>
    </row>
    <row r="1205" spans="1:12" x14ac:dyDescent="0.2">
      <c r="A1205" t="s">
        <v>30</v>
      </c>
      <c r="B1205" t="s">
        <v>12</v>
      </c>
      <c r="C1205">
        <v>27.92</v>
      </c>
      <c r="D1205" t="s">
        <v>26</v>
      </c>
      <c r="E1205" t="s">
        <v>29</v>
      </c>
      <c r="F1205" t="s">
        <v>53</v>
      </c>
      <c r="G1205" t="s">
        <v>207</v>
      </c>
      <c r="H1205" t="s">
        <v>54</v>
      </c>
      <c r="I1205" t="s">
        <v>123</v>
      </c>
      <c r="J1205" t="s">
        <v>222</v>
      </c>
      <c r="K1205" s="1">
        <v>0.82048893518518518</v>
      </c>
      <c r="L1205">
        <f>YEAR(Coffe_sales[[#This Row],[Date]])</f>
        <v>2024</v>
      </c>
    </row>
    <row r="1206" spans="1:12" x14ac:dyDescent="0.2">
      <c r="A1206" t="s">
        <v>30</v>
      </c>
      <c r="B1206" t="s">
        <v>12</v>
      </c>
      <c r="C1206">
        <v>23.02</v>
      </c>
      <c r="D1206" t="s">
        <v>24</v>
      </c>
      <c r="E1206" t="s">
        <v>29</v>
      </c>
      <c r="F1206" t="s">
        <v>53</v>
      </c>
      <c r="G1206" t="s">
        <v>207</v>
      </c>
      <c r="H1206" t="s">
        <v>54</v>
      </c>
      <c r="I1206" t="s">
        <v>123</v>
      </c>
      <c r="J1206" t="s">
        <v>222</v>
      </c>
      <c r="K1206" s="1">
        <v>0.82127299768518514</v>
      </c>
      <c r="L1206">
        <f>YEAR(Coffe_sales[[#This Row],[Date]])</f>
        <v>2024</v>
      </c>
    </row>
    <row r="1207" spans="1:12" x14ac:dyDescent="0.2">
      <c r="A1207" t="s">
        <v>91</v>
      </c>
      <c r="B1207" t="s">
        <v>12</v>
      </c>
      <c r="C1207">
        <v>32.82</v>
      </c>
      <c r="D1207" t="s">
        <v>52</v>
      </c>
      <c r="E1207" t="s">
        <v>29</v>
      </c>
      <c r="F1207" t="s">
        <v>53</v>
      </c>
      <c r="G1207" t="s">
        <v>207</v>
      </c>
      <c r="H1207" t="s">
        <v>54</v>
      </c>
      <c r="I1207" t="s">
        <v>123</v>
      </c>
      <c r="J1207" t="s">
        <v>222</v>
      </c>
      <c r="K1207" s="1">
        <v>0.8615916203703704</v>
      </c>
      <c r="L1207">
        <f>YEAR(Coffe_sales[[#This Row],[Date]])</f>
        <v>2024</v>
      </c>
    </row>
    <row r="1208" spans="1:12" x14ac:dyDescent="0.2">
      <c r="A1208" t="s">
        <v>131</v>
      </c>
      <c r="B1208" t="s">
        <v>12</v>
      </c>
      <c r="C1208">
        <v>18.12</v>
      </c>
      <c r="D1208" t="s">
        <v>45</v>
      </c>
      <c r="E1208" t="s">
        <v>29</v>
      </c>
      <c r="F1208" t="s">
        <v>53</v>
      </c>
      <c r="G1208" t="s">
        <v>207</v>
      </c>
      <c r="H1208" t="s">
        <v>54</v>
      </c>
      <c r="I1208" t="s">
        <v>123</v>
      </c>
      <c r="J1208" t="s">
        <v>222</v>
      </c>
      <c r="K1208" s="1">
        <v>0.89953796296296296</v>
      </c>
      <c r="L1208">
        <f>YEAR(Coffe_sales[[#This Row],[Date]])</f>
        <v>2024</v>
      </c>
    </row>
    <row r="1209" spans="1:12" x14ac:dyDescent="0.2">
      <c r="A1209" t="s">
        <v>131</v>
      </c>
      <c r="B1209" t="s">
        <v>12</v>
      </c>
      <c r="C1209">
        <v>27.92</v>
      </c>
      <c r="D1209" t="s">
        <v>26</v>
      </c>
      <c r="E1209" t="s">
        <v>29</v>
      </c>
      <c r="F1209" t="s">
        <v>53</v>
      </c>
      <c r="G1209" t="s">
        <v>207</v>
      </c>
      <c r="H1209" t="s">
        <v>54</v>
      </c>
      <c r="I1209" t="s">
        <v>123</v>
      </c>
      <c r="J1209" t="s">
        <v>222</v>
      </c>
      <c r="K1209" s="1">
        <v>0.9001276967592593</v>
      </c>
      <c r="L1209">
        <f>YEAR(Coffe_sales[[#This Row],[Date]])</f>
        <v>2024</v>
      </c>
    </row>
    <row r="1210" spans="1:12" x14ac:dyDescent="0.2">
      <c r="A1210" t="s">
        <v>20</v>
      </c>
      <c r="B1210" t="s">
        <v>12</v>
      </c>
      <c r="C1210">
        <v>32.82</v>
      </c>
      <c r="D1210" t="s">
        <v>13</v>
      </c>
      <c r="E1210" t="s">
        <v>22</v>
      </c>
      <c r="F1210" t="s">
        <v>15</v>
      </c>
      <c r="G1210" t="s">
        <v>207</v>
      </c>
      <c r="H1210" t="s">
        <v>17</v>
      </c>
      <c r="I1210" t="s">
        <v>123</v>
      </c>
      <c r="J1210" t="s">
        <v>223</v>
      </c>
      <c r="K1210" s="1">
        <v>0.52033254629629633</v>
      </c>
      <c r="L1210">
        <f>YEAR(Coffe_sales[[#This Row],[Date]])</f>
        <v>2024</v>
      </c>
    </row>
    <row r="1211" spans="1:12" x14ac:dyDescent="0.2">
      <c r="A1211" t="s">
        <v>20</v>
      </c>
      <c r="B1211" t="s">
        <v>12</v>
      </c>
      <c r="C1211">
        <v>23.02</v>
      </c>
      <c r="D1211" t="s">
        <v>24</v>
      </c>
      <c r="E1211" t="s">
        <v>22</v>
      </c>
      <c r="F1211" t="s">
        <v>15</v>
      </c>
      <c r="G1211" t="s">
        <v>207</v>
      </c>
      <c r="H1211" t="s">
        <v>17</v>
      </c>
      <c r="I1211" t="s">
        <v>123</v>
      </c>
      <c r="J1211" t="s">
        <v>223</v>
      </c>
      <c r="K1211" s="1">
        <v>0.53770199074074077</v>
      </c>
      <c r="L1211">
        <f>YEAR(Coffe_sales[[#This Row],[Date]])</f>
        <v>2024</v>
      </c>
    </row>
    <row r="1212" spans="1:12" x14ac:dyDescent="0.2">
      <c r="A1212" t="s">
        <v>23</v>
      </c>
      <c r="B1212" t="s">
        <v>12</v>
      </c>
      <c r="C1212">
        <v>27.92</v>
      </c>
      <c r="D1212" t="s">
        <v>26</v>
      </c>
      <c r="E1212" t="s">
        <v>22</v>
      </c>
      <c r="F1212" t="s">
        <v>15</v>
      </c>
      <c r="G1212" t="s">
        <v>207</v>
      </c>
      <c r="H1212" t="s">
        <v>17</v>
      </c>
      <c r="I1212" t="s">
        <v>123</v>
      </c>
      <c r="J1212" t="s">
        <v>223</v>
      </c>
      <c r="K1212" s="1">
        <v>0.56681479166666671</v>
      </c>
      <c r="L1212">
        <f>YEAR(Coffe_sales[[#This Row],[Date]])</f>
        <v>2024</v>
      </c>
    </row>
    <row r="1213" spans="1:12" x14ac:dyDescent="0.2">
      <c r="A1213" t="s">
        <v>25</v>
      </c>
      <c r="B1213" t="s">
        <v>12</v>
      </c>
      <c r="C1213">
        <v>18.12</v>
      </c>
      <c r="D1213" t="s">
        <v>45</v>
      </c>
      <c r="E1213" t="s">
        <v>22</v>
      </c>
      <c r="F1213" t="s">
        <v>15</v>
      </c>
      <c r="G1213" t="s">
        <v>207</v>
      </c>
      <c r="H1213" t="s">
        <v>17</v>
      </c>
      <c r="I1213" t="s">
        <v>123</v>
      </c>
      <c r="J1213" t="s">
        <v>223</v>
      </c>
      <c r="K1213" s="1">
        <v>0.63809880787037032</v>
      </c>
      <c r="L1213">
        <f>YEAR(Coffe_sales[[#This Row],[Date]])</f>
        <v>2024</v>
      </c>
    </row>
    <row r="1214" spans="1:12" x14ac:dyDescent="0.2">
      <c r="A1214" t="s">
        <v>25</v>
      </c>
      <c r="B1214" t="s">
        <v>12</v>
      </c>
      <c r="C1214">
        <v>18.12</v>
      </c>
      <c r="D1214" t="s">
        <v>45</v>
      </c>
      <c r="E1214" t="s">
        <v>22</v>
      </c>
      <c r="F1214" t="s">
        <v>15</v>
      </c>
      <c r="G1214" t="s">
        <v>207</v>
      </c>
      <c r="H1214" t="s">
        <v>17</v>
      </c>
      <c r="I1214" t="s">
        <v>123</v>
      </c>
      <c r="J1214" t="s">
        <v>223</v>
      </c>
      <c r="K1214" s="1">
        <v>0.63864900462962959</v>
      </c>
      <c r="L1214">
        <f>YEAR(Coffe_sales[[#This Row],[Date]])</f>
        <v>2024</v>
      </c>
    </row>
    <row r="1215" spans="1:12" x14ac:dyDescent="0.2">
      <c r="A1215" t="s">
        <v>46</v>
      </c>
      <c r="B1215" t="s">
        <v>12</v>
      </c>
      <c r="C1215">
        <v>27.92</v>
      </c>
      <c r="D1215" t="s">
        <v>26</v>
      </c>
      <c r="E1215" t="s">
        <v>14</v>
      </c>
      <c r="F1215" t="s">
        <v>32</v>
      </c>
      <c r="G1215" t="s">
        <v>207</v>
      </c>
      <c r="H1215" t="s">
        <v>33</v>
      </c>
      <c r="I1215" t="s">
        <v>123</v>
      </c>
      <c r="J1215" t="s">
        <v>224</v>
      </c>
      <c r="K1215" s="1">
        <v>0.38673021990740741</v>
      </c>
      <c r="L1215">
        <f>YEAR(Coffe_sales[[#This Row],[Date]])</f>
        <v>2024</v>
      </c>
    </row>
    <row r="1216" spans="1:12" x14ac:dyDescent="0.2">
      <c r="A1216" t="s">
        <v>46</v>
      </c>
      <c r="B1216" t="s">
        <v>12</v>
      </c>
      <c r="C1216">
        <v>32.82</v>
      </c>
      <c r="D1216" t="s">
        <v>52</v>
      </c>
      <c r="E1216" t="s">
        <v>14</v>
      </c>
      <c r="F1216" t="s">
        <v>32</v>
      </c>
      <c r="G1216" t="s">
        <v>207</v>
      </c>
      <c r="H1216" t="s">
        <v>33</v>
      </c>
      <c r="I1216" t="s">
        <v>123</v>
      </c>
      <c r="J1216" t="s">
        <v>224</v>
      </c>
      <c r="K1216" s="1">
        <v>0.38760396990740742</v>
      </c>
      <c r="L1216">
        <f>YEAR(Coffe_sales[[#This Row],[Date]])</f>
        <v>2024</v>
      </c>
    </row>
    <row r="1217" spans="1:12" x14ac:dyDescent="0.2">
      <c r="A1217" t="s">
        <v>11</v>
      </c>
      <c r="B1217" t="s">
        <v>12</v>
      </c>
      <c r="C1217">
        <v>27.92</v>
      </c>
      <c r="D1217" t="s">
        <v>26</v>
      </c>
      <c r="E1217" t="s">
        <v>14</v>
      </c>
      <c r="F1217" t="s">
        <v>32</v>
      </c>
      <c r="G1217" t="s">
        <v>207</v>
      </c>
      <c r="H1217" t="s">
        <v>33</v>
      </c>
      <c r="I1217" t="s">
        <v>123</v>
      </c>
      <c r="J1217" t="s">
        <v>224</v>
      </c>
      <c r="K1217" s="1">
        <v>0.45395054398148149</v>
      </c>
      <c r="L1217">
        <f>YEAR(Coffe_sales[[#This Row],[Date]])</f>
        <v>2024</v>
      </c>
    </row>
    <row r="1218" spans="1:12" x14ac:dyDescent="0.2">
      <c r="A1218" t="s">
        <v>35</v>
      </c>
      <c r="B1218" t="s">
        <v>12</v>
      </c>
      <c r="C1218">
        <v>23.02</v>
      </c>
      <c r="D1218" t="s">
        <v>41</v>
      </c>
      <c r="E1218" t="s">
        <v>14</v>
      </c>
      <c r="F1218" t="s">
        <v>32</v>
      </c>
      <c r="G1218" t="s">
        <v>207</v>
      </c>
      <c r="H1218" t="s">
        <v>33</v>
      </c>
      <c r="I1218" t="s">
        <v>123</v>
      </c>
      <c r="J1218" t="s">
        <v>224</v>
      </c>
      <c r="K1218" s="1">
        <v>0.49909315972222223</v>
      </c>
      <c r="L1218">
        <f>YEAR(Coffe_sales[[#This Row],[Date]])</f>
        <v>2024</v>
      </c>
    </row>
    <row r="1219" spans="1:12" x14ac:dyDescent="0.2">
      <c r="A1219" t="s">
        <v>35</v>
      </c>
      <c r="B1219" t="s">
        <v>12</v>
      </c>
      <c r="C1219">
        <v>23.02</v>
      </c>
      <c r="D1219" t="s">
        <v>41</v>
      </c>
      <c r="E1219" t="s">
        <v>14</v>
      </c>
      <c r="F1219" t="s">
        <v>32</v>
      </c>
      <c r="G1219" t="s">
        <v>207</v>
      </c>
      <c r="H1219" t="s">
        <v>33</v>
      </c>
      <c r="I1219" t="s">
        <v>123</v>
      </c>
      <c r="J1219" t="s">
        <v>224</v>
      </c>
      <c r="K1219" s="1">
        <v>0.49963307870370371</v>
      </c>
      <c r="L1219">
        <f>YEAR(Coffe_sales[[#This Row],[Date]])</f>
        <v>2024</v>
      </c>
    </row>
    <row r="1220" spans="1:12" x14ac:dyDescent="0.2">
      <c r="A1220" t="s">
        <v>23</v>
      </c>
      <c r="B1220" t="s">
        <v>12</v>
      </c>
      <c r="C1220">
        <v>27.92</v>
      </c>
      <c r="D1220" t="s">
        <v>26</v>
      </c>
      <c r="E1220" t="s">
        <v>22</v>
      </c>
      <c r="F1220" t="s">
        <v>32</v>
      </c>
      <c r="G1220" t="s">
        <v>207</v>
      </c>
      <c r="H1220" t="s">
        <v>33</v>
      </c>
      <c r="I1220" t="s">
        <v>123</v>
      </c>
      <c r="J1220" t="s">
        <v>224</v>
      </c>
      <c r="K1220" s="1">
        <v>0.55463175925925923</v>
      </c>
      <c r="L1220">
        <f>YEAR(Coffe_sales[[#This Row],[Date]])</f>
        <v>2024</v>
      </c>
    </row>
    <row r="1221" spans="1:12" x14ac:dyDescent="0.2">
      <c r="A1221" t="s">
        <v>27</v>
      </c>
      <c r="B1221" t="s">
        <v>12</v>
      </c>
      <c r="C1221">
        <v>23.02</v>
      </c>
      <c r="D1221" t="s">
        <v>41</v>
      </c>
      <c r="E1221" t="s">
        <v>22</v>
      </c>
      <c r="F1221" t="s">
        <v>32</v>
      </c>
      <c r="G1221" t="s">
        <v>207</v>
      </c>
      <c r="H1221" t="s">
        <v>33</v>
      </c>
      <c r="I1221" t="s">
        <v>123</v>
      </c>
      <c r="J1221" t="s">
        <v>224</v>
      </c>
      <c r="K1221" s="1">
        <v>0.68882913194444439</v>
      </c>
      <c r="L1221">
        <f>YEAR(Coffe_sales[[#This Row],[Date]])</f>
        <v>2024</v>
      </c>
    </row>
    <row r="1222" spans="1:12" x14ac:dyDescent="0.2">
      <c r="A1222" t="s">
        <v>27</v>
      </c>
      <c r="B1222" t="s">
        <v>12</v>
      </c>
      <c r="C1222">
        <v>32.82</v>
      </c>
      <c r="D1222" t="s">
        <v>13</v>
      </c>
      <c r="E1222" t="s">
        <v>22</v>
      </c>
      <c r="F1222" t="s">
        <v>32</v>
      </c>
      <c r="G1222" t="s">
        <v>207</v>
      </c>
      <c r="H1222" t="s">
        <v>33</v>
      </c>
      <c r="I1222" t="s">
        <v>123</v>
      </c>
      <c r="J1222" t="s">
        <v>224</v>
      </c>
      <c r="K1222" s="1">
        <v>0.69015019675925926</v>
      </c>
      <c r="L1222">
        <f>YEAR(Coffe_sales[[#This Row],[Date]])</f>
        <v>2024</v>
      </c>
    </row>
    <row r="1223" spans="1:12" x14ac:dyDescent="0.2">
      <c r="A1223" t="s">
        <v>28</v>
      </c>
      <c r="B1223" t="s">
        <v>12</v>
      </c>
      <c r="C1223">
        <v>32.82</v>
      </c>
      <c r="D1223" t="s">
        <v>52</v>
      </c>
      <c r="E1223" t="s">
        <v>29</v>
      </c>
      <c r="F1223" t="s">
        <v>32</v>
      </c>
      <c r="G1223" t="s">
        <v>207</v>
      </c>
      <c r="H1223" t="s">
        <v>33</v>
      </c>
      <c r="I1223" t="s">
        <v>123</v>
      </c>
      <c r="J1223" t="s">
        <v>224</v>
      </c>
      <c r="K1223" s="1">
        <v>0.7840144907407407</v>
      </c>
      <c r="L1223">
        <f>YEAR(Coffe_sales[[#This Row],[Date]])</f>
        <v>2024</v>
      </c>
    </row>
    <row r="1224" spans="1:12" x14ac:dyDescent="0.2">
      <c r="A1224" t="s">
        <v>131</v>
      </c>
      <c r="B1224" t="s">
        <v>12</v>
      </c>
      <c r="C1224">
        <v>27.92</v>
      </c>
      <c r="D1224" t="s">
        <v>26</v>
      </c>
      <c r="E1224" t="s">
        <v>29</v>
      </c>
      <c r="F1224" t="s">
        <v>32</v>
      </c>
      <c r="G1224" t="s">
        <v>207</v>
      </c>
      <c r="H1224" t="s">
        <v>33</v>
      </c>
      <c r="I1224" t="s">
        <v>123</v>
      </c>
      <c r="J1224" t="s">
        <v>224</v>
      </c>
      <c r="K1224" s="1">
        <v>0.88815747685185187</v>
      </c>
      <c r="L1224">
        <f>YEAR(Coffe_sales[[#This Row],[Date]])</f>
        <v>2024</v>
      </c>
    </row>
    <row r="1225" spans="1:12" x14ac:dyDescent="0.2">
      <c r="A1225" t="s">
        <v>125</v>
      </c>
      <c r="B1225" t="s">
        <v>12</v>
      </c>
      <c r="C1225">
        <v>32.82</v>
      </c>
      <c r="D1225" t="s">
        <v>13</v>
      </c>
      <c r="E1225" t="s">
        <v>29</v>
      </c>
      <c r="F1225" t="s">
        <v>32</v>
      </c>
      <c r="G1225" t="s">
        <v>207</v>
      </c>
      <c r="H1225" t="s">
        <v>33</v>
      </c>
      <c r="I1225" t="s">
        <v>123</v>
      </c>
      <c r="J1225" t="s">
        <v>224</v>
      </c>
      <c r="K1225" s="1">
        <v>0.94628878472222222</v>
      </c>
      <c r="L1225">
        <f>YEAR(Coffe_sales[[#This Row],[Date]])</f>
        <v>2024</v>
      </c>
    </row>
    <row r="1226" spans="1:12" x14ac:dyDescent="0.2">
      <c r="A1226" t="s">
        <v>123</v>
      </c>
      <c r="B1226" t="s">
        <v>12</v>
      </c>
      <c r="C1226">
        <v>32.82</v>
      </c>
      <c r="D1226" t="s">
        <v>52</v>
      </c>
      <c r="E1226" t="s">
        <v>14</v>
      </c>
      <c r="F1226" t="s">
        <v>38</v>
      </c>
      <c r="G1226" t="s">
        <v>207</v>
      </c>
      <c r="H1226" t="s">
        <v>39</v>
      </c>
      <c r="I1226" t="s">
        <v>123</v>
      </c>
      <c r="J1226" t="s">
        <v>225</v>
      </c>
      <c r="K1226" s="1">
        <v>0.34007640046296295</v>
      </c>
      <c r="L1226">
        <f>YEAR(Coffe_sales[[#This Row],[Date]])</f>
        <v>2024</v>
      </c>
    </row>
    <row r="1227" spans="1:12" x14ac:dyDescent="0.2">
      <c r="A1227" t="s">
        <v>123</v>
      </c>
      <c r="B1227" t="s">
        <v>12</v>
      </c>
      <c r="C1227">
        <v>32.82</v>
      </c>
      <c r="D1227" t="s">
        <v>52</v>
      </c>
      <c r="E1227" t="s">
        <v>14</v>
      </c>
      <c r="F1227" t="s">
        <v>38</v>
      </c>
      <c r="G1227" t="s">
        <v>207</v>
      </c>
      <c r="H1227" t="s">
        <v>39</v>
      </c>
      <c r="I1227" t="s">
        <v>123</v>
      </c>
      <c r="J1227" t="s">
        <v>225</v>
      </c>
      <c r="K1227" s="1">
        <v>0.35562033564814816</v>
      </c>
      <c r="L1227">
        <f>YEAR(Coffe_sales[[#This Row],[Date]])</f>
        <v>2024</v>
      </c>
    </row>
    <row r="1228" spans="1:12" x14ac:dyDescent="0.2">
      <c r="A1228" t="s">
        <v>123</v>
      </c>
      <c r="B1228" t="s">
        <v>12</v>
      </c>
      <c r="C1228">
        <v>23.02</v>
      </c>
      <c r="D1228" t="s">
        <v>41</v>
      </c>
      <c r="E1228" t="s">
        <v>14</v>
      </c>
      <c r="F1228" t="s">
        <v>38</v>
      </c>
      <c r="G1228" t="s">
        <v>207</v>
      </c>
      <c r="H1228" t="s">
        <v>39</v>
      </c>
      <c r="I1228" t="s">
        <v>123</v>
      </c>
      <c r="J1228" t="s">
        <v>225</v>
      </c>
      <c r="K1228" s="1">
        <v>0.36187788194444442</v>
      </c>
      <c r="L1228">
        <f>YEAR(Coffe_sales[[#This Row],[Date]])</f>
        <v>2024</v>
      </c>
    </row>
    <row r="1229" spans="1:12" x14ac:dyDescent="0.2">
      <c r="A1229" t="s">
        <v>123</v>
      </c>
      <c r="B1229" t="s">
        <v>12</v>
      </c>
      <c r="C1229">
        <v>27.92</v>
      </c>
      <c r="D1229" t="s">
        <v>26</v>
      </c>
      <c r="E1229" t="s">
        <v>14</v>
      </c>
      <c r="F1229" t="s">
        <v>38</v>
      </c>
      <c r="G1229" t="s">
        <v>207</v>
      </c>
      <c r="H1229" t="s">
        <v>39</v>
      </c>
      <c r="I1229" t="s">
        <v>123</v>
      </c>
      <c r="J1229" t="s">
        <v>225</v>
      </c>
      <c r="K1229" s="1">
        <v>0.37223717592592592</v>
      </c>
      <c r="L1229">
        <f>YEAR(Coffe_sales[[#This Row],[Date]])</f>
        <v>2024</v>
      </c>
    </row>
    <row r="1230" spans="1:12" x14ac:dyDescent="0.2">
      <c r="A1230" t="s">
        <v>20</v>
      </c>
      <c r="B1230" t="s">
        <v>12</v>
      </c>
      <c r="C1230">
        <v>32.82</v>
      </c>
      <c r="D1230" t="s">
        <v>52</v>
      </c>
      <c r="E1230" t="s">
        <v>22</v>
      </c>
      <c r="F1230" t="s">
        <v>38</v>
      </c>
      <c r="G1230" t="s">
        <v>207</v>
      </c>
      <c r="H1230" t="s">
        <v>39</v>
      </c>
      <c r="I1230" t="s">
        <v>123</v>
      </c>
      <c r="J1230" t="s">
        <v>225</v>
      </c>
      <c r="K1230" s="1">
        <v>0.52200106481481479</v>
      </c>
      <c r="L1230">
        <f>YEAR(Coffe_sales[[#This Row],[Date]])</f>
        <v>2024</v>
      </c>
    </row>
    <row r="1231" spans="1:12" x14ac:dyDescent="0.2">
      <c r="A1231" t="s">
        <v>36</v>
      </c>
      <c r="B1231" t="s">
        <v>12</v>
      </c>
      <c r="C1231">
        <v>27.92</v>
      </c>
      <c r="D1231" t="s">
        <v>26</v>
      </c>
      <c r="E1231" t="s">
        <v>22</v>
      </c>
      <c r="F1231" t="s">
        <v>38</v>
      </c>
      <c r="G1231" t="s">
        <v>207</v>
      </c>
      <c r="H1231" t="s">
        <v>39</v>
      </c>
      <c r="I1231" t="s">
        <v>123</v>
      </c>
      <c r="J1231" t="s">
        <v>225</v>
      </c>
      <c r="K1231" s="1">
        <v>0.60441672453703699</v>
      </c>
      <c r="L1231">
        <f>YEAR(Coffe_sales[[#This Row],[Date]])</f>
        <v>2024</v>
      </c>
    </row>
    <row r="1232" spans="1:12" x14ac:dyDescent="0.2">
      <c r="A1232" t="s">
        <v>28</v>
      </c>
      <c r="B1232" t="s">
        <v>12</v>
      </c>
      <c r="C1232">
        <v>27.92</v>
      </c>
      <c r="D1232" t="s">
        <v>26</v>
      </c>
      <c r="E1232" t="s">
        <v>29</v>
      </c>
      <c r="F1232" t="s">
        <v>38</v>
      </c>
      <c r="G1232" t="s">
        <v>207</v>
      </c>
      <c r="H1232" t="s">
        <v>39</v>
      </c>
      <c r="I1232" t="s">
        <v>123</v>
      </c>
      <c r="J1232" t="s">
        <v>225</v>
      </c>
      <c r="K1232" s="1">
        <v>0.76679138888888887</v>
      </c>
      <c r="L1232">
        <f>YEAR(Coffe_sales[[#This Row],[Date]])</f>
        <v>2024</v>
      </c>
    </row>
    <row r="1233" spans="1:12" x14ac:dyDescent="0.2">
      <c r="A1233" t="s">
        <v>28</v>
      </c>
      <c r="B1233" t="s">
        <v>12</v>
      </c>
      <c r="C1233">
        <v>27.92</v>
      </c>
      <c r="D1233" t="s">
        <v>26</v>
      </c>
      <c r="E1233" t="s">
        <v>29</v>
      </c>
      <c r="F1233" t="s">
        <v>38</v>
      </c>
      <c r="G1233" t="s">
        <v>207</v>
      </c>
      <c r="H1233" t="s">
        <v>39</v>
      </c>
      <c r="I1233" t="s">
        <v>123</v>
      </c>
      <c r="J1233" t="s">
        <v>225</v>
      </c>
      <c r="K1233" s="1">
        <v>0.76809937500000003</v>
      </c>
      <c r="L1233">
        <f>YEAR(Coffe_sales[[#This Row],[Date]])</f>
        <v>2024</v>
      </c>
    </row>
    <row r="1234" spans="1:12" x14ac:dyDescent="0.2">
      <c r="A1234" t="s">
        <v>28</v>
      </c>
      <c r="B1234" t="s">
        <v>12</v>
      </c>
      <c r="C1234">
        <v>23.02</v>
      </c>
      <c r="D1234" t="s">
        <v>24</v>
      </c>
      <c r="E1234" t="s">
        <v>29</v>
      </c>
      <c r="F1234" t="s">
        <v>38</v>
      </c>
      <c r="G1234" t="s">
        <v>207</v>
      </c>
      <c r="H1234" t="s">
        <v>39</v>
      </c>
      <c r="I1234" t="s">
        <v>123</v>
      </c>
      <c r="J1234" t="s">
        <v>225</v>
      </c>
      <c r="K1234" s="1">
        <v>0.76895315972222222</v>
      </c>
      <c r="L1234">
        <f>YEAR(Coffe_sales[[#This Row],[Date]])</f>
        <v>2024</v>
      </c>
    </row>
    <row r="1235" spans="1:12" x14ac:dyDescent="0.2">
      <c r="A1235" t="s">
        <v>28</v>
      </c>
      <c r="B1235" t="s">
        <v>12</v>
      </c>
      <c r="C1235">
        <v>23.02</v>
      </c>
      <c r="D1235" t="s">
        <v>24</v>
      </c>
      <c r="E1235" t="s">
        <v>29</v>
      </c>
      <c r="F1235" t="s">
        <v>38</v>
      </c>
      <c r="G1235" t="s">
        <v>207</v>
      </c>
      <c r="H1235" t="s">
        <v>39</v>
      </c>
      <c r="I1235" t="s">
        <v>123</v>
      </c>
      <c r="J1235" t="s">
        <v>225</v>
      </c>
      <c r="K1235" s="1">
        <v>0.76959570601851857</v>
      </c>
      <c r="L1235">
        <f>YEAR(Coffe_sales[[#This Row],[Date]])</f>
        <v>2024</v>
      </c>
    </row>
    <row r="1236" spans="1:12" x14ac:dyDescent="0.2">
      <c r="A1236" t="s">
        <v>25</v>
      </c>
      <c r="B1236" t="s">
        <v>12</v>
      </c>
      <c r="C1236">
        <v>27.92</v>
      </c>
      <c r="D1236" t="s">
        <v>26</v>
      </c>
      <c r="E1236" t="s">
        <v>22</v>
      </c>
      <c r="F1236" t="s">
        <v>42</v>
      </c>
      <c r="G1236" t="s">
        <v>207</v>
      </c>
      <c r="H1236" t="s">
        <v>43</v>
      </c>
      <c r="I1236" t="s">
        <v>123</v>
      </c>
      <c r="J1236" t="s">
        <v>226</v>
      </c>
      <c r="K1236" s="1">
        <v>0.6318169212962963</v>
      </c>
      <c r="L1236">
        <f>YEAR(Coffe_sales[[#This Row],[Date]])</f>
        <v>2024</v>
      </c>
    </row>
    <row r="1237" spans="1:12" x14ac:dyDescent="0.2">
      <c r="A1237" t="s">
        <v>25</v>
      </c>
      <c r="B1237" t="s">
        <v>12</v>
      </c>
      <c r="C1237">
        <v>27.92</v>
      </c>
      <c r="D1237" t="s">
        <v>26</v>
      </c>
      <c r="E1237" t="s">
        <v>22</v>
      </c>
      <c r="F1237" t="s">
        <v>42</v>
      </c>
      <c r="G1237" t="s">
        <v>207</v>
      </c>
      <c r="H1237" t="s">
        <v>43</v>
      </c>
      <c r="I1237" t="s">
        <v>123</v>
      </c>
      <c r="J1237" t="s">
        <v>226</v>
      </c>
      <c r="K1237" s="1">
        <v>0.63253717592592595</v>
      </c>
      <c r="L1237">
        <f>YEAR(Coffe_sales[[#This Row],[Date]])</f>
        <v>2024</v>
      </c>
    </row>
    <row r="1238" spans="1:12" x14ac:dyDescent="0.2">
      <c r="A1238" t="s">
        <v>131</v>
      </c>
      <c r="B1238" t="s">
        <v>12</v>
      </c>
      <c r="C1238">
        <v>32.82</v>
      </c>
      <c r="D1238" t="s">
        <v>13</v>
      </c>
      <c r="E1238" t="s">
        <v>29</v>
      </c>
      <c r="F1238" t="s">
        <v>42</v>
      </c>
      <c r="G1238" t="s">
        <v>207</v>
      </c>
      <c r="H1238" t="s">
        <v>43</v>
      </c>
      <c r="I1238" t="s">
        <v>123</v>
      </c>
      <c r="J1238" t="s">
        <v>226</v>
      </c>
      <c r="K1238" s="1">
        <v>0.88972315972222227</v>
      </c>
      <c r="L1238">
        <f>YEAR(Coffe_sales[[#This Row],[Date]])</f>
        <v>2024</v>
      </c>
    </row>
    <row r="1239" spans="1:12" x14ac:dyDescent="0.2">
      <c r="A1239" t="s">
        <v>131</v>
      </c>
      <c r="B1239" t="s">
        <v>12</v>
      </c>
      <c r="C1239">
        <v>32.82</v>
      </c>
      <c r="D1239" t="s">
        <v>31</v>
      </c>
      <c r="E1239" t="s">
        <v>29</v>
      </c>
      <c r="F1239" t="s">
        <v>42</v>
      </c>
      <c r="G1239" t="s">
        <v>207</v>
      </c>
      <c r="H1239" t="s">
        <v>43</v>
      </c>
      <c r="I1239" t="s">
        <v>123</v>
      </c>
      <c r="J1239" t="s">
        <v>226</v>
      </c>
      <c r="K1239" s="1">
        <v>0.89718791666666664</v>
      </c>
      <c r="L1239">
        <f>YEAR(Coffe_sales[[#This Row],[Date]])</f>
        <v>2024</v>
      </c>
    </row>
    <row r="1240" spans="1:12" x14ac:dyDescent="0.2">
      <c r="A1240" t="s">
        <v>123</v>
      </c>
      <c r="B1240" t="s">
        <v>12</v>
      </c>
      <c r="C1240">
        <v>23.02</v>
      </c>
      <c r="D1240" t="s">
        <v>41</v>
      </c>
      <c r="E1240" t="s">
        <v>14</v>
      </c>
      <c r="F1240" t="s">
        <v>47</v>
      </c>
      <c r="G1240" t="s">
        <v>207</v>
      </c>
      <c r="H1240" t="s">
        <v>48</v>
      </c>
      <c r="I1240" t="s">
        <v>123</v>
      </c>
      <c r="J1240" t="s">
        <v>227</v>
      </c>
      <c r="K1240" s="1">
        <v>0.35227324074074073</v>
      </c>
      <c r="L1240">
        <f>YEAR(Coffe_sales[[#This Row],[Date]])</f>
        <v>2024</v>
      </c>
    </row>
    <row r="1241" spans="1:12" x14ac:dyDescent="0.2">
      <c r="A1241" t="s">
        <v>123</v>
      </c>
      <c r="B1241" t="s">
        <v>12</v>
      </c>
      <c r="C1241">
        <v>32.82</v>
      </c>
      <c r="D1241" t="s">
        <v>13</v>
      </c>
      <c r="E1241" t="s">
        <v>14</v>
      </c>
      <c r="F1241" t="s">
        <v>47</v>
      </c>
      <c r="G1241" t="s">
        <v>207</v>
      </c>
      <c r="H1241" t="s">
        <v>48</v>
      </c>
      <c r="I1241" t="s">
        <v>123</v>
      </c>
      <c r="J1241" t="s">
        <v>227</v>
      </c>
      <c r="K1241" s="1">
        <v>0.3536448611111111</v>
      </c>
      <c r="L1241">
        <f>YEAR(Coffe_sales[[#This Row],[Date]])</f>
        <v>2024</v>
      </c>
    </row>
    <row r="1242" spans="1:12" x14ac:dyDescent="0.2">
      <c r="A1242" t="s">
        <v>123</v>
      </c>
      <c r="B1242" t="s">
        <v>12</v>
      </c>
      <c r="C1242">
        <v>18.12</v>
      </c>
      <c r="D1242" t="s">
        <v>45</v>
      </c>
      <c r="E1242" t="s">
        <v>14</v>
      </c>
      <c r="F1242" t="s">
        <v>47</v>
      </c>
      <c r="G1242" t="s">
        <v>207</v>
      </c>
      <c r="H1242" t="s">
        <v>48</v>
      </c>
      <c r="I1242" t="s">
        <v>123</v>
      </c>
      <c r="J1242" t="s">
        <v>227</v>
      </c>
      <c r="K1242" s="1">
        <v>0.36791057870370369</v>
      </c>
      <c r="L1242">
        <f>YEAR(Coffe_sales[[#This Row],[Date]])</f>
        <v>2024</v>
      </c>
    </row>
    <row r="1243" spans="1:12" x14ac:dyDescent="0.2">
      <c r="A1243" t="s">
        <v>123</v>
      </c>
      <c r="B1243" t="s">
        <v>12</v>
      </c>
      <c r="C1243">
        <v>23.02</v>
      </c>
      <c r="D1243" t="s">
        <v>41</v>
      </c>
      <c r="E1243" t="s">
        <v>14</v>
      </c>
      <c r="F1243" t="s">
        <v>47</v>
      </c>
      <c r="G1243" t="s">
        <v>207</v>
      </c>
      <c r="H1243" t="s">
        <v>48</v>
      </c>
      <c r="I1243" t="s">
        <v>123</v>
      </c>
      <c r="J1243" t="s">
        <v>227</v>
      </c>
      <c r="K1243" s="1">
        <v>0.36847619212962962</v>
      </c>
      <c r="L1243">
        <f>YEAR(Coffe_sales[[#This Row],[Date]])</f>
        <v>2024</v>
      </c>
    </row>
    <row r="1244" spans="1:12" x14ac:dyDescent="0.2">
      <c r="A1244" t="s">
        <v>46</v>
      </c>
      <c r="B1244" t="s">
        <v>12</v>
      </c>
      <c r="C1244">
        <v>27.92</v>
      </c>
      <c r="D1244" t="s">
        <v>26</v>
      </c>
      <c r="E1244" t="s">
        <v>14</v>
      </c>
      <c r="F1244" t="s">
        <v>47</v>
      </c>
      <c r="G1244" t="s">
        <v>207</v>
      </c>
      <c r="H1244" t="s">
        <v>48</v>
      </c>
      <c r="I1244" t="s">
        <v>123</v>
      </c>
      <c r="J1244" t="s">
        <v>227</v>
      </c>
      <c r="K1244" s="1">
        <v>0.38535746527777776</v>
      </c>
      <c r="L1244">
        <f>YEAR(Coffe_sales[[#This Row],[Date]])</f>
        <v>2024</v>
      </c>
    </row>
    <row r="1245" spans="1:12" x14ac:dyDescent="0.2">
      <c r="A1245" t="s">
        <v>35</v>
      </c>
      <c r="B1245" t="s">
        <v>12</v>
      </c>
      <c r="C1245">
        <v>23.02</v>
      </c>
      <c r="D1245" t="s">
        <v>24</v>
      </c>
      <c r="E1245" t="s">
        <v>14</v>
      </c>
      <c r="F1245" t="s">
        <v>47</v>
      </c>
      <c r="G1245" t="s">
        <v>207</v>
      </c>
      <c r="H1245" t="s">
        <v>48</v>
      </c>
      <c r="I1245" t="s">
        <v>123</v>
      </c>
      <c r="J1245" t="s">
        <v>227</v>
      </c>
      <c r="K1245" s="1">
        <v>0.4652265625</v>
      </c>
      <c r="L1245">
        <f>YEAR(Coffe_sales[[#This Row],[Date]])</f>
        <v>2024</v>
      </c>
    </row>
    <row r="1246" spans="1:12" x14ac:dyDescent="0.2">
      <c r="A1246" t="s">
        <v>35</v>
      </c>
      <c r="B1246" t="s">
        <v>12</v>
      </c>
      <c r="C1246">
        <v>23.02</v>
      </c>
      <c r="D1246" t="s">
        <v>24</v>
      </c>
      <c r="E1246" t="s">
        <v>14</v>
      </c>
      <c r="F1246" t="s">
        <v>47</v>
      </c>
      <c r="G1246" t="s">
        <v>207</v>
      </c>
      <c r="H1246" t="s">
        <v>48</v>
      </c>
      <c r="I1246" t="s">
        <v>123</v>
      </c>
      <c r="J1246" t="s">
        <v>227</v>
      </c>
      <c r="K1246" s="1">
        <v>0.46642457175925928</v>
      </c>
      <c r="L1246">
        <f>YEAR(Coffe_sales[[#This Row],[Date]])</f>
        <v>2024</v>
      </c>
    </row>
    <row r="1247" spans="1:12" x14ac:dyDescent="0.2">
      <c r="A1247" t="s">
        <v>35</v>
      </c>
      <c r="B1247" t="s">
        <v>12</v>
      </c>
      <c r="C1247">
        <v>23.02</v>
      </c>
      <c r="D1247" t="s">
        <v>24</v>
      </c>
      <c r="E1247" t="s">
        <v>14</v>
      </c>
      <c r="F1247" t="s">
        <v>47</v>
      </c>
      <c r="G1247" t="s">
        <v>207</v>
      </c>
      <c r="H1247" t="s">
        <v>48</v>
      </c>
      <c r="I1247" t="s">
        <v>123</v>
      </c>
      <c r="J1247" t="s">
        <v>227</v>
      </c>
      <c r="K1247" s="1">
        <v>0.46702755787037037</v>
      </c>
      <c r="L1247">
        <f>YEAR(Coffe_sales[[#This Row],[Date]])</f>
        <v>2024</v>
      </c>
    </row>
    <row r="1248" spans="1:12" x14ac:dyDescent="0.2">
      <c r="A1248" t="s">
        <v>35</v>
      </c>
      <c r="B1248" t="s">
        <v>12</v>
      </c>
      <c r="C1248">
        <v>32.82</v>
      </c>
      <c r="D1248" t="s">
        <v>13</v>
      </c>
      <c r="E1248" t="s">
        <v>14</v>
      </c>
      <c r="F1248" t="s">
        <v>47</v>
      </c>
      <c r="G1248" t="s">
        <v>207</v>
      </c>
      <c r="H1248" t="s">
        <v>48</v>
      </c>
      <c r="I1248" t="s">
        <v>123</v>
      </c>
      <c r="J1248" t="s">
        <v>227</v>
      </c>
      <c r="K1248" s="1">
        <v>0.48773148148148149</v>
      </c>
      <c r="L1248">
        <f>YEAR(Coffe_sales[[#This Row],[Date]])</f>
        <v>2024</v>
      </c>
    </row>
    <row r="1249" spans="1:12" x14ac:dyDescent="0.2">
      <c r="A1249" t="s">
        <v>91</v>
      </c>
      <c r="B1249" t="s">
        <v>12</v>
      </c>
      <c r="C1249">
        <v>32.82</v>
      </c>
      <c r="D1249" t="s">
        <v>13</v>
      </c>
      <c r="E1249" t="s">
        <v>29</v>
      </c>
      <c r="F1249" t="s">
        <v>47</v>
      </c>
      <c r="G1249" t="s">
        <v>207</v>
      </c>
      <c r="H1249" t="s">
        <v>48</v>
      </c>
      <c r="I1249" t="s">
        <v>123</v>
      </c>
      <c r="J1249" t="s">
        <v>227</v>
      </c>
      <c r="K1249" s="1">
        <v>0.86297306712962962</v>
      </c>
      <c r="L1249">
        <f>YEAR(Coffe_sales[[#This Row],[Date]])</f>
        <v>2024</v>
      </c>
    </row>
    <row r="1250" spans="1:12" x14ac:dyDescent="0.2">
      <c r="A1250" t="s">
        <v>91</v>
      </c>
      <c r="B1250" t="s">
        <v>12</v>
      </c>
      <c r="C1250">
        <v>32.82</v>
      </c>
      <c r="D1250" t="s">
        <v>13</v>
      </c>
      <c r="E1250" t="s">
        <v>29</v>
      </c>
      <c r="F1250" t="s">
        <v>47</v>
      </c>
      <c r="G1250" t="s">
        <v>207</v>
      </c>
      <c r="H1250" t="s">
        <v>48</v>
      </c>
      <c r="I1250" t="s">
        <v>123</v>
      </c>
      <c r="J1250" t="s">
        <v>227</v>
      </c>
      <c r="K1250" s="1">
        <v>0.86406078703703704</v>
      </c>
      <c r="L1250">
        <f>YEAR(Coffe_sales[[#This Row],[Date]])</f>
        <v>2024</v>
      </c>
    </row>
    <row r="1251" spans="1:12" x14ac:dyDescent="0.2">
      <c r="A1251" t="s">
        <v>91</v>
      </c>
      <c r="B1251" t="s">
        <v>12</v>
      </c>
      <c r="C1251">
        <v>32.82</v>
      </c>
      <c r="D1251" t="s">
        <v>13</v>
      </c>
      <c r="E1251" t="s">
        <v>29</v>
      </c>
      <c r="F1251" t="s">
        <v>47</v>
      </c>
      <c r="G1251" t="s">
        <v>207</v>
      </c>
      <c r="H1251" t="s">
        <v>48</v>
      </c>
      <c r="I1251" t="s">
        <v>123</v>
      </c>
      <c r="J1251" t="s">
        <v>227</v>
      </c>
      <c r="K1251" s="1">
        <v>0.86472622685185185</v>
      </c>
      <c r="L1251">
        <f>YEAR(Coffe_sales[[#This Row],[Date]])</f>
        <v>2024</v>
      </c>
    </row>
    <row r="1252" spans="1:12" x14ac:dyDescent="0.2">
      <c r="A1252" t="s">
        <v>91</v>
      </c>
      <c r="B1252" t="s">
        <v>12</v>
      </c>
      <c r="C1252">
        <v>32.82</v>
      </c>
      <c r="D1252" t="s">
        <v>13</v>
      </c>
      <c r="E1252" t="s">
        <v>29</v>
      </c>
      <c r="F1252" t="s">
        <v>47</v>
      </c>
      <c r="G1252" t="s">
        <v>207</v>
      </c>
      <c r="H1252" t="s">
        <v>48</v>
      </c>
      <c r="I1252" t="s">
        <v>123</v>
      </c>
      <c r="J1252" t="s">
        <v>227</v>
      </c>
      <c r="K1252" s="1">
        <v>0.86532394675925928</v>
      </c>
      <c r="L1252">
        <f>YEAR(Coffe_sales[[#This Row],[Date]])</f>
        <v>2024</v>
      </c>
    </row>
    <row r="1253" spans="1:12" x14ac:dyDescent="0.2">
      <c r="A1253" t="s">
        <v>39</v>
      </c>
      <c r="B1253" t="s">
        <v>12</v>
      </c>
      <c r="C1253">
        <v>27.92</v>
      </c>
      <c r="D1253" t="s">
        <v>26</v>
      </c>
      <c r="E1253" t="s">
        <v>14</v>
      </c>
      <c r="F1253" t="s">
        <v>50</v>
      </c>
      <c r="G1253" t="s">
        <v>207</v>
      </c>
      <c r="H1253" t="s">
        <v>18</v>
      </c>
      <c r="I1253" t="s">
        <v>123</v>
      </c>
      <c r="J1253" t="s">
        <v>228</v>
      </c>
      <c r="K1253" s="1">
        <v>0.33279048611111112</v>
      </c>
      <c r="L1253">
        <f>YEAR(Coffe_sales[[#This Row],[Date]])</f>
        <v>2024</v>
      </c>
    </row>
    <row r="1254" spans="1:12" x14ac:dyDescent="0.2">
      <c r="A1254" t="s">
        <v>123</v>
      </c>
      <c r="B1254" t="s">
        <v>12</v>
      </c>
      <c r="C1254">
        <v>23.02</v>
      </c>
      <c r="D1254" t="s">
        <v>41</v>
      </c>
      <c r="E1254" t="s">
        <v>14</v>
      </c>
      <c r="F1254" t="s">
        <v>50</v>
      </c>
      <c r="G1254" t="s">
        <v>207</v>
      </c>
      <c r="H1254" t="s">
        <v>18</v>
      </c>
      <c r="I1254" t="s">
        <v>123</v>
      </c>
      <c r="J1254" t="s">
        <v>228</v>
      </c>
      <c r="K1254" s="1">
        <v>0.3614281597222222</v>
      </c>
      <c r="L1254">
        <f>YEAR(Coffe_sales[[#This Row],[Date]])</f>
        <v>2024</v>
      </c>
    </row>
    <row r="1255" spans="1:12" x14ac:dyDescent="0.2">
      <c r="A1255" t="s">
        <v>11</v>
      </c>
      <c r="B1255" t="s">
        <v>12</v>
      </c>
      <c r="C1255">
        <v>23.02</v>
      </c>
      <c r="D1255" t="s">
        <v>24</v>
      </c>
      <c r="E1255" t="s">
        <v>14</v>
      </c>
      <c r="F1255" t="s">
        <v>50</v>
      </c>
      <c r="G1255" t="s">
        <v>207</v>
      </c>
      <c r="H1255" t="s">
        <v>18</v>
      </c>
      <c r="I1255" t="s">
        <v>123</v>
      </c>
      <c r="J1255" t="s">
        <v>228</v>
      </c>
      <c r="K1255" s="1">
        <v>0.42606949074074074</v>
      </c>
      <c r="L1255">
        <f>YEAR(Coffe_sales[[#This Row],[Date]])</f>
        <v>2024</v>
      </c>
    </row>
    <row r="1256" spans="1:12" x14ac:dyDescent="0.2">
      <c r="A1256" t="s">
        <v>11</v>
      </c>
      <c r="B1256" t="s">
        <v>12</v>
      </c>
      <c r="C1256">
        <v>27.92</v>
      </c>
      <c r="D1256" t="s">
        <v>26</v>
      </c>
      <c r="E1256" t="s">
        <v>14</v>
      </c>
      <c r="F1256" t="s">
        <v>50</v>
      </c>
      <c r="G1256" t="s">
        <v>207</v>
      </c>
      <c r="H1256" t="s">
        <v>18</v>
      </c>
      <c r="I1256" t="s">
        <v>123</v>
      </c>
      <c r="J1256" t="s">
        <v>228</v>
      </c>
      <c r="K1256" s="1">
        <v>0.44357091435185186</v>
      </c>
      <c r="L1256">
        <f>YEAR(Coffe_sales[[#This Row],[Date]])</f>
        <v>2024</v>
      </c>
    </row>
    <row r="1257" spans="1:12" x14ac:dyDescent="0.2">
      <c r="A1257" t="s">
        <v>35</v>
      </c>
      <c r="B1257" t="s">
        <v>12</v>
      </c>
      <c r="C1257">
        <v>23.02</v>
      </c>
      <c r="D1257" t="s">
        <v>41</v>
      </c>
      <c r="E1257" t="s">
        <v>14</v>
      </c>
      <c r="F1257" t="s">
        <v>50</v>
      </c>
      <c r="G1257" t="s">
        <v>207</v>
      </c>
      <c r="H1257" t="s">
        <v>18</v>
      </c>
      <c r="I1257" t="s">
        <v>123</v>
      </c>
      <c r="J1257" t="s">
        <v>228</v>
      </c>
      <c r="K1257" s="1">
        <v>0.49422961805555554</v>
      </c>
      <c r="L1257">
        <f>YEAR(Coffe_sales[[#This Row],[Date]])</f>
        <v>2024</v>
      </c>
    </row>
    <row r="1258" spans="1:12" x14ac:dyDescent="0.2">
      <c r="A1258" t="s">
        <v>23</v>
      </c>
      <c r="B1258" t="s">
        <v>12</v>
      </c>
      <c r="C1258">
        <v>32.82</v>
      </c>
      <c r="D1258" t="s">
        <v>13</v>
      </c>
      <c r="E1258" t="s">
        <v>22</v>
      </c>
      <c r="F1258" t="s">
        <v>50</v>
      </c>
      <c r="G1258" t="s">
        <v>207</v>
      </c>
      <c r="H1258" t="s">
        <v>18</v>
      </c>
      <c r="I1258" t="s">
        <v>123</v>
      </c>
      <c r="J1258" t="s">
        <v>228</v>
      </c>
      <c r="K1258" s="1">
        <v>0.55359664351851856</v>
      </c>
      <c r="L1258">
        <f>YEAR(Coffe_sales[[#This Row],[Date]])</f>
        <v>2024</v>
      </c>
    </row>
    <row r="1259" spans="1:12" x14ac:dyDescent="0.2">
      <c r="A1259" t="s">
        <v>30</v>
      </c>
      <c r="B1259" t="s">
        <v>12</v>
      </c>
      <c r="C1259">
        <v>32.82</v>
      </c>
      <c r="D1259" t="s">
        <v>13</v>
      </c>
      <c r="E1259" t="s">
        <v>29</v>
      </c>
      <c r="F1259" t="s">
        <v>50</v>
      </c>
      <c r="G1259" t="s">
        <v>207</v>
      </c>
      <c r="H1259" t="s">
        <v>18</v>
      </c>
      <c r="I1259" t="s">
        <v>123</v>
      </c>
      <c r="J1259" t="s">
        <v>228</v>
      </c>
      <c r="K1259" s="1">
        <v>0.8208741087962963</v>
      </c>
      <c r="L1259">
        <f>YEAR(Coffe_sales[[#This Row],[Date]])</f>
        <v>2024</v>
      </c>
    </row>
    <row r="1260" spans="1:12" x14ac:dyDescent="0.2">
      <c r="A1260" t="s">
        <v>46</v>
      </c>
      <c r="B1260" t="s">
        <v>12</v>
      </c>
      <c r="C1260">
        <v>23.02</v>
      </c>
      <c r="D1260" t="s">
        <v>41</v>
      </c>
      <c r="E1260" t="s">
        <v>14</v>
      </c>
      <c r="F1260" t="s">
        <v>53</v>
      </c>
      <c r="G1260" t="s">
        <v>207</v>
      </c>
      <c r="H1260" t="s">
        <v>54</v>
      </c>
      <c r="I1260" t="s">
        <v>123</v>
      </c>
      <c r="J1260" t="s">
        <v>229</v>
      </c>
      <c r="K1260" s="1">
        <v>0.39058214120370371</v>
      </c>
      <c r="L1260">
        <f>YEAR(Coffe_sales[[#This Row],[Date]])</f>
        <v>2024</v>
      </c>
    </row>
    <row r="1261" spans="1:12" x14ac:dyDescent="0.2">
      <c r="A1261" t="s">
        <v>11</v>
      </c>
      <c r="B1261" t="s">
        <v>12</v>
      </c>
      <c r="C1261">
        <v>27.92</v>
      </c>
      <c r="D1261" t="s">
        <v>26</v>
      </c>
      <c r="E1261" t="s">
        <v>14</v>
      </c>
      <c r="F1261" t="s">
        <v>53</v>
      </c>
      <c r="G1261" t="s">
        <v>207</v>
      </c>
      <c r="H1261" t="s">
        <v>54</v>
      </c>
      <c r="I1261" t="s">
        <v>123</v>
      </c>
      <c r="J1261" t="s">
        <v>229</v>
      </c>
      <c r="K1261" s="1">
        <v>0.42318831018518521</v>
      </c>
      <c r="L1261">
        <f>YEAR(Coffe_sales[[#This Row],[Date]])</f>
        <v>2024</v>
      </c>
    </row>
    <row r="1262" spans="1:12" x14ac:dyDescent="0.2">
      <c r="A1262" t="s">
        <v>11</v>
      </c>
      <c r="B1262" t="s">
        <v>12</v>
      </c>
      <c r="C1262">
        <v>27.92</v>
      </c>
      <c r="D1262" t="s">
        <v>26</v>
      </c>
      <c r="E1262" t="s">
        <v>14</v>
      </c>
      <c r="F1262" t="s">
        <v>53</v>
      </c>
      <c r="G1262" t="s">
        <v>207</v>
      </c>
      <c r="H1262" t="s">
        <v>54</v>
      </c>
      <c r="I1262" t="s">
        <v>123</v>
      </c>
      <c r="J1262" t="s">
        <v>229</v>
      </c>
      <c r="K1262" s="1">
        <v>0.44999254629629631</v>
      </c>
      <c r="L1262">
        <f>YEAR(Coffe_sales[[#This Row],[Date]])</f>
        <v>2024</v>
      </c>
    </row>
    <row r="1263" spans="1:12" x14ac:dyDescent="0.2">
      <c r="A1263" t="s">
        <v>36</v>
      </c>
      <c r="B1263" t="s">
        <v>12</v>
      </c>
      <c r="C1263">
        <v>32.82</v>
      </c>
      <c r="D1263" t="s">
        <v>13</v>
      </c>
      <c r="E1263" t="s">
        <v>22</v>
      </c>
      <c r="F1263" t="s">
        <v>53</v>
      </c>
      <c r="G1263" t="s">
        <v>207</v>
      </c>
      <c r="H1263" t="s">
        <v>54</v>
      </c>
      <c r="I1263" t="s">
        <v>123</v>
      </c>
      <c r="J1263" t="s">
        <v>229</v>
      </c>
      <c r="K1263" s="1">
        <v>0.59458409722222227</v>
      </c>
      <c r="L1263">
        <f>YEAR(Coffe_sales[[#This Row],[Date]])</f>
        <v>2024</v>
      </c>
    </row>
    <row r="1264" spans="1:12" x14ac:dyDescent="0.2">
      <c r="A1264" t="s">
        <v>36</v>
      </c>
      <c r="B1264" t="s">
        <v>12</v>
      </c>
      <c r="C1264">
        <v>32.82</v>
      </c>
      <c r="D1264" t="s">
        <v>13</v>
      </c>
      <c r="E1264" t="s">
        <v>22</v>
      </c>
      <c r="F1264" t="s">
        <v>53</v>
      </c>
      <c r="G1264" t="s">
        <v>207</v>
      </c>
      <c r="H1264" t="s">
        <v>54</v>
      </c>
      <c r="I1264" t="s">
        <v>123</v>
      </c>
      <c r="J1264" t="s">
        <v>229</v>
      </c>
      <c r="K1264" s="1">
        <v>0.60206363425925924</v>
      </c>
      <c r="L1264">
        <f>YEAR(Coffe_sales[[#This Row],[Date]])</f>
        <v>2024</v>
      </c>
    </row>
    <row r="1265" spans="1:12" x14ac:dyDescent="0.2">
      <c r="A1265" t="s">
        <v>25</v>
      </c>
      <c r="B1265" t="s">
        <v>12</v>
      </c>
      <c r="C1265">
        <v>32.82</v>
      </c>
      <c r="D1265" t="s">
        <v>52</v>
      </c>
      <c r="E1265" t="s">
        <v>22</v>
      </c>
      <c r="F1265" t="s">
        <v>53</v>
      </c>
      <c r="G1265" t="s">
        <v>207</v>
      </c>
      <c r="H1265" t="s">
        <v>54</v>
      </c>
      <c r="I1265" t="s">
        <v>123</v>
      </c>
      <c r="J1265" t="s">
        <v>229</v>
      </c>
      <c r="K1265" s="1">
        <v>0.62994707175925924</v>
      </c>
      <c r="L1265">
        <f>YEAR(Coffe_sales[[#This Row],[Date]])</f>
        <v>2024</v>
      </c>
    </row>
    <row r="1266" spans="1:12" x14ac:dyDescent="0.2">
      <c r="A1266" t="s">
        <v>25</v>
      </c>
      <c r="B1266" t="s">
        <v>12</v>
      </c>
      <c r="C1266">
        <v>23.02</v>
      </c>
      <c r="D1266" t="s">
        <v>24</v>
      </c>
      <c r="E1266" t="s">
        <v>22</v>
      </c>
      <c r="F1266" t="s">
        <v>53</v>
      </c>
      <c r="G1266" t="s">
        <v>207</v>
      </c>
      <c r="H1266" t="s">
        <v>54</v>
      </c>
      <c r="I1266" t="s">
        <v>123</v>
      </c>
      <c r="J1266" t="s">
        <v>229</v>
      </c>
      <c r="K1266" s="1">
        <v>0.6440661689814815</v>
      </c>
      <c r="L1266">
        <f>YEAR(Coffe_sales[[#This Row],[Date]])</f>
        <v>2024</v>
      </c>
    </row>
    <row r="1267" spans="1:12" x14ac:dyDescent="0.2">
      <c r="A1267" t="s">
        <v>39</v>
      </c>
      <c r="B1267" t="s">
        <v>12</v>
      </c>
      <c r="C1267">
        <v>32.82</v>
      </c>
      <c r="D1267" t="s">
        <v>13</v>
      </c>
      <c r="E1267" t="s">
        <v>14</v>
      </c>
      <c r="F1267" t="s">
        <v>15</v>
      </c>
      <c r="G1267" t="s">
        <v>207</v>
      </c>
      <c r="H1267" t="s">
        <v>17</v>
      </c>
      <c r="I1267" t="s">
        <v>123</v>
      </c>
      <c r="J1267" t="s">
        <v>230</v>
      </c>
      <c r="K1267" s="1">
        <v>0.32171443287037038</v>
      </c>
      <c r="L1267">
        <f>YEAR(Coffe_sales[[#This Row],[Date]])</f>
        <v>2024</v>
      </c>
    </row>
    <row r="1268" spans="1:12" x14ac:dyDescent="0.2">
      <c r="A1268" t="s">
        <v>123</v>
      </c>
      <c r="B1268" t="s">
        <v>12</v>
      </c>
      <c r="C1268">
        <v>23.02</v>
      </c>
      <c r="D1268" t="s">
        <v>41</v>
      </c>
      <c r="E1268" t="s">
        <v>14</v>
      </c>
      <c r="F1268" t="s">
        <v>15</v>
      </c>
      <c r="G1268" t="s">
        <v>207</v>
      </c>
      <c r="H1268" t="s">
        <v>17</v>
      </c>
      <c r="I1268" t="s">
        <v>123</v>
      </c>
      <c r="J1268" t="s">
        <v>230</v>
      </c>
      <c r="K1268" s="1">
        <v>0.34847284722222222</v>
      </c>
      <c r="L1268">
        <f>YEAR(Coffe_sales[[#This Row],[Date]])</f>
        <v>2024</v>
      </c>
    </row>
    <row r="1269" spans="1:12" x14ac:dyDescent="0.2">
      <c r="A1269" t="s">
        <v>123</v>
      </c>
      <c r="B1269" t="s">
        <v>12</v>
      </c>
      <c r="C1269">
        <v>32.82</v>
      </c>
      <c r="D1269" t="s">
        <v>13</v>
      </c>
      <c r="E1269" t="s">
        <v>14</v>
      </c>
      <c r="F1269" t="s">
        <v>15</v>
      </c>
      <c r="G1269" t="s">
        <v>207</v>
      </c>
      <c r="H1269" t="s">
        <v>17</v>
      </c>
      <c r="I1269" t="s">
        <v>123</v>
      </c>
      <c r="J1269" t="s">
        <v>230</v>
      </c>
      <c r="K1269" s="1">
        <v>0.34926582175925924</v>
      </c>
      <c r="L1269">
        <f>YEAR(Coffe_sales[[#This Row],[Date]])</f>
        <v>2024</v>
      </c>
    </row>
    <row r="1270" spans="1:12" x14ac:dyDescent="0.2">
      <c r="A1270" t="s">
        <v>123</v>
      </c>
      <c r="B1270" t="s">
        <v>12</v>
      </c>
      <c r="C1270">
        <v>23.02</v>
      </c>
      <c r="D1270" t="s">
        <v>24</v>
      </c>
      <c r="E1270" t="s">
        <v>14</v>
      </c>
      <c r="F1270" t="s">
        <v>15</v>
      </c>
      <c r="G1270" t="s">
        <v>207</v>
      </c>
      <c r="H1270" t="s">
        <v>17</v>
      </c>
      <c r="I1270" t="s">
        <v>123</v>
      </c>
      <c r="J1270" t="s">
        <v>230</v>
      </c>
      <c r="K1270" s="1">
        <v>0.35669805555555556</v>
      </c>
      <c r="L1270">
        <f>YEAR(Coffe_sales[[#This Row],[Date]])</f>
        <v>2024</v>
      </c>
    </row>
    <row r="1271" spans="1:12" x14ac:dyDescent="0.2">
      <c r="A1271" t="s">
        <v>123</v>
      </c>
      <c r="B1271" t="s">
        <v>12</v>
      </c>
      <c r="C1271">
        <v>23.02</v>
      </c>
      <c r="D1271" t="s">
        <v>24</v>
      </c>
      <c r="E1271" t="s">
        <v>14</v>
      </c>
      <c r="F1271" t="s">
        <v>15</v>
      </c>
      <c r="G1271" t="s">
        <v>207</v>
      </c>
      <c r="H1271" t="s">
        <v>17</v>
      </c>
      <c r="I1271" t="s">
        <v>123</v>
      </c>
      <c r="J1271" t="s">
        <v>230</v>
      </c>
      <c r="K1271" s="1">
        <v>0.35734956018518521</v>
      </c>
      <c r="L1271">
        <f>YEAR(Coffe_sales[[#This Row],[Date]])</f>
        <v>2024</v>
      </c>
    </row>
    <row r="1272" spans="1:12" x14ac:dyDescent="0.2">
      <c r="A1272" t="s">
        <v>46</v>
      </c>
      <c r="B1272" t="s">
        <v>12</v>
      </c>
      <c r="C1272">
        <v>27.92</v>
      </c>
      <c r="D1272" t="s">
        <v>26</v>
      </c>
      <c r="E1272" t="s">
        <v>14</v>
      </c>
      <c r="F1272" t="s">
        <v>15</v>
      </c>
      <c r="G1272" t="s">
        <v>207</v>
      </c>
      <c r="H1272" t="s">
        <v>17</v>
      </c>
      <c r="I1272" t="s">
        <v>123</v>
      </c>
      <c r="J1272" t="s">
        <v>230</v>
      </c>
      <c r="K1272" s="1">
        <v>0.38532435185185188</v>
      </c>
      <c r="L1272">
        <f>YEAR(Coffe_sales[[#This Row],[Date]])</f>
        <v>2024</v>
      </c>
    </row>
    <row r="1273" spans="1:12" x14ac:dyDescent="0.2">
      <c r="A1273" t="s">
        <v>11</v>
      </c>
      <c r="B1273" t="s">
        <v>12</v>
      </c>
      <c r="C1273">
        <v>32.82</v>
      </c>
      <c r="D1273" t="s">
        <v>31</v>
      </c>
      <c r="E1273" t="s">
        <v>14</v>
      </c>
      <c r="F1273" t="s">
        <v>15</v>
      </c>
      <c r="G1273" t="s">
        <v>207</v>
      </c>
      <c r="H1273" t="s">
        <v>17</v>
      </c>
      <c r="I1273" t="s">
        <v>123</v>
      </c>
      <c r="J1273" t="s">
        <v>230</v>
      </c>
      <c r="K1273" s="1">
        <v>0.42429055555555556</v>
      </c>
      <c r="L1273">
        <f>YEAR(Coffe_sales[[#This Row],[Date]])</f>
        <v>2024</v>
      </c>
    </row>
    <row r="1274" spans="1:12" x14ac:dyDescent="0.2">
      <c r="A1274" t="s">
        <v>11</v>
      </c>
      <c r="B1274" t="s">
        <v>12</v>
      </c>
      <c r="C1274">
        <v>23.02</v>
      </c>
      <c r="D1274" t="s">
        <v>24</v>
      </c>
      <c r="E1274" t="s">
        <v>14</v>
      </c>
      <c r="F1274" t="s">
        <v>15</v>
      </c>
      <c r="G1274" t="s">
        <v>207</v>
      </c>
      <c r="H1274" t="s">
        <v>17</v>
      </c>
      <c r="I1274" t="s">
        <v>123</v>
      </c>
      <c r="J1274" t="s">
        <v>230</v>
      </c>
      <c r="K1274" s="1">
        <v>0.42494755787037036</v>
      </c>
      <c r="L1274">
        <f>YEAR(Coffe_sales[[#This Row],[Date]])</f>
        <v>2024</v>
      </c>
    </row>
    <row r="1275" spans="1:12" x14ac:dyDescent="0.2">
      <c r="A1275" t="s">
        <v>11</v>
      </c>
      <c r="B1275" t="s">
        <v>12</v>
      </c>
      <c r="C1275">
        <v>23.02</v>
      </c>
      <c r="D1275" t="s">
        <v>41</v>
      </c>
      <c r="E1275" t="s">
        <v>14</v>
      </c>
      <c r="F1275" t="s">
        <v>15</v>
      </c>
      <c r="G1275" t="s">
        <v>207</v>
      </c>
      <c r="H1275" t="s">
        <v>17</v>
      </c>
      <c r="I1275" t="s">
        <v>123</v>
      </c>
      <c r="J1275" t="s">
        <v>230</v>
      </c>
      <c r="K1275" s="1">
        <v>0.44389211805555556</v>
      </c>
      <c r="L1275">
        <f>YEAR(Coffe_sales[[#This Row],[Date]])</f>
        <v>2024</v>
      </c>
    </row>
    <row r="1276" spans="1:12" x14ac:dyDescent="0.2">
      <c r="A1276" t="s">
        <v>35</v>
      </c>
      <c r="B1276" t="s">
        <v>12</v>
      </c>
      <c r="C1276">
        <v>32.82</v>
      </c>
      <c r="D1276" t="s">
        <v>21</v>
      </c>
      <c r="E1276" t="s">
        <v>14</v>
      </c>
      <c r="F1276" t="s">
        <v>15</v>
      </c>
      <c r="G1276" t="s">
        <v>207</v>
      </c>
      <c r="H1276" t="s">
        <v>17</v>
      </c>
      <c r="I1276" t="s">
        <v>123</v>
      </c>
      <c r="J1276" t="s">
        <v>230</v>
      </c>
      <c r="K1276" s="1">
        <v>0.4673540162037037</v>
      </c>
      <c r="L1276">
        <f>YEAR(Coffe_sales[[#This Row],[Date]])</f>
        <v>2024</v>
      </c>
    </row>
    <row r="1277" spans="1:12" x14ac:dyDescent="0.2">
      <c r="A1277" t="s">
        <v>23</v>
      </c>
      <c r="B1277" t="s">
        <v>12</v>
      </c>
      <c r="C1277">
        <v>23.02</v>
      </c>
      <c r="D1277" t="s">
        <v>24</v>
      </c>
      <c r="E1277" t="s">
        <v>22</v>
      </c>
      <c r="F1277" t="s">
        <v>15</v>
      </c>
      <c r="G1277" t="s">
        <v>207</v>
      </c>
      <c r="H1277" t="s">
        <v>17</v>
      </c>
      <c r="I1277" t="s">
        <v>123</v>
      </c>
      <c r="J1277" t="s">
        <v>230</v>
      </c>
      <c r="K1277" s="1">
        <v>0.55896699074074074</v>
      </c>
      <c r="L1277">
        <f>YEAR(Coffe_sales[[#This Row],[Date]])</f>
        <v>2024</v>
      </c>
    </row>
    <row r="1278" spans="1:12" x14ac:dyDescent="0.2">
      <c r="A1278" t="s">
        <v>25</v>
      </c>
      <c r="B1278" t="s">
        <v>12</v>
      </c>
      <c r="C1278">
        <v>23.02</v>
      </c>
      <c r="D1278" t="s">
        <v>24</v>
      </c>
      <c r="E1278" t="s">
        <v>22</v>
      </c>
      <c r="F1278" t="s">
        <v>15</v>
      </c>
      <c r="G1278" t="s">
        <v>207</v>
      </c>
      <c r="H1278" t="s">
        <v>17</v>
      </c>
      <c r="I1278" t="s">
        <v>123</v>
      </c>
      <c r="J1278" t="s">
        <v>230</v>
      </c>
      <c r="K1278" s="1">
        <v>0.64505531250000003</v>
      </c>
      <c r="L1278">
        <f>YEAR(Coffe_sales[[#This Row],[Date]])</f>
        <v>2024</v>
      </c>
    </row>
    <row r="1279" spans="1:12" x14ac:dyDescent="0.2">
      <c r="A1279" t="s">
        <v>30</v>
      </c>
      <c r="B1279" t="s">
        <v>12</v>
      </c>
      <c r="C1279">
        <v>32.82</v>
      </c>
      <c r="D1279" t="s">
        <v>13</v>
      </c>
      <c r="E1279" t="s">
        <v>29</v>
      </c>
      <c r="F1279" t="s">
        <v>15</v>
      </c>
      <c r="G1279" t="s">
        <v>207</v>
      </c>
      <c r="H1279" t="s">
        <v>17</v>
      </c>
      <c r="I1279" t="s">
        <v>123</v>
      </c>
      <c r="J1279" t="s">
        <v>230</v>
      </c>
      <c r="K1279" s="1">
        <v>0.82503248842592591</v>
      </c>
      <c r="L1279">
        <f>YEAR(Coffe_sales[[#This Row],[Date]])</f>
        <v>2024</v>
      </c>
    </row>
    <row r="1280" spans="1:12" x14ac:dyDescent="0.2">
      <c r="A1280" t="s">
        <v>123</v>
      </c>
      <c r="B1280" t="s">
        <v>12</v>
      </c>
      <c r="C1280">
        <v>23.02</v>
      </c>
      <c r="D1280" t="s">
        <v>41</v>
      </c>
      <c r="E1280" t="s">
        <v>14</v>
      </c>
      <c r="F1280" t="s">
        <v>32</v>
      </c>
      <c r="G1280" t="s">
        <v>207</v>
      </c>
      <c r="H1280" t="s">
        <v>33</v>
      </c>
      <c r="I1280" t="s">
        <v>123</v>
      </c>
      <c r="J1280" t="s">
        <v>231</v>
      </c>
      <c r="K1280" s="1">
        <v>0.34285034722222224</v>
      </c>
      <c r="L1280">
        <f>YEAR(Coffe_sales[[#This Row],[Date]])</f>
        <v>2024</v>
      </c>
    </row>
    <row r="1281" spans="1:12" x14ac:dyDescent="0.2">
      <c r="A1281" t="s">
        <v>123</v>
      </c>
      <c r="B1281" t="s">
        <v>12</v>
      </c>
      <c r="C1281">
        <v>23.02</v>
      </c>
      <c r="D1281" t="s">
        <v>41</v>
      </c>
      <c r="E1281" t="s">
        <v>14</v>
      </c>
      <c r="F1281" t="s">
        <v>32</v>
      </c>
      <c r="G1281" t="s">
        <v>207</v>
      </c>
      <c r="H1281" t="s">
        <v>33</v>
      </c>
      <c r="I1281" t="s">
        <v>123</v>
      </c>
      <c r="J1281" t="s">
        <v>231</v>
      </c>
      <c r="K1281" s="1">
        <v>0.34360690972222224</v>
      </c>
      <c r="L1281">
        <f>YEAR(Coffe_sales[[#This Row],[Date]])</f>
        <v>2024</v>
      </c>
    </row>
    <row r="1282" spans="1:12" x14ac:dyDescent="0.2">
      <c r="A1282" t="s">
        <v>123</v>
      </c>
      <c r="B1282" t="s">
        <v>12</v>
      </c>
      <c r="C1282">
        <v>23.02</v>
      </c>
      <c r="D1282" t="s">
        <v>41</v>
      </c>
      <c r="E1282" t="s">
        <v>14</v>
      </c>
      <c r="F1282" t="s">
        <v>32</v>
      </c>
      <c r="G1282" t="s">
        <v>207</v>
      </c>
      <c r="H1282" t="s">
        <v>33</v>
      </c>
      <c r="I1282" t="s">
        <v>123</v>
      </c>
      <c r="J1282" t="s">
        <v>231</v>
      </c>
      <c r="K1282" s="1">
        <v>0.36402285879629631</v>
      </c>
      <c r="L1282">
        <f>YEAR(Coffe_sales[[#This Row],[Date]])</f>
        <v>2024</v>
      </c>
    </row>
    <row r="1283" spans="1:12" x14ac:dyDescent="0.2">
      <c r="A1283" t="s">
        <v>11</v>
      </c>
      <c r="B1283" t="s">
        <v>12</v>
      </c>
      <c r="C1283">
        <v>18.12</v>
      </c>
      <c r="D1283" t="s">
        <v>45</v>
      </c>
      <c r="E1283" t="s">
        <v>14</v>
      </c>
      <c r="F1283" t="s">
        <v>32</v>
      </c>
      <c r="G1283" t="s">
        <v>207</v>
      </c>
      <c r="H1283" t="s">
        <v>33</v>
      </c>
      <c r="I1283" t="s">
        <v>123</v>
      </c>
      <c r="J1283" t="s">
        <v>231</v>
      </c>
      <c r="K1283" s="1">
        <v>0.42927644675925924</v>
      </c>
      <c r="L1283">
        <f>YEAR(Coffe_sales[[#This Row],[Date]])</f>
        <v>2024</v>
      </c>
    </row>
    <row r="1284" spans="1:12" x14ac:dyDescent="0.2">
      <c r="A1284" t="s">
        <v>11</v>
      </c>
      <c r="B1284" t="s">
        <v>12</v>
      </c>
      <c r="C1284">
        <v>18.12</v>
      </c>
      <c r="D1284" t="s">
        <v>45</v>
      </c>
      <c r="E1284" t="s">
        <v>14</v>
      </c>
      <c r="F1284" t="s">
        <v>32</v>
      </c>
      <c r="G1284" t="s">
        <v>207</v>
      </c>
      <c r="H1284" t="s">
        <v>33</v>
      </c>
      <c r="I1284" t="s">
        <v>123</v>
      </c>
      <c r="J1284" t="s">
        <v>231</v>
      </c>
      <c r="K1284" s="1">
        <v>0.42977156249999998</v>
      </c>
      <c r="L1284">
        <f>YEAR(Coffe_sales[[#This Row],[Date]])</f>
        <v>2024</v>
      </c>
    </row>
    <row r="1285" spans="1:12" x14ac:dyDescent="0.2">
      <c r="A1285" t="s">
        <v>11</v>
      </c>
      <c r="B1285" t="s">
        <v>12</v>
      </c>
      <c r="C1285">
        <v>23.02</v>
      </c>
      <c r="D1285" t="s">
        <v>24</v>
      </c>
      <c r="E1285" t="s">
        <v>14</v>
      </c>
      <c r="F1285" t="s">
        <v>32</v>
      </c>
      <c r="G1285" t="s">
        <v>207</v>
      </c>
      <c r="H1285" t="s">
        <v>33</v>
      </c>
      <c r="I1285" t="s">
        <v>123</v>
      </c>
      <c r="J1285" t="s">
        <v>231</v>
      </c>
      <c r="K1285" s="1">
        <v>0.43043105324074071</v>
      </c>
      <c r="L1285">
        <f>YEAR(Coffe_sales[[#This Row],[Date]])</f>
        <v>2024</v>
      </c>
    </row>
    <row r="1286" spans="1:12" x14ac:dyDescent="0.2">
      <c r="A1286" t="s">
        <v>123</v>
      </c>
      <c r="B1286" t="s">
        <v>12</v>
      </c>
      <c r="C1286">
        <v>23.02</v>
      </c>
      <c r="D1286" t="s">
        <v>41</v>
      </c>
      <c r="E1286" t="s">
        <v>14</v>
      </c>
      <c r="F1286" t="s">
        <v>38</v>
      </c>
      <c r="G1286" t="s">
        <v>207</v>
      </c>
      <c r="H1286" t="s">
        <v>39</v>
      </c>
      <c r="I1286" t="s">
        <v>123</v>
      </c>
      <c r="J1286" t="s">
        <v>232</v>
      </c>
      <c r="K1286" s="1">
        <v>0.34348821759259257</v>
      </c>
      <c r="L1286">
        <f>YEAR(Coffe_sales[[#This Row],[Date]])</f>
        <v>2024</v>
      </c>
    </row>
    <row r="1287" spans="1:12" x14ac:dyDescent="0.2">
      <c r="A1287" t="s">
        <v>123</v>
      </c>
      <c r="B1287" t="s">
        <v>12</v>
      </c>
      <c r="C1287">
        <v>23.02</v>
      </c>
      <c r="D1287" t="s">
        <v>24</v>
      </c>
      <c r="E1287" t="s">
        <v>14</v>
      </c>
      <c r="F1287" t="s">
        <v>38</v>
      </c>
      <c r="G1287" t="s">
        <v>207</v>
      </c>
      <c r="H1287" t="s">
        <v>39</v>
      </c>
      <c r="I1287" t="s">
        <v>123</v>
      </c>
      <c r="J1287" t="s">
        <v>232</v>
      </c>
      <c r="K1287" s="1">
        <v>0.3517091550925926</v>
      </c>
      <c r="L1287">
        <f>YEAR(Coffe_sales[[#This Row],[Date]])</f>
        <v>2024</v>
      </c>
    </row>
    <row r="1288" spans="1:12" x14ac:dyDescent="0.2">
      <c r="A1288" t="s">
        <v>123</v>
      </c>
      <c r="B1288" t="s">
        <v>12</v>
      </c>
      <c r="C1288">
        <v>23.02</v>
      </c>
      <c r="D1288" t="s">
        <v>24</v>
      </c>
      <c r="E1288" t="s">
        <v>14</v>
      </c>
      <c r="F1288" t="s">
        <v>38</v>
      </c>
      <c r="G1288" t="s">
        <v>207</v>
      </c>
      <c r="H1288" t="s">
        <v>39</v>
      </c>
      <c r="I1288" t="s">
        <v>123</v>
      </c>
      <c r="J1288" t="s">
        <v>232</v>
      </c>
      <c r="K1288" s="1">
        <v>0.35250468750000002</v>
      </c>
      <c r="L1288">
        <f>YEAR(Coffe_sales[[#This Row],[Date]])</f>
        <v>2024</v>
      </c>
    </row>
    <row r="1289" spans="1:12" x14ac:dyDescent="0.2">
      <c r="A1289" t="s">
        <v>46</v>
      </c>
      <c r="B1289" t="s">
        <v>12</v>
      </c>
      <c r="C1289">
        <v>32.82</v>
      </c>
      <c r="D1289" t="s">
        <v>52</v>
      </c>
      <c r="E1289" t="s">
        <v>14</v>
      </c>
      <c r="F1289" t="s">
        <v>38</v>
      </c>
      <c r="G1289" t="s">
        <v>207</v>
      </c>
      <c r="H1289" t="s">
        <v>39</v>
      </c>
      <c r="I1289" t="s">
        <v>123</v>
      </c>
      <c r="J1289" t="s">
        <v>232</v>
      </c>
      <c r="K1289" s="1">
        <v>0.3919243634259259</v>
      </c>
      <c r="L1289">
        <f>YEAR(Coffe_sales[[#This Row],[Date]])</f>
        <v>2024</v>
      </c>
    </row>
    <row r="1290" spans="1:12" x14ac:dyDescent="0.2">
      <c r="A1290" t="s">
        <v>20</v>
      </c>
      <c r="B1290" t="s">
        <v>12</v>
      </c>
      <c r="C1290">
        <v>32.82</v>
      </c>
      <c r="D1290" t="s">
        <v>52</v>
      </c>
      <c r="E1290" t="s">
        <v>22</v>
      </c>
      <c r="F1290" t="s">
        <v>38</v>
      </c>
      <c r="G1290" t="s">
        <v>207</v>
      </c>
      <c r="H1290" t="s">
        <v>39</v>
      </c>
      <c r="I1290" t="s">
        <v>123</v>
      </c>
      <c r="J1290" t="s">
        <v>232</v>
      </c>
      <c r="K1290" s="1">
        <v>0.52896646990740737</v>
      </c>
      <c r="L1290">
        <f>YEAR(Coffe_sales[[#This Row],[Date]])</f>
        <v>2024</v>
      </c>
    </row>
    <row r="1291" spans="1:12" x14ac:dyDescent="0.2">
      <c r="A1291" t="s">
        <v>36</v>
      </c>
      <c r="B1291" t="s">
        <v>12</v>
      </c>
      <c r="C1291">
        <v>32.82</v>
      </c>
      <c r="D1291" t="s">
        <v>13</v>
      </c>
      <c r="E1291" t="s">
        <v>22</v>
      </c>
      <c r="F1291" t="s">
        <v>38</v>
      </c>
      <c r="G1291" t="s">
        <v>207</v>
      </c>
      <c r="H1291" t="s">
        <v>39</v>
      </c>
      <c r="I1291" t="s">
        <v>123</v>
      </c>
      <c r="J1291" t="s">
        <v>232</v>
      </c>
      <c r="K1291" s="1">
        <v>0.6201701273148148</v>
      </c>
      <c r="L1291">
        <f>YEAR(Coffe_sales[[#This Row],[Date]])</f>
        <v>2024</v>
      </c>
    </row>
    <row r="1292" spans="1:12" x14ac:dyDescent="0.2">
      <c r="A1292" t="s">
        <v>123</v>
      </c>
      <c r="B1292" t="s">
        <v>12</v>
      </c>
      <c r="C1292">
        <v>23.02</v>
      </c>
      <c r="D1292" t="s">
        <v>41</v>
      </c>
      <c r="E1292" t="s">
        <v>14</v>
      </c>
      <c r="F1292" t="s">
        <v>42</v>
      </c>
      <c r="G1292" t="s">
        <v>207</v>
      </c>
      <c r="H1292" t="s">
        <v>43</v>
      </c>
      <c r="I1292" t="s">
        <v>123</v>
      </c>
      <c r="J1292" t="s">
        <v>233</v>
      </c>
      <c r="K1292" s="1">
        <v>0.34151961805555553</v>
      </c>
      <c r="L1292">
        <f>YEAR(Coffe_sales[[#This Row],[Date]])</f>
        <v>2024</v>
      </c>
    </row>
    <row r="1293" spans="1:12" x14ac:dyDescent="0.2">
      <c r="A1293" t="s">
        <v>123</v>
      </c>
      <c r="B1293" t="s">
        <v>12</v>
      </c>
      <c r="C1293">
        <v>23.02</v>
      </c>
      <c r="D1293" t="s">
        <v>24</v>
      </c>
      <c r="E1293" t="s">
        <v>14</v>
      </c>
      <c r="F1293" t="s">
        <v>42</v>
      </c>
      <c r="G1293" t="s">
        <v>207</v>
      </c>
      <c r="H1293" t="s">
        <v>43</v>
      </c>
      <c r="I1293" t="s">
        <v>123</v>
      </c>
      <c r="J1293" t="s">
        <v>233</v>
      </c>
      <c r="K1293" s="1">
        <v>0.34455568287037036</v>
      </c>
      <c r="L1293">
        <f>YEAR(Coffe_sales[[#This Row],[Date]])</f>
        <v>2024</v>
      </c>
    </row>
    <row r="1294" spans="1:12" x14ac:dyDescent="0.2">
      <c r="A1294" t="s">
        <v>123</v>
      </c>
      <c r="B1294" t="s">
        <v>12</v>
      </c>
      <c r="C1294">
        <v>23.02</v>
      </c>
      <c r="D1294" t="s">
        <v>24</v>
      </c>
      <c r="E1294" t="s">
        <v>14</v>
      </c>
      <c r="F1294" t="s">
        <v>42</v>
      </c>
      <c r="G1294" t="s">
        <v>207</v>
      </c>
      <c r="H1294" t="s">
        <v>43</v>
      </c>
      <c r="I1294" t="s">
        <v>123</v>
      </c>
      <c r="J1294" t="s">
        <v>233</v>
      </c>
      <c r="K1294" s="1">
        <v>0.34540751157407407</v>
      </c>
      <c r="L1294">
        <f>YEAR(Coffe_sales[[#This Row],[Date]])</f>
        <v>2024</v>
      </c>
    </row>
    <row r="1295" spans="1:12" x14ac:dyDescent="0.2">
      <c r="A1295" t="s">
        <v>46</v>
      </c>
      <c r="B1295" t="s">
        <v>12</v>
      </c>
      <c r="C1295">
        <v>27.92</v>
      </c>
      <c r="D1295" t="s">
        <v>26</v>
      </c>
      <c r="E1295" t="s">
        <v>14</v>
      </c>
      <c r="F1295" t="s">
        <v>42</v>
      </c>
      <c r="G1295" t="s">
        <v>207</v>
      </c>
      <c r="H1295" t="s">
        <v>43</v>
      </c>
      <c r="I1295" t="s">
        <v>123</v>
      </c>
      <c r="J1295" t="s">
        <v>233</v>
      </c>
      <c r="K1295" s="1">
        <v>0.39000817129629628</v>
      </c>
      <c r="L1295">
        <f>YEAR(Coffe_sales[[#This Row],[Date]])</f>
        <v>2024</v>
      </c>
    </row>
    <row r="1296" spans="1:12" x14ac:dyDescent="0.2">
      <c r="A1296" t="s">
        <v>11</v>
      </c>
      <c r="B1296" t="s">
        <v>12</v>
      </c>
      <c r="C1296">
        <v>32.82</v>
      </c>
      <c r="D1296" t="s">
        <v>13</v>
      </c>
      <c r="E1296" t="s">
        <v>14</v>
      </c>
      <c r="F1296" t="s">
        <v>42</v>
      </c>
      <c r="G1296" t="s">
        <v>207</v>
      </c>
      <c r="H1296" t="s">
        <v>43</v>
      </c>
      <c r="I1296" t="s">
        <v>123</v>
      </c>
      <c r="J1296" t="s">
        <v>233</v>
      </c>
      <c r="K1296" s="1">
        <v>0.44287574074074076</v>
      </c>
      <c r="L1296">
        <f>YEAR(Coffe_sales[[#This Row],[Date]])</f>
        <v>2024</v>
      </c>
    </row>
    <row r="1297" spans="1:12" x14ac:dyDescent="0.2">
      <c r="A1297" t="s">
        <v>11</v>
      </c>
      <c r="B1297" t="s">
        <v>12</v>
      </c>
      <c r="C1297">
        <v>32.82</v>
      </c>
      <c r="D1297" t="s">
        <v>52</v>
      </c>
      <c r="E1297" t="s">
        <v>14</v>
      </c>
      <c r="F1297" t="s">
        <v>42</v>
      </c>
      <c r="G1297" t="s">
        <v>207</v>
      </c>
      <c r="H1297" t="s">
        <v>43</v>
      </c>
      <c r="I1297" t="s">
        <v>123</v>
      </c>
      <c r="J1297" t="s">
        <v>233</v>
      </c>
      <c r="K1297" s="1">
        <v>0.44362311342592592</v>
      </c>
      <c r="L1297">
        <f>YEAR(Coffe_sales[[#This Row],[Date]])</f>
        <v>2024</v>
      </c>
    </row>
    <row r="1298" spans="1:12" x14ac:dyDescent="0.2">
      <c r="A1298" t="s">
        <v>20</v>
      </c>
      <c r="B1298" t="s">
        <v>12</v>
      </c>
      <c r="C1298">
        <v>23.02</v>
      </c>
      <c r="D1298" t="s">
        <v>24</v>
      </c>
      <c r="E1298" t="s">
        <v>22</v>
      </c>
      <c r="F1298" t="s">
        <v>42</v>
      </c>
      <c r="G1298" t="s">
        <v>207</v>
      </c>
      <c r="H1298" t="s">
        <v>43</v>
      </c>
      <c r="I1298" t="s">
        <v>123</v>
      </c>
      <c r="J1298" t="s">
        <v>233</v>
      </c>
      <c r="K1298" s="1">
        <v>0.53140229166666664</v>
      </c>
      <c r="L1298">
        <f>YEAR(Coffe_sales[[#This Row],[Date]])</f>
        <v>2024</v>
      </c>
    </row>
    <row r="1299" spans="1:12" x14ac:dyDescent="0.2">
      <c r="A1299" t="s">
        <v>20</v>
      </c>
      <c r="B1299" t="s">
        <v>12</v>
      </c>
      <c r="C1299">
        <v>23.02</v>
      </c>
      <c r="D1299" t="s">
        <v>24</v>
      </c>
      <c r="E1299" t="s">
        <v>22</v>
      </c>
      <c r="F1299" t="s">
        <v>42</v>
      </c>
      <c r="G1299" t="s">
        <v>207</v>
      </c>
      <c r="H1299" t="s">
        <v>43</v>
      </c>
      <c r="I1299" t="s">
        <v>123</v>
      </c>
      <c r="J1299" t="s">
        <v>233</v>
      </c>
      <c r="K1299" s="1">
        <v>0.53221810185185181</v>
      </c>
      <c r="L1299">
        <f>YEAR(Coffe_sales[[#This Row],[Date]])</f>
        <v>2024</v>
      </c>
    </row>
    <row r="1300" spans="1:12" x14ac:dyDescent="0.2">
      <c r="A1300" t="s">
        <v>28</v>
      </c>
      <c r="B1300" t="s">
        <v>12</v>
      </c>
      <c r="C1300">
        <v>27.92</v>
      </c>
      <c r="D1300" t="s">
        <v>26</v>
      </c>
      <c r="E1300" t="s">
        <v>29</v>
      </c>
      <c r="F1300" t="s">
        <v>42</v>
      </c>
      <c r="G1300" t="s">
        <v>207</v>
      </c>
      <c r="H1300" t="s">
        <v>43</v>
      </c>
      <c r="I1300" t="s">
        <v>123</v>
      </c>
      <c r="J1300" t="s">
        <v>233</v>
      </c>
      <c r="K1300" s="1">
        <v>0.78712719907407402</v>
      </c>
      <c r="L1300">
        <f>YEAR(Coffe_sales[[#This Row],[Date]])</f>
        <v>2024</v>
      </c>
    </row>
    <row r="1301" spans="1:12" x14ac:dyDescent="0.2">
      <c r="A1301" t="s">
        <v>28</v>
      </c>
      <c r="B1301" t="s">
        <v>12</v>
      </c>
      <c r="C1301">
        <v>32.82</v>
      </c>
      <c r="D1301" t="s">
        <v>13</v>
      </c>
      <c r="E1301" t="s">
        <v>29</v>
      </c>
      <c r="F1301" t="s">
        <v>42</v>
      </c>
      <c r="G1301" t="s">
        <v>207</v>
      </c>
      <c r="H1301" t="s">
        <v>43</v>
      </c>
      <c r="I1301" t="s">
        <v>123</v>
      </c>
      <c r="J1301" t="s">
        <v>233</v>
      </c>
      <c r="K1301" s="1">
        <v>0.78786216435185186</v>
      </c>
      <c r="L1301">
        <f>YEAR(Coffe_sales[[#This Row],[Date]])</f>
        <v>2024</v>
      </c>
    </row>
    <row r="1302" spans="1:12" x14ac:dyDescent="0.2">
      <c r="A1302" t="s">
        <v>125</v>
      </c>
      <c r="B1302" t="s">
        <v>12</v>
      </c>
      <c r="C1302">
        <v>27.92</v>
      </c>
      <c r="D1302" t="s">
        <v>26</v>
      </c>
      <c r="E1302" t="s">
        <v>29</v>
      </c>
      <c r="F1302" t="s">
        <v>42</v>
      </c>
      <c r="G1302" t="s">
        <v>207</v>
      </c>
      <c r="H1302" t="s">
        <v>43</v>
      </c>
      <c r="I1302" t="s">
        <v>123</v>
      </c>
      <c r="J1302" t="s">
        <v>233</v>
      </c>
      <c r="K1302" s="1">
        <v>0.95532297453703707</v>
      </c>
      <c r="L1302">
        <f>YEAR(Coffe_sales[[#This Row],[Date]])</f>
        <v>2024</v>
      </c>
    </row>
    <row r="1303" spans="1:12" x14ac:dyDescent="0.2">
      <c r="A1303" t="s">
        <v>11</v>
      </c>
      <c r="B1303" t="s">
        <v>12</v>
      </c>
      <c r="C1303">
        <v>32.82</v>
      </c>
      <c r="D1303" t="s">
        <v>13</v>
      </c>
      <c r="E1303" t="s">
        <v>14</v>
      </c>
      <c r="F1303" t="s">
        <v>47</v>
      </c>
      <c r="G1303" t="s">
        <v>207</v>
      </c>
      <c r="H1303" t="s">
        <v>48</v>
      </c>
      <c r="I1303" t="s">
        <v>123</v>
      </c>
      <c r="J1303" t="s">
        <v>234</v>
      </c>
      <c r="K1303" s="1">
        <v>0.41949725694444445</v>
      </c>
      <c r="L1303">
        <f>YEAR(Coffe_sales[[#This Row],[Date]])</f>
        <v>2024</v>
      </c>
    </row>
    <row r="1304" spans="1:12" x14ac:dyDescent="0.2">
      <c r="A1304" t="s">
        <v>20</v>
      </c>
      <c r="B1304" t="s">
        <v>12</v>
      </c>
      <c r="C1304">
        <v>27.92</v>
      </c>
      <c r="D1304" t="s">
        <v>26</v>
      </c>
      <c r="E1304" t="s">
        <v>22</v>
      </c>
      <c r="F1304" t="s">
        <v>50</v>
      </c>
      <c r="G1304" t="s">
        <v>207</v>
      </c>
      <c r="H1304" t="s">
        <v>18</v>
      </c>
      <c r="I1304" t="s">
        <v>123</v>
      </c>
      <c r="J1304" t="s">
        <v>235</v>
      </c>
      <c r="K1304" s="1">
        <v>0.50577282407407409</v>
      </c>
      <c r="L1304">
        <f>YEAR(Coffe_sales[[#This Row],[Date]])</f>
        <v>2024</v>
      </c>
    </row>
    <row r="1305" spans="1:12" x14ac:dyDescent="0.2">
      <c r="A1305" t="s">
        <v>20</v>
      </c>
      <c r="B1305" t="s">
        <v>12</v>
      </c>
      <c r="C1305">
        <v>32.82</v>
      </c>
      <c r="D1305" t="s">
        <v>52</v>
      </c>
      <c r="E1305" t="s">
        <v>22</v>
      </c>
      <c r="F1305" t="s">
        <v>50</v>
      </c>
      <c r="G1305" t="s">
        <v>207</v>
      </c>
      <c r="H1305" t="s">
        <v>18</v>
      </c>
      <c r="I1305" t="s">
        <v>123</v>
      </c>
      <c r="J1305" t="s">
        <v>235</v>
      </c>
      <c r="K1305" s="1">
        <v>0.50699234953703709</v>
      </c>
      <c r="L1305">
        <f>YEAR(Coffe_sales[[#This Row],[Date]])</f>
        <v>2024</v>
      </c>
    </row>
    <row r="1306" spans="1:12" x14ac:dyDescent="0.2">
      <c r="A1306" t="s">
        <v>20</v>
      </c>
      <c r="B1306" t="s">
        <v>12</v>
      </c>
      <c r="C1306">
        <v>23.02</v>
      </c>
      <c r="D1306" t="s">
        <v>24</v>
      </c>
      <c r="E1306" t="s">
        <v>22</v>
      </c>
      <c r="F1306" t="s">
        <v>50</v>
      </c>
      <c r="G1306" t="s">
        <v>207</v>
      </c>
      <c r="H1306" t="s">
        <v>18</v>
      </c>
      <c r="I1306" t="s">
        <v>123</v>
      </c>
      <c r="J1306" t="s">
        <v>235</v>
      </c>
      <c r="K1306" s="1">
        <v>0.52438592592592592</v>
      </c>
      <c r="L1306">
        <f>YEAR(Coffe_sales[[#This Row],[Date]])</f>
        <v>2024</v>
      </c>
    </row>
    <row r="1307" spans="1:12" x14ac:dyDescent="0.2">
      <c r="A1307" t="s">
        <v>23</v>
      </c>
      <c r="B1307" t="s">
        <v>12</v>
      </c>
      <c r="C1307">
        <v>27.92</v>
      </c>
      <c r="D1307" t="s">
        <v>26</v>
      </c>
      <c r="E1307" t="s">
        <v>22</v>
      </c>
      <c r="F1307" t="s">
        <v>50</v>
      </c>
      <c r="G1307" t="s">
        <v>207</v>
      </c>
      <c r="H1307" t="s">
        <v>18</v>
      </c>
      <c r="I1307" t="s">
        <v>123</v>
      </c>
      <c r="J1307" t="s">
        <v>235</v>
      </c>
      <c r="K1307" s="1">
        <v>0.57540739583333333</v>
      </c>
      <c r="L1307">
        <f>YEAR(Coffe_sales[[#This Row],[Date]])</f>
        <v>2024</v>
      </c>
    </row>
    <row r="1308" spans="1:12" x14ac:dyDescent="0.2">
      <c r="A1308" t="s">
        <v>39</v>
      </c>
      <c r="B1308" t="s">
        <v>12</v>
      </c>
      <c r="C1308">
        <v>23.02</v>
      </c>
      <c r="D1308" t="s">
        <v>24</v>
      </c>
      <c r="E1308" t="s">
        <v>14</v>
      </c>
      <c r="F1308" t="s">
        <v>53</v>
      </c>
      <c r="G1308" t="s">
        <v>207</v>
      </c>
      <c r="H1308" t="s">
        <v>54</v>
      </c>
      <c r="I1308" t="s">
        <v>123</v>
      </c>
      <c r="J1308" t="s">
        <v>236</v>
      </c>
      <c r="K1308" s="1">
        <v>0.31215646990740742</v>
      </c>
      <c r="L1308">
        <f>YEAR(Coffe_sales[[#This Row],[Date]])</f>
        <v>2024</v>
      </c>
    </row>
    <row r="1309" spans="1:12" x14ac:dyDescent="0.2">
      <c r="A1309" t="s">
        <v>37</v>
      </c>
      <c r="B1309" t="s">
        <v>12</v>
      </c>
      <c r="C1309">
        <v>32.82</v>
      </c>
      <c r="D1309" t="s">
        <v>13</v>
      </c>
      <c r="E1309" t="s">
        <v>29</v>
      </c>
      <c r="F1309" t="s">
        <v>15</v>
      </c>
      <c r="G1309" t="s">
        <v>207</v>
      </c>
      <c r="H1309" t="s">
        <v>17</v>
      </c>
      <c r="I1309" t="s">
        <v>123</v>
      </c>
      <c r="J1309" t="s">
        <v>237</v>
      </c>
      <c r="K1309" s="1">
        <v>0.71771396990740743</v>
      </c>
      <c r="L1309">
        <f>YEAR(Coffe_sales[[#This Row],[Date]])</f>
        <v>2024</v>
      </c>
    </row>
    <row r="1310" spans="1:12" x14ac:dyDescent="0.2">
      <c r="A1310" t="s">
        <v>37</v>
      </c>
      <c r="B1310" t="s">
        <v>12</v>
      </c>
      <c r="C1310">
        <v>27.92</v>
      </c>
      <c r="D1310" t="s">
        <v>26</v>
      </c>
      <c r="E1310" t="s">
        <v>29</v>
      </c>
      <c r="F1310" t="s">
        <v>15</v>
      </c>
      <c r="G1310" t="s">
        <v>207</v>
      </c>
      <c r="H1310" t="s">
        <v>17</v>
      </c>
      <c r="I1310" t="s">
        <v>123</v>
      </c>
      <c r="J1310" t="s">
        <v>237</v>
      </c>
      <c r="K1310" s="1">
        <v>0.7184350810185185</v>
      </c>
      <c r="L1310">
        <f>YEAR(Coffe_sales[[#This Row],[Date]])</f>
        <v>2024</v>
      </c>
    </row>
    <row r="1311" spans="1:12" x14ac:dyDescent="0.2">
      <c r="A1311" t="s">
        <v>37</v>
      </c>
      <c r="B1311" t="s">
        <v>12</v>
      </c>
      <c r="C1311">
        <v>27.92</v>
      </c>
      <c r="D1311" t="s">
        <v>26</v>
      </c>
      <c r="E1311" t="s">
        <v>29</v>
      </c>
      <c r="F1311" t="s">
        <v>15</v>
      </c>
      <c r="G1311" t="s">
        <v>207</v>
      </c>
      <c r="H1311" t="s">
        <v>17</v>
      </c>
      <c r="I1311" t="s">
        <v>123</v>
      </c>
      <c r="J1311" t="s">
        <v>237</v>
      </c>
      <c r="K1311" s="1">
        <v>0.71916028935185183</v>
      </c>
      <c r="L1311">
        <f>YEAR(Coffe_sales[[#This Row],[Date]])</f>
        <v>2024</v>
      </c>
    </row>
    <row r="1312" spans="1:12" x14ac:dyDescent="0.2">
      <c r="A1312" t="s">
        <v>46</v>
      </c>
      <c r="B1312" t="s">
        <v>12</v>
      </c>
      <c r="C1312">
        <v>23.02</v>
      </c>
      <c r="D1312" t="s">
        <v>41</v>
      </c>
      <c r="E1312" t="s">
        <v>14</v>
      </c>
      <c r="F1312" t="s">
        <v>32</v>
      </c>
      <c r="G1312" t="s">
        <v>207</v>
      </c>
      <c r="H1312" t="s">
        <v>33</v>
      </c>
      <c r="I1312" t="s">
        <v>123</v>
      </c>
      <c r="J1312" t="s">
        <v>238</v>
      </c>
      <c r="K1312" s="1">
        <v>0.38093156249999999</v>
      </c>
      <c r="L1312">
        <f>YEAR(Coffe_sales[[#This Row],[Date]])</f>
        <v>2024</v>
      </c>
    </row>
    <row r="1313" spans="1:12" x14ac:dyDescent="0.2">
      <c r="A1313" t="s">
        <v>11</v>
      </c>
      <c r="B1313" t="s">
        <v>12</v>
      </c>
      <c r="C1313">
        <v>27.92</v>
      </c>
      <c r="D1313" t="s">
        <v>26</v>
      </c>
      <c r="E1313" t="s">
        <v>14</v>
      </c>
      <c r="F1313" t="s">
        <v>32</v>
      </c>
      <c r="G1313" t="s">
        <v>207</v>
      </c>
      <c r="H1313" t="s">
        <v>33</v>
      </c>
      <c r="I1313" t="s">
        <v>123</v>
      </c>
      <c r="J1313" t="s">
        <v>238</v>
      </c>
      <c r="K1313" s="1">
        <v>0.41815038194444443</v>
      </c>
      <c r="L1313">
        <f>YEAR(Coffe_sales[[#This Row],[Date]])</f>
        <v>2024</v>
      </c>
    </row>
    <row r="1314" spans="1:12" x14ac:dyDescent="0.2">
      <c r="A1314" t="s">
        <v>11</v>
      </c>
      <c r="B1314" t="s">
        <v>12</v>
      </c>
      <c r="C1314">
        <v>18.12</v>
      </c>
      <c r="D1314" t="s">
        <v>45</v>
      </c>
      <c r="E1314" t="s">
        <v>14</v>
      </c>
      <c r="F1314" t="s">
        <v>32</v>
      </c>
      <c r="G1314" t="s">
        <v>207</v>
      </c>
      <c r="H1314" t="s">
        <v>33</v>
      </c>
      <c r="I1314" t="s">
        <v>123</v>
      </c>
      <c r="J1314" t="s">
        <v>238</v>
      </c>
      <c r="K1314" s="1">
        <v>0.43225552083333335</v>
      </c>
      <c r="L1314">
        <f>YEAR(Coffe_sales[[#This Row],[Date]])</f>
        <v>2024</v>
      </c>
    </row>
    <row r="1315" spans="1:12" x14ac:dyDescent="0.2">
      <c r="A1315" t="s">
        <v>35</v>
      </c>
      <c r="B1315" t="s">
        <v>12</v>
      </c>
      <c r="C1315">
        <v>27.92</v>
      </c>
      <c r="D1315" t="s">
        <v>26</v>
      </c>
      <c r="E1315" t="s">
        <v>14</v>
      </c>
      <c r="F1315" t="s">
        <v>32</v>
      </c>
      <c r="G1315" t="s">
        <v>207</v>
      </c>
      <c r="H1315" t="s">
        <v>33</v>
      </c>
      <c r="I1315" t="s">
        <v>123</v>
      </c>
      <c r="J1315" t="s">
        <v>238</v>
      </c>
      <c r="K1315" s="1">
        <v>0.4791038310185185</v>
      </c>
      <c r="L1315">
        <f>YEAR(Coffe_sales[[#This Row],[Date]])</f>
        <v>2024</v>
      </c>
    </row>
    <row r="1316" spans="1:12" x14ac:dyDescent="0.2">
      <c r="A1316" t="s">
        <v>35</v>
      </c>
      <c r="B1316" t="s">
        <v>12</v>
      </c>
      <c r="C1316">
        <v>23.02</v>
      </c>
      <c r="D1316" t="s">
        <v>41</v>
      </c>
      <c r="E1316" t="s">
        <v>14</v>
      </c>
      <c r="F1316" t="s">
        <v>32</v>
      </c>
      <c r="G1316" t="s">
        <v>207</v>
      </c>
      <c r="H1316" t="s">
        <v>33</v>
      </c>
      <c r="I1316" t="s">
        <v>123</v>
      </c>
      <c r="J1316" t="s">
        <v>238</v>
      </c>
      <c r="K1316" s="1">
        <v>0.48171199074074073</v>
      </c>
      <c r="L1316">
        <f>YEAR(Coffe_sales[[#This Row],[Date]])</f>
        <v>2024</v>
      </c>
    </row>
    <row r="1317" spans="1:12" x14ac:dyDescent="0.2">
      <c r="A1317" t="s">
        <v>35</v>
      </c>
      <c r="B1317" t="s">
        <v>12</v>
      </c>
      <c r="C1317">
        <v>23.02</v>
      </c>
      <c r="D1317" t="s">
        <v>41</v>
      </c>
      <c r="E1317" t="s">
        <v>14</v>
      </c>
      <c r="F1317" t="s">
        <v>32</v>
      </c>
      <c r="G1317" t="s">
        <v>207</v>
      </c>
      <c r="H1317" t="s">
        <v>33</v>
      </c>
      <c r="I1317" t="s">
        <v>123</v>
      </c>
      <c r="J1317" t="s">
        <v>238</v>
      </c>
      <c r="K1317" s="1">
        <v>0.48232562499999998</v>
      </c>
      <c r="L1317">
        <f>YEAR(Coffe_sales[[#This Row],[Date]])</f>
        <v>2024</v>
      </c>
    </row>
    <row r="1318" spans="1:12" x14ac:dyDescent="0.2">
      <c r="A1318" t="s">
        <v>46</v>
      </c>
      <c r="B1318" t="s">
        <v>12</v>
      </c>
      <c r="C1318">
        <v>23.02</v>
      </c>
      <c r="D1318" t="s">
        <v>41</v>
      </c>
      <c r="E1318" t="s">
        <v>14</v>
      </c>
      <c r="F1318" t="s">
        <v>38</v>
      </c>
      <c r="G1318" t="s">
        <v>239</v>
      </c>
      <c r="H1318" t="s">
        <v>39</v>
      </c>
      <c r="I1318" t="s">
        <v>46</v>
      </c>
      <c r="J1318" t="s">
        <v>240</v>
      </c>
      <c r="K1318" s="1">
        <v>0.39878737268518516</v>
      </c>
      <c r="L1318">
        <f>YEAR(Coffe_sales[[#This Row],[Date]])</f>
        <v>2024</v>
      </c>
    </row>
    <row r="1319" spans="1:12" x14ac:dyDescent="0.2">
      <c r="A1319" t="s">
        <v>20</v>
      </c>
      <c r="B1319" t="s">
        <v>12</v>
      </c>
      <c r="C1319">
        <v>32.82</v>
      </c>
      <c r="D1319" t="s">
        <v>52</v>
      </c>
      <c r="E1319" t="s">
        <v>22</v>
      </c>
      <c r="F1319" t="s">
        <v>38</v>
      </c>
      <c r="G1319" t="s">
        <v>239</v>
      </c>
      <c r="H1319" t="s">
        <v>39</v>
      </c>
      <c r="I1319" t="s">
        <v>46</v>
      </c>
      <c r="J1319" t="s">
        <v>240</v>
      </c>
      <c r="K1319" s="1">
        <v>0.50792528935185188</v>
      </c>
      <c r="L1319">
        <f>YEAR(Coffe_sales[[#This Row],[Date]])</f>
        <v>2024</v>
      </c>
    </row>
    <row r="1320" spans="1:12" x14ac:dyDescent="0.2">
      <c r="A1320" t="s">
        <v>20</v>
      </c>
      <c r="B1320" t="s">
        <v>12</v>
      </c>
      <c r="C1320">
        <v>27.92</v>
      </c>
      <c r="D1320" t="s">
        <v>26</v>
      </c>
      <c r="E1320" t="s">
        <v>22</v>
      </c>
      <c r="F1320" t="s">
        <v>38</v>
      </c>
      <c r="G1320" t="s">
        <v>239</v>
      </c>
      <c r="H1320" t="s">
        <v>39</v>
      </c>
      <c r="I1320" t="s">
        <v>46</v>
      </c>
      <c r="J1320" t="s">
        <v>240</v>
      </c>
      <c r="K1320" s="1">
        <v>0.52093310185185182</v>
      </c>
      <c r="L1320">
        <f>YEAR(Coffe_sales[[#This Row],[Date]])</f>
        <v>2024</v>
      </c>
    </row>
    <row r="1321" spans="1:12" x14ac:dyDescent="0.2">
      <c r="A1321" t="s">
        <v>20</v>
      </c>
      <c r="B1321" t="s">
        <v>12</v>
      </c>
      <c r="C1321">
        <v>23.02</v>
      </c>
      <c r="D1321" t="s">
        <v>24</v>
      </c>
      <c r="E1321" t="s">
        <v>22</v>
      </c>
      <c r="F1321" t="s">
        <v>38</v>
      </c>
      <c r="G1321" t="s">
        <v>239</v>
      </c>
      <c r="H1321" t="s">
        <v>39</v>
      </c>
      <c r="I1321" t="s">
        <v>46</v>
      </c>
      <c r="J1321" t="s">
        <v>240</v>
      </c>
      <c r="K1321" s="1">
        <v>0.52247693287037034</v>
      </c>
      <c r="L1321">
        <f>YEAR(Coffe_sales[[#This Row],[Date]])</f>
        <v>2024</v>
      </c>
    </row>
    <row r="1322" spans="1:12" x14ac:dyDescent="0.2">
      <c r="A1322" t="s">
        <v>20</v>
      </c>
      <c r="B1322" t="s">
        <v>12</v>
      </c>
      <c r="C1322">
        <v>27.92</v>
      </c>
      <c r="D1322" t="s">
        <v>26</v>
      </c>
      <c r="E1322" t="s">
        <v>22</v>
      </c>
      <c r="F1322" t="s">
        <v>38</v>
      </c>
      <c r="G1322" t="s">
        <v>239</v>
      </c>
      <c r="H1322" t="s">
        <v>39</v>
      </c>
      <c r="I1322" t="s">
        <v>46</v>
      </c>
      <c r="J1322" t="s">
        <v>240</v>
      </c>
      <c r="K1322" s="1">
        <v>0.53492416666666665</v>
      </c>
      <c r="L1322">
        <f>YEAR(Coffe_sales[[#This Row],[Date]])</f>
        <v>2024</v>
      </c>
    </row>
    <row r="1323" spans="1:12" x14ac:dyDescent="0.2">
      <c r="A1323" t="s">
        <v>23</v>
      </c>
      <c r="B1323" t="s">
        <v>12</v>
      </c>
      <c r="C1323">
        <v>32.82</v>
      </c>
      <c r="D1323" t="s">
        <v>13</v>
      </c>
      <c r="E1323" t="s">
        <v>22</v>
      </c>
      <c r="F1323" t="s">
        <v>38</v>
      </c>
      <c r="G1323" t="s">
        <v>239</v>
      </c>
      <c r="H1323" t="s">
        <v>39</v>
      </c>
      <c r="I1323" t="s">
        <v>46</v>
      </c>
      <c r="J1323" t="s">
        <v>240</v>
      </c>
      <c r="K1323" s="1">
        <v>0.58164291666666668</v>
      </c>
      <c r="L1323">
        <f>YEAR(Coffe_sales[[#This Row],[Date]])</f>
        <v>2024</v>
      </c>
    </row>
    <row r="1324" spans="1:12" x14ac:dyDescent="0.2">
      <c r="A1324" t="s">
        <v>36</v>
      </c>
      <c r="B1324" t="s">
        <v>12</v>
      </c>
      <c r="C1324">
        <v>27.92</v>
      </c>
      <c r="D1324" t="s">
        <v>26</v>
      </c>
      <c r="E1324" t="s">
        <v>22</v>
      </c>
      <c r="F1324" t="s">
        <v>38</v>
      </c>
      <c r="G1324" t="s">
        <v>239</v>
      </c>
      <c r="H1324" t="s">
        <v>39</v>
      </c>
      <c r="I1324" t="s">
        <v>46</v>
      </c>
      <c r="J1324" t="s">
        <v>240</v>
      </c>
      <c r="K1324" s="1">
        <v>0.61393549768518518</v>
      </c>
      <c r="L1324">
        <f>YEAR(Coffe_sales[[#This Row],[Date]])</f>
        <v>2024</v>
      </c>
    </row>
    <row r="1325" spans="1:12" x14ac:dyDescent="0.2">
      <c r="A1325" t="s">
        <v>37</v>
      </c>
      <c r="B1325" t="s">
        <v>12</v>
      </c>
      <c r="C1325">
        <v>32.82</v>
      </c>
      <c r="D1325" t="s">
        <v>13</v>
      </c>
      <c r="E1325" t="s">
        <v>29</v>
      </c>
      <c r="F1325" t="s">
        <v>38</v>
      </c>
      <c r="G1325" t="s">
        <v>239</v>
      </c>
      <c r="H1325" t="s">
        <v>39</v>
      </c>
      <c r="I1325" t="s">
        <v>46</v>
      </c>
      <c r="J1325" t="s">
        <v>240</v>
      </c>
      <c r="K1325" s="1">
        <v>0.72275841435185184</v>
      </c>
      <c r="L1325">
        <f>YEAR(Coffe_sales[[#This Row],[Date]])</f>
        <v>2024</v>
      </c>
    </row>
    <row r="1326" spans="1:12" x14ac:dyDescent="0.2">
      <c r="A1326" t="s">
        <v>37</v>
      </c>
      <c r="B1326" t="s">
        <v>12</v>
      </c>
      <c r="C1326">
        <v>32.82</v>
      </c>
      <c r="D1326" t="s">
        <v>13</v>
      </c>
      <c r="E1326" t="s">
        <v>29</v>
      </c>
      <c r="F1326" t="s">
        <v>38</v>
      </c>
      <c r="G1326" t="s">
        <v>239</v>
      </c>
      <c r="H1326" t="s">
        <v>39</v>
      </c>
      <c r="I1326" t="s">
        <v>46</v>
      </c>
      <c r="J1326" t="s">
        <v>240</v>
      </c>
      <c r="K1326" s="1">
        <v>0.72446607638888894</v>
      </c>
      <c r="L1326">
        <f>YEAR(Coffe_sales[[#This Row],[Date]])</f>
        <v>2024</v>
      </c>
    </row>
    <row r="1327" spans="1:12" x14ac:dyDescent="0.2">
      <c r="A1327" t="s">
        <v>37</v>
      </c>
      <c r="B1327" t="s">
        <v>12</v>
      </c>
      <c r="C1327">
        <v>32.82</v>
      </c>
      <c r="D1327" t="s">
        <v>13</v>
      </c>
      <c r="E1327" t="s">
        <v>29</v>
      </c>
      <c r="F1327" t="s">
        <v>38</v>
      </c>
      <c r="G1327" t="s">
        <v>239</v>
      </c>
      <c r="H1327" t="s">
        <v>39</v>
      </c>
      <c r="I1327" t="s">
        <v>46</v>
      </c>
      <c r="J1327" t="s">
        <v>240</v>
      </c>
      <c r="K1327" s="1">
        <v>0.72557510416666671</v>
      </c>
      <c r="L1327">
        <f>YEAR(Coffe_sales[[#This Row],[Date]])</f>
        <v>2024</v>
      </c>
    </row>
    <row r="1328" spans="1:12" x14ac:dyDescent="0.2">
      <c r="A1328" t="s">
        <v>123</v>
      </c>
      <c r="B1328" t="s">
        <v>12</v>
      </c>
      <c r="C1328">
        <v>32.82</v>
      </c>
      <c r="D1328" t="s">
        <v>13</v>
      </c>
      <c r="E1328" t="s">
        <v>14</v>
      </c>
      <c r="F1328" t="s">
        <v>42</v>
      </c>
      <c r="G1328" t="s">
        <v>239</v>
      </c>
      <c r="H1328" t="s">
        <v>43</v>
      </c>
      <c r="I1328" t="s">
        <v>46</v>
      </c>
      <c r="J1328" t="s">
        <v>241</v>
      </c>
      <c r="K1328" s="1">
        <v>0.35046070601851853</v>
      </c>
      <c r="L1328">
        <f>YEAR(Coffe_sales[[#This Row],[Date]])</f>
        <v>2024</v>
      </c>
    </row>
    <row r="1329" spans="1:12" x14ac:dyDescent="0.2">
      <c r="A1329" t="s">
        <v>123</v>
      </c>
      <c r="B1329" t="s">
        <v>12</v>
      </c>
      <c r="C1329">
        <v>27.92</v>
      </c>
      <c r="D1329" t="s">
        <v>26</v>
      </c>
      <c r="E1329" t="s">
        <v>14</v>
      </c>
      <c r="F1329" t="s">
        <v>42</v>
      </c>
      <c r="G1329" t="s">
        <v>239</v>
      </c>
      <c r="H1329" t="s">
        <v>43</v>
      </c>
      <c r="I1329" t="s">
        <v>46</v>
      </c>
      <c r="J1329" t="s">
        <v>241</v>
      </c>
      <c r="K1329" s="1">
        <v>0.36825979166666667</v>
      </c>
      <c r="L1329">
        <f>YEAR(Coffe_sales[[#This Row],[Date]])</f>
        <v>2024</v>
      </c>
    </row>
    <row r="1330" spans="1:12" x14ac:dyDescent="0.2">
      <c r="A1330" t="s">
        <v>123</v>
      </c>
      <c r="B1330" t="s">
        <v>12</v>
      </c>
      <c r="C1330">
        <v>32.82</v>
      </c>
      <c r="D1330" t="s">
        <v>13</v>
      </c>
      <c r="E1330" t="s">
        <v>14</v>
      </c>
      <c r="F1330" t="s">
        <v>42</v>
      </c>
      <c r="G1330" t="s">
        <v>239</v>
      </c>
      <c r="H1330" t="s">
        <v>43</v>
      </c>
      <c r="I1330" t="s">
        <v>46</v>
      </c>
      <c r="J1330" t="s">
        <v>241</v>
      </c>
      <c r="K1330" s="1">
        <v>0.36913365740740739</v>
      </c>
      <c r="L1330">
        <f>YEAR(Coffe_sales[[#This Row],[Date]])</f>
        <v>2024</v>
      </c>
    </row>
    <row r="1331" spans="1:12" x14ac:dyDescent="0.2">
      <c r="A1331" t="s">
        <v>36</v>
      </c>
      <c r="B1331" t="s">
        <v>12</v>
      </c>
      <c r="C1331">
        <v>27.92</v>
      </c>
      <c r="D1331" t="s">
        <v>26</v>
      </c>
      <c r="E1331" t="s">
        <v>22</v>
      </c>
      <c r="F1331" t="s">
        <v>42</v>
      </c>
      <c r="G1331" t="s">
        <v>239</v>
      </c>
      <c r="H1331" t="s">
        <v>43</v>
      </c>
      <c r="I1331" t="s">
        <v>46</v>
      </c>
      <c r="J1331" t="s">
        <v>241</v>
      </c>
      <c r="K1331" s="1">
        <v>0.62415674768518514</v>
      </c>
      <c r="L1331">
        <f>YEAR(Coffe_sales[[#This Row],[Date]])</f>
        <v>2024</v>
      </c>
    </row>
    <row r="1332" spans="1:12" x14ac:dyDescent="0.2">
      <c r="A1332" t="s">
        <v>91</v>
      </c>
      <c r="B1332" t="s">
        <v>12</v>
      </c>
      <c r="C1332">
        <v>32.82</v>
      </c>
      <c r="D1332" t="s">
        <v>52</v>
      </c>
      <c r="E1332" t="s">
        <v>29</v>
      </c>
      <c r="F1332" t="s">
        <v>42</v>
      </c>
      <c r="G1332" t="s">
        <v>239</v>
      </c>
      <c r="H1332" t="s">
        <v>43</v>
      </c>
      <c r="I1332" t="s">
        <v>46</v>
      </c>
      <c r="J1332" t="s">
        <v>241</v>
      </c>
      <c r="K1332" s="1">
        <v>0.84009170138888889</v>
      </c>
      <c r="L1332">
        <f>YEAR(Coffe_sales[[#This Row],[Date]])</f>
        <v>2024</v>
      </c>
    </row>
    <row r="1333" spans="1:12" x14ac:dyDescent="0.2">
      <c r="A1333" t="s">
        <v>91</v>
      </c>
      <c r="B1333" t="s">
        <v>12</v>
      </c>
      <c r="C1333">
        <v>32.82</v>
      </c>
      <c r="D1333" t="s">
        <v>31</v>
      </c>
      <c r="E1333" t="s">
        <v>29</v>
      </c>
      <c r="F1333" t="s">
        <v>42</v>
      </c>
      <c r="G1333" t="s">
        <v>239</v>
      </c>
      <c r="H1333" t="s">
        <v>43</v>
      </c>
      <c r="I1333" t="s">
        <v>46</v>
      </c>
      <c r="J1333" t="s">
        <v>241</v>
      </c>
      <c r="K1333" s="1">
        <v>0.84117981481481485</v>
      </c>
      <c r="L1333">
        <f>YEAR(Coffe_sales[[#This Row],[Date]])</f>
        <v>2024</v>
      </c>
    </row>
    <row r="1334" spans="1:12" x14ac:dyDescent="0.2">
      <c r="A1334" t="s">
        <v>91</v>
      </c>
      <c r="B1334" t="s">
        <v>12</v>
      </c>
      <c r="C1334">
        <v>23.02</v>
      </c>
      <c r="D1334" t="s">
        <v>24</v>
      </c>
      <c r="E1334" t="s">
        <v>29</v>
      </c>
      <c r="F1334" t="s">
        <v>42</v>
      </c>
      <c r="G1334" t="s">
        <v>239</v>
      </c>
      <c r="H1334" t="s">
        <v>43</v>
      </c>
      <c r="I1334" t="s">
        <v>46</v>
      </c>
      <c r="J1334" t="s">
        <v>241</v>
      </c>
      <c r="K1334" s="1">
        <v>0.86981462962962963</v>
      </c>
      <c r="L1334">
        <f>YEAR(Coffe_sales[[#This Row],[Date]])</f>
        <v>2024</v>
      </c>
    </row>
    <row r="1335" spans="1:12" x14ac:dyDescent="0.2">
      <c r="A1335" t="s">
        <v>91</v>
      </c>
      <c r="B1335" t="s">
        <v>12</v>
      </c>
      <c r="C1335">
        <v>23.02</v>
      </c>
      <c r="D1335" t="s">
        <v>24</v>
      </c>
      <c r="E1335" t="s">
        <v>29</v>
      </c>
      <c r="F1335" t="s">
        <v>42</v>
      </c>
      <c r="G1335" t="s">
        <v>239</v>
      </c>
      <c r="H1335" t="s">
        <v>43</v>
      </c>
      <c r="I1335" t="s">
        <v>46</v>
      </c>
      <c r="J1335" t="s">
        <v>241</v>
      </c>
      <c r="K1335" s="1">
        <v>0.87047557870370373</v>
      </c>
      <c r="L1335">
        <f>YEAR(Coffe_sales[[#This Row],[Date]])</f>
        <v>2024</v>
      </c>
    </row>
    <row r="1336" spans="1:12" x14ac:dyDescent="0.2">
      <c r="A1336" t="s">
        <v>123</v>
      </c>
      <c r="B1336" t="s">
        <v>12</v>
      </c>
      <c r="C1336">
        <v>32.82</v>
      </c>
      <c r="D1336" t="s">
        <v>31</v>
      </c>
      <c r="E1336" t="s">
        <v>14</v>
      </c>
      <c r="F1336" t="s">
        <v>47</v>
      </c>
      <c r="G1336" t="s">
        <v>239</v>
      </c>
      <c r="H1336" t="s">
        <v>48</v>
      </c>
      <c r="I1336" t="s">
        <v>46</v>
      </c>
      <c r="J1336" t="s">
        <v>242</v>
      </c>
      <c r="K1336" s="1">
        <v>0.34878898148148146</v>
      </c>
      <c r="L1336">
        <f>YEAR(Coffe_sales[[#This Row],[Date]])</f>
        <v>2024</v>
      </c>
    </row>
    <row r="1337" spans="1:12" x14ac:dyDescent="0.2">
      <c r="A1337" t="s">
        <v>123</v>
      </c>
      <c r="B1337" t="s">
        <v>12</v>
      </c>
      <c r="C1337">
        <v>32.82</v>
      </c>
      <c r="D1337" t="s">
        <v>52</v>
      </c>
      <c r="E1337" t="s">
        <v>14</v>
      </c>
      <c r="F1337" t="s">
        <v>47</v>
      </c>
      <c r="G1337" t="s">
        <v>239</v>
      </c>
      <c r="H1337" t="s">
        <v>48</v>
      </c>
      <c r="I1337" t="s">
        <v>46</v>
      </c>
      <c r="J1337" t="s">
        <v>242</v>
      </c>
      <c r="K1337" s="1">
        <v>0.35292164351851851</v>
      </c>
      <c r="L1337">
        <f>YEAR(Coffe_sales[[#This Row],[Date]])</f>
        <v>2024</v>
      </c>
    </row>
    <row r="1338" spans="1:12" x14ac:dyDescent="0.2">
      <c r="A1338" t="s">
        <v>123</v>
      </c>
      <c r="B1338" t="s">
        <v>12</v>
      </c>
      <c r="C1338">
        <v>32.82</v>
      </c>
      <c r="D1338" t="s">
        <v>13</v>
      </c>
      <c r="E1338" t="s">
        <v>14</v>
      </c>
      <c r="F1338" t="s">
        <v>47</v>
      </c>
      <c r="G1338" t="s">
        <v>239</v>
      </c>
      <c r="H1338" t="s">
        <v>48</v>
      </c>
      <c r="I1338" t="s">
        <v>46</v>
      </c>
      <c r="J1338" t="s">
        <v>242</v>
      </c>
      <c r="K1338" s="1">
        <v>0.36194094907407409</v>
      </c>
      <c r="L1338">
        <f>YEAR(Coffe_sales[[#This Row],[Date]])</f>
        <v>2024</v>
      </c>
    </row>
    <row r="1339" spans="1:12" x14ac:dyDescent="0.2">
      <c r="A1339" t="s">
        <v>46</v>
      </c>
      <c r="B1339" t="s">
        <v>12</v>
      </c>
      <c r="C1339">
        <v>27.92</v>
      </c>
      <c r="D1339" t="s">
        <v>26</v>
      </c>
      <c r="E1339" t="s">
        <v>14</v>
      </c>
      <c r="F1339" t="s">
        <v>47</v>
      </c>
      <c r="G1339" t="s">
        <v>239</v>
      </c>
      <c r="H1339" t="s">
        <v>48</v>
      </c>
      <c r="I1339" t="s">
        <v>46</v>
      </c>
      <c r="J1339" t="s">
        <v>242</v>
      </c>
      <c r="K1339" s="1">
        <v>0.37722769675925927</v>
      </c>
      <c r="L1339">
        <f>YEAR(Coffe_sales[[#This Row],[Date]])</f>
        <v>2024</v>
      </c>
    </row>
    <row r="1340" spans="1:12" x14ac:dyDescent="0.2">
      <c r="A1340" t="s">
        <v>46</v>
      </c>
      <c r="B1340" t="s">
        <v>12</v>
      </c>
      <c r="C1340">
        <v>32.82</v>
      </c>
      <c r="D1340" t="s">
        <v>52</v>
      </c>
      <c r="E1340" t="s">
        <v>14</v>
      </c>
      <c r="F1340" t="s">
        <v>47</v>
      </c>
      <c r="G1340" t="s">
        <v>239</v>
      </c>
      <c r="H1340" t="s">
        <v>48</v>
      </c>
      <c r="I1340" t="s">
        <v>46</v>
      </c>
      <c r="J1340" t="s">
        <v>242</v>
      </c>
      <c r="K1340" s="1">
        <v>0.37791377314814817</v>
      </c>
      <c r="L1340">
        <f>YEAR(Coffe_sales[[#This Row],[Date]])</f>
        <v>2024</v>
      </c>
    </row>
    <row r="1341" spans="1:12" x14ac:dyDescent="0.2">
      <c r="A1341" t="s">
        <v>46</v>
      </c>
      <c r="B1341" t="s">
        <v>12</v>
      </c>
      <c r="C1341">
        <v>32.82</v>
      </c>
      <c r="D1341" t="s">
        <v>31</v>
      </c>
      <c r="E1341" t="s">
        <v>14</v>
      </c>
      <c r="F1341" t="s">
        <v>47</v>
      </c>
      <c r="G1341" t="s">
        <v>239</v>
      </c>
      <c r="H1341" t="s">
        <v>48</v>
      </c>
      <c r="I1341" t="s">
        <v>46</v>
      </c>
      <c r="J1341" t="s">
        <v>242</v>
      </c>
      <c r="K1341" s="1">
        <v>0.38389067129629628</v>
      </c>
      <c r="L1341">
        <f>YEAR(Coffe_sales[[#This Row],[Date]])</f>
        <v>2024</v>
      </c>
    </row>
    <row r="1342" spans="1:12" x14ac:dyDescent="0.2">
      <c r="A1342" t="s">
        <v>46</v>
      </c>
      <c r="B1342" t="s">
        <v>12</v>
      </c>
      <c r="C1342">
        <v>32.82</v>
      </c>
      <c r="D1342" t="s">
        <v>31</v>
      </c>
      <c r="E1342" t="s">
        <v>14</v>
      </c>
      <c r="F1342" t="s">
        <v>47</v>
      </c>
      <c r="G1342" t="s">
        <v>239</v>
      </c>
      <c r="H1342" t="s">
        <v>48</v>
      </c>
      <c r="I1342" t="s">
        <v>46</v>
      </c>
      <c r="J1342" t="s">
        <v>242</v>
      </c>
      <c r="K1342" s="1">
        <v>0.38441730324074075</v>
      </c>
      <c r="L1342">
        <f>YEAR(Coffe_sales[[#This Row],[Date]])</f>
        <v>2024</v>
      </c>
    </row>
    <row r="1343" spans="1:12" x14ac:dyDescent="0.2">
      <c r="A1343" t="s">
        <v>46</v>
      </c>
      <c r="B1343" t="s">
        <v>12</v>
      </c>
      <c r="C1343">
        <v>27.92</v>
      </c>
      <c r="D1343" t="s">
        <v>26</v>
      </c>
      <c r="E1343" t="s">
        <v>14</v>
      </c>
      <c r="F1343" t="s">
        <v>47</v>
      </c>
      <c r="G1343" t="s">
        <v>239</v>
      </c>
      <c r="H1343" t="s">
        <v>48</v>
      </c>
      <c r="I1343" t="s">
        <v>46</v>
      </c>
      <c r="J1343" t="s">
        <v>242</v>
      </c>
      <c r="K1343" s="1">
        <v>0.38683113425925925</v>
      </c>
      <c r="L1343">
        <f>YEAR(Coffe_sales[[#This Row],[Date]])</f>
        <v>2024</v>
      </c>
    </row>
    <row r="1344" spans="1:12" x14ac:dyDescent="0.2">
      <c r="A1344" t="s">
        <v>46</v>
      </c>
      <c r="B1344" t="s">
        <v>12</v>
      </c>
      <c r="C1344">
        <v>27.92</v>
      </c>
      <c r="D1344" t="s">
        <v>26</v>
      </c>
      <c r="E1344" t="s">
        <v>14</v>
      </c>
      <c r="F1344" t="s">
        <v>47</v>
      </c>
      <c r="G1344" t="s">
        <v>239</v>
      </c>
      <c r="H1344" t="s">
        <v>48</v>
      </c>
      <c r="I1344" t="s">
        <v>46</v>
      </c>
      <c r="J1344" t="s">
        <v>242</v>
      </c>
      <c r="K1344" s="1">
        <v>0.38908761574074074</v>
      </c>
      <c r="L1344">
        <f>YEAR(Coffe_sales[[#This Row],[Date]])</f>
        <v>2024</v>
      </c>
    </row>
    <row r="1345" spans="1:12" x14ac:dyDescent="0.2">
      <c r="A1345" t="s">
        <v>46</v>
      </c>
      <c r="B1345" t="s">
        <v>12</v>
      </c>
      <c r="C1345">
        <v>32.82</v>
      </c>
      <c r="D1345" t="s">
        <v>13</v>
      </c>
      <c r="E1345" t="s">
        <v>14</v>
      </c>
      <c r="F1345" t="s">
        <v>47</v>
      </c>
      <c r="G1345" t="s">
        <v>239</v>
      </c>
      <c r="H1345" t="s">
        <v>48</v>
      </c>
      <c r="I1345" t="s">
        <v>46</v>
      </c>
      <c r="J1345" t="s">
        <v>242</v>
      </c>
      <c r="K1345" s="1">
        <v>0.40130002314814817</v>
      </c>
      <c r="L1345">
        <f>YEAR(Coffe_sales[[#This Row],[Date]])</f>
        <v>2024</v>
      </c>
    </row>
    <row r="1346" spans="1:12" x14ac:dyDescent="0.2">
      <c r="A1346" t="s">
        <v>46</v>
      </c>
      <c r="B1346" t="s">
        <v>12</v>
      </c>
      <c r="C1346">
        <v>32.82</v>
      </c>
      <c r="D1346" t="s">
        <v>31</v>
      </c>
      <c r="E1346" t="s">
        <v>14</v>
      </c>
      <c r="F1346" t="s">
        <v>47</v>
      </c>
      <c r="G1346" t="s">
        <v>239</v>
      </c>
      <c r="H1346" t="s">
        <v>48</v>
      </c>
      <c r="I1346" t="s">
        <v>46</v>
      </c>
      <c r="J1346" t="s">
        <v>242</v>
      </c>
      <c r="K1346" s="1">
        <v>0.4020416550925926</v>
      </c>
      <c r="L1346">
        <f>YEAR(Coffe_sales[[#This Row],[Date]])</f>
        <v>2024</v>
      </c>
    </row>
    <row r="1347" spans="1:12" x14ac:dyDescent="0.2">
      <c r="A1347" t="s">
        <v>20</v>
      </c>
      <c r="B1347" t="s">
        <v>12</v>
      </c>
      <c r="C1347">
        <v>23.02</v>
      </c>
      <c r="D1347" t="s">
        <v>41</v>
      </c>
      <c r="E1347" t="s">
        <v>22</v>
      </c>
      <c r="F1347" t="s">
        <v>47</v>
      </c>
      <c r="G1347" t="s">
        <v>239</v>
      </c>
      <c r="H1347" t="s">
        <v>48</v>
      </c>
      <c r="I1347" t="s">
        <v>46</v>
      </c>
      <c r="J1347" t="s">
        <v>242</v>
      </c>
      <c r="K1347" s="1">
        <v>0.5395070486111111</v>
      </c>
      <c r="L1347">
        <f>YEAR(Coffe_sales[[#This Row],[Date]])</f>
        <v>2024</v>
      </c>
    </row>
    <row r="1348" spans="1:12" x14ac:dyDescent="0.2">
      <c r="A1348" t="s">
        <v>36</v>
      </c>
      <c r="B1348" t="s">
        <v>12</v>
      </c>
      <c r="C1348">
        <v>27.92</v>
      </c>
      <c r="D1348" t="s">
        <v>26</v>
      </c>
      <c r="E1348" t="s">
        <v>22</v>
      </c>
      <c r="F1348" t="s">
        <v>47</v>
      </c>
      <c r="G1348" t="s">
        <v>239</v>
      </c>
      <c r="H1348" t="s">
        <v>48</v>
      </c>
      <c r="I1348" t="s">
        <v>46</v>
      </c>
      <c r="J1348" t="s">
        <v>242</v>
      </c>
      <c r="K1348" s="1">
        <v>0.59365406249999997</v>
      </c>
      <c r="L1348">
        <f>YEAR(Coffe_sales[[#This Row],[Date]])</f>
        <v>2024</v>
      </c>
    </row>
    <row r="1349" spans="1:12" x14ac:dyDescent="0.2">
      <c r="A1349" t="s">
        <v>36</v>
      </c>
      <c r="B1349" t="s">
        <v>12</v>
      </c>
      <c r="C1349">
        <v>27.92</v>
      </c>
      <c r="D1349" t="s">
        <v>26</v>
      </c>
      <c r="E1349" t="s">
        <v>22</v>
      </c>
      <c r="F1349" t="s">
        <v>47</v>
      </c>
      <c r="G1349" t="s">
        <v>239</v>
      </c>
      <c r="H1349" t="s">
        <v>48</v>
      </c>
      <c r="I1349" t="s">
        <v>46</v>
      </c>
      <c r="J1349" t="s">
        <v>242</v>
      </c>
      <c r="K1349" s="1">
        <v>0.59464510416666672</v>
      </c>
      <c r="L1349">
        <f>YEAR(Coffe_sales[[#This Row],[Date]])</f>
        <v>2024</v>
      </c>
    </row>
    <row r="1350" spans="1:12" x14ac:dyDescent="0.2">
      <c r="A1350" t="s">
        <v>28</v>
      </c>
      <c r="B1350" t="s">
        <v>12</v>
      </c>
      <c r="C1350">
        <v>27.92</v>
      </c>
      <c r="D1350" t="s">
        <v>26</v>
      </c>
      <c r="E1350" t="s">
        <v>29</v>
      </c>
      <c r="F1350" t="s">
        <v>47</v>
      </c>
      <c r="G1350" t="s">
        <v>239</v>
      </c>
      <c r="H1350" t="s">
        <v>48</v>
      </c>
      <c r="I1350" t="s">
        <v>46</v>
      </c>
      <c r="J1350" t="s">
        <v>242</v>
      </c>
      <c r="K1350" s="1">
        <v>0.78373549768518513</v>
      </c>
      <c r="L1350">
        <f>YEAR(Coffe_sales[[#This Row],[Date]])</f>
        <v>2024</v>
      </c>
    </row>
    <row r="1351" spans="1:12" x14ac:dyDescent="0.2">
      <c r="A1351" t="s">
        <v>30</v>
      </c>
      <c r="B1351" t="s">
        <v>12</v>
      </c>
      <c r="C1351">
        <v>32.82</v>
      </c>
      <c r="D1351" t="s">
        <v>13</v>
      </c>
      <c r="E1351" t="s">
        <v>29</v>
      </c>
      <c r="F1351" t="s">
        <v>47</v>
      </c>
      <c r="G1351" t="s">
        <v>239</v>
      </c>
      <c r="H1351" t="s">
        <v>48</v>
      </c>
      <c r="I1351" t="s">
        <v>46</v>
      </c>
      <c r="J1351" t="s">
        <v>242</v>
      </c>
      <c r="K1351" s="1">
        <v>0.79944805555555554</v>
      </c>
      <c r="L1351">
        <f>YEAR(Coffe_sales[[#This Row],[Date]])</f>
        <v>2024</v>
      </c>
    </row>
    <row r="1352" spans="1:12" x14ac:dyDescent="0.2">
      <c r="A1352" t="s">
        <v>30</v>
      </c>
      <c r="B1352" t="s">
        <v>12</v>
      </c>
      <c r="C1352">
        <v>27.92</v>
      </c>
      <c r="D1352" t="s">
        <v>26</v>
      </c>
      <c r="E1352" t="s">
        <v>29</v>
      </c>
      <c r="F1352" t="s">
        <v>47</v>
      </c>
      <c r="G1352" t="s">
        <v>239</v>
      </c>
      <c r="H1352" t="s">
        <v>48</v>
      </c>
      <c r="I1352" t="s">
        <v>46</v>
      </c>
      <c r="J1352" t="s">
        <v>242</v>
      </c>
      <c r="K1352" s="1">
        <v>0.80363203703703701</v>
      </c>
      <c r="L1352">
        <f>YEAR(Coffe_sales[[#This Row],[Date]])</f>
        <v>2024</v>
      </c>
    </row>
    <row r="1353" spans="1:12" x14ac:dyDescent="0.2">
      <c r="A1353" t="s">
        <v>35</v>
      </c>
      <c r="B1353" t="s">
        <v>12</v>
      </c>
      <c r="C1353">
        <v>27.92</v>
      </c>
      <c r="D1353" t="s">
        <v>26</v>
      </c>
      <c r="E1353" t="s">
        <v>14</v>
      </c>
      <c r="F1353" t="s">
        <v>50</v>
      </c>
      <c r="G1353" t="s">
        <v>239</v>
      </c>
      <c r="H1353" t="s">
        <v>18</v>
      </c>
      <c r="I1353" t="s">
        <v>46</v>
      </c>
      <c r="J1353" t="s">
        <v>243</v>
      </c>
      <c r="K1353" s="1">
        <v>0.4662219212962963</v>
      </c>
      <c r="L1353">
        <f>YEAR(Coffe_sales[[#This Row],[Date]])</f>
        <v>2024</v>
      </c>
    </row>
    <row r="1354" spans="1:12" x14ac:dyDescent="0.2">
      <c r="A1354" t="s">
        <v>35</v>
      </c>
      <c r="B1354" t="s">
        <v>12</v>
      </c>
      <c r="C1354">
        <v>32.82</v>
      </c>
      <c r="D1354" t="s">
        <v>13</v>
      </c>
      <c r="E1354" t="s">
        <v>14</v>
      </c>
      <c r="F1354" t="s">
        <v>50</v>
      </c>
      <c r="G1354" t="s">
        <v>239</v>
      </c>
      <c r="H1354" t="s">
        <v>18</v>
      </c>
      <c r="I1354" t="s">
        <v>46</v>
      </c>
      <c r="J1354" t="s">
        <v>243</v>
      </c>
      <c r="K1354" s="1">
        <v>0.48167358796296295</v>
      </c>
      <c r="L1354">
        <f>YEAR(Coffe_sales[[#This Row],[Date]])</f>
        <v>2024</v>
      </c>
    </row>
    <row r="1355" spans="1:12" x14ac:dyDescent="0.2">
      <c r="A1355" t="s">
        <v>35</v>
      </c>
      <c r="B1355" t="s">
        <v>12</v>
      </c>
      <c r="C1355">
        <v>23.02</v>
      </c>
      <c r="D1355" t="s">
        <v>24</v>
      </c>
      <c r="E1355" t="s">
        <v>14</v>
      </c>
      <c r="F1355" t="s">
        <v>50</v>
      </c>
      <c r="G1355" t="s">
        <v>239</v>
      </c>
      <c r="H1355" t="s">
        <v>18</v>
      </c>
      <c r="I1355" t="s">
        <v>46</v>
      </c>
      <c r="J1355" t="s">
        <v>243</v>
      </c>
      <c r="K1355" s="1">
        <v>0.49170767361111112</v>
      </c>
      <c r="L1355">
        <f>YEAR(Coffe_sales[[#This Row],[Date]])</f>
        <v>2024</v>
      </c>
    </row>
    <row r="1356" spans="1:12" x14ac:dyDescent="0.2">
      <c r="A1356" t="s">
        <v>35</v>
      </c>
      <c r="B1356" t="s">
        <v>12</v>
      </c>
      <c r="C1356">
        <v>27.92</v>
      </c>
      <c r="D1356" t="s">
        <v>26</v>
      </c>
      <c r="E1356" t="s">
        <v>14</v>
      </c>
      <c r="F1356" t="s">
        <v>50</v>
      </c>
      <c r="G1356" t="s">
        <v>239</v>
      </c>
      <c r="H1356" t="s">
        <v>18</v>
      </c>
      <c r="I1356" t="s">
        <v>46</v>
      </c>
      <c r="J1356" t="s">
        <v>243</v>
      </c>
      <c r="K1356" s="1">
        <v>0.49692693287037037</v>
      </c>
      <c r="L1356">
        <f>YEAR(Coffe_sales[[#This Row],[Date]])</f>
        <v>2024</v>
      </c>
    </row>
    <row r="1357" spans="1:12" x14ac:dyDescent="0.2">
      <c r="A1357" t="s">
        <v>20</v>
      </c>
      <c r="B1357" t="s">
        <v>12</v>
      </c>
      <c r="C1357">
        <v>32.82</v>
      </c>
      <c r="D1357" t="s">
        <v>13</v>
      </c>
      <c r="E1357" t="s">
        <v>22</v>
      </c>
      <c r="F1357" t="s">
        <v>50</v>
      </c>
      <c r="G1357" t="s">
        <v>239</v>
      </c>
      <c r="H1357" t="s">
        <v>18</v>
      </c>
      <c r="I1357" t="s">
        <v>46</v>
      </c>
      <c r="J1357" t="s">
        <v>243</v>
      </c>
      <c r="K1357" s="1">
        <v>0.53716805555555558</v>
      </c>
      <c r="L1357">
        <f>YEAR(Coffe_sales[[#This Row],[Date]])</f>
        <v>2024</v>
      </c>
    </row>
    <row r="1358" spans="1:12" x14ac:dyDescent="0.2">
      <c r="A1358" t="s">
        <v>23</v>
      </c>
      <c r="B1358" t="s">
        <v>12</v>
      </c>
      <c r="C1358">
        <v>32.82</v>
      </c>
      <c r="D1358" t="s">
        <v>13</v>
      </c>
      <c r="E1358" t="s">
        <v>22</v>
      </c>
      <c r="F1358" t="s">
        <v>50</v>
      </c>
      <c r="G1358" t="s">
        <v>239</v>
      </c>
      <c r="H1358" t="s">
        <v>18</v>
      </c>
      <c r="I1358" t="s">
        <v>46</v>
      </c>
      <c r="J1358" t="s">
        <v>243</v>
      </c>
      <c r="K1358" s="1">
        <v>0.54433576388888893</v>
      </c>
      <c r="L1358">
        <f>YEAR(Coffe_sales[[#This Row],[Date]])</f>
        <v>2024</v>
      </c>
    </row>
    <row r="1359" spans="1:12" x14ac:dyDescent="0.2">
      <c r="A1359" t="s">
        <v>23</v>
      </c>
      <c r="B1359" t="s">
        <v>12</v>
      </c>
      <c r="C1359">
        <v>27.92</v>
      </c>
      <c r="D1359" t="s">
        <v>26</v>
      </c>
      <c r="E1359" t="s">
        <v>22</v>
      </c>
      <c r="F1359" t="s">
        <v>50</v>
      </c>
      <c r="G1359" t="s">
        <v>239</v>
      </c>
      <c r="H1359" t="s">
        <v>18</v>
      </c>
      <c r="I1359" t="s">
        <v>46</v>
      </c>
      <c r="J1359" t="s">
        <v>243</v>
      </c>
      <c r="K1359" s="1">
        <v>0.54532523148148149</v>
      </c>
      <c r="L1359">
        <f>YEAR(Coffe_sales[[#This Row],[Date]])</f>
        <v>2024</v>
      </c>
    </row>
    <row r="1360" spans="1:12" x14ac:dyDescent="0.2">
      <c r="A1360" t="s">
        <v>28</v>
      </c>
      <c r="B1360" t="s">
        <v>12</v>
      </c>
      <c r="C1360">
        <v>32.82</v>
      </c>
      <c r="D1360" t="s">
        <v>52</v>
      </c>
      <c r="E1360" t="s">
        <v>29</v>
      </c>
      <c r="F1360" t="s">
        <v>50</v>
      </c>
      <c r="G1360" t="s">
        <v>239</v>
      </c>
      <c r="H1360" t="s">
        <v>18</v>
      </c>
      <c r="I1360" t="s">
        <v>46</v>
      </c>
      <c r="J1360" t="s">
        <v>243</v>
      </c>
      <c r="K1360" s="1">
        <v>0.75262644675925927</v>
      </c>
      <c r="L1360">
        <f>YEAR(Coffe_sales[[#This Row],[Date]])</f>
        <v>2024</v>
      </c>
    </row>
    <row r="1361" spans="1:12" x14ac:dyDescent="0.2">
      <c r="A1361" t="s">
        <v>30</v>
      </c>
      <c r="B1361" t="s">
        <v>12</v>
      </c>
      <c r="C1361">
        <v>27.92</v>
      </c>
      <c r="D1361" t="s">
        <v>26</v>
      </c>
      <c r="E1361" t="s">
        <v>29</v>
      </c>
      <c r="F1361" t="s">
        <v>50</v>
      </c>
      <c r="G1361" t="s">
        <v>239</v>
      </c>
      <c r="H1361" t="s">
        <v>18</v>
      </c>
      <c r="I1361" t="s">
        <v>46</v>
      </c>
      <c r="J1361" t="s">
        <v>243</v>
      </c>
      <c r="K1361" s="1">
        <v>0.82062456018518515</v>
      </c>
      <c r="L1361">
        <f>YEAR(Coffe_sales[[#This Row],[Date]])</f>
        <v>2024</v>
      </c>
    </row>
    <row r="1362" spans="1:12" x14ac:dyDescent="0.2">
      <c r="A1362" t="s">
        <v>131</v>
      </c>
      <c r="B1362" t="s">
        <v>12</v>
      </c>
      <c r="C1362">
        <v>32.82</v>
      </c>
      <c r="D1362" t="s">
        <v>13</v>
      </c>
      <c r="E1362" t="s">
        <v>29</v>
      </c>
      <c r="F1362" t="s">
        <v>50</v>
      </c>
      <c r="G1362" t="s">
        <v>239</v>
      </c>
      <c r="H1362" t="s">
        <v>18</v>
      </c>
      <c r="I1362" t="s">
        <v>46</v>
      </c>
      <c r="J1362" t="s">
        <v>243</v>
      </c>
      <c r="K1362" s="1">
        <v>0.88860704861111106</v>
      </c>
      <c r="L1362">
        <f>YEAR(Coffe_sales[[#This Row],[Date]])</f>
        <v>2024</v>
      </c>
    </row>
    <row r="1363" spans="1:12" x14ac:dyDescent="0.2">
      <c r="A1363" t="s">
        <v>46</v>
      </c>
      <c r="B1363" t="s">
        <v>12</v>
      </c>
      <c r="C1363">
        <v>27.92</v>
      </c>
      <c r="D1363" t="s">
        <v>26</v>
      </c>
      <c r="E1363" t="s">
        <v>14</v>
      </c>
      <c r="F1363" t="s">
        <v>53</v>
      </c>
      <c r="G1363" t="s">
        <v>239</v>
      </c>
      <c r="H1363" t="s">
        <v>54</v>
      </c>
      <c r="I1363" t="s">
        <v>46</v>
      </c>
      <c r="J1363" t="s">
        <v>244</v>
      </c>
      <c r="K1363" s="1">
        <v>0.39672476851851851</v>
      </c>
      <c r="L1363">
        <f>YEAR(Coffe_sales[[#This Row],[Date]])</f>
        <v>2024</v>
      </c>
    </row>
    <row r="1364" spans="1:12" x14ac:dyDescent="0.2">
      <c r="A1364" t="s">
        <v>11</v>
      </c>
      <c r="B1364" t="s">
        <v>12</v>
      </c>
      <c r="C1364">
        <v>27.92</v>
      </c>
      <c r="D1364" t="s">
        <v>26</v>
      </c>
      <c r="E1364" t="s">
        <v>14</v>
      </c>
      <c r="F1364" t="s">
        <v>53</v>
      </c>
      <c r="G1364" t="s">
        <v>239</v>
      </c>
      <c r="H1364" t="s">
        <v>54</v>
      </c>
      <c r="I1364" t="s">
        <v>46</v>
      </c>
      <c r="J1364" t="s">
        <v>244</v>
      </c>
      <c r="K1364" s="1">
        <v>0.43676188657407405</v>
      </c>
      <c r="L1364">
        <f>YEAR(Coffe_sales[[#This Row],[Date]])</f>
        <v>2024</v>
      </c>
    </row>
    <row r="1365" spans="1:12" x14ac:dyDescent="0.2">
      <c r="A1365" t="s">
        <v>35</v>
      </c>
      <c r="B1365" t="s">
        <v>12</v>
      </c>
      <c r="C1365">
        <v>23.02</v>
      </c>
      <c r="D1365" t="s">
        <v>24</v>
      </c>
      <c r="E1365" t="s">
        <v>14</v>
      </c>
      <c r="F1365" t="s">
        <v>53</v>
      </c>
      <c r="G1365" t="s">
        <v>239</v>
      </c>
      <c r="H1365" t="s">
        <v>54</v>
      </c>
      <c r="I1365" t="s">
        <v>46</v>
      </c>
      <c r="J1365" t="s">
        <v>244</v>
      </c>
      <c r="K1365" s="1">
        <v>0.46285415509259259</v>
      </c>
      <c r="L1365">
        <f>YEAR(Coffe_sales[[#This Row],[Date]])</f>
        <v>2024</v>
      </c>
    </row>
    <row r="1366" spans="1:12" x14ac:dyDescent="0.2">
      <c r="A1366" t="s">
        <v>36</v>
      </c>
      <c r="B1366" t="s">
        <v>12</v>
      </c>
      <c r="C1366">
        <v>32.82</v>
      </c>
      <c r="D1366" t="s">
        <v>13</v>
      </c>
      <c r="E1366" t="s">
        <v>22</v>
      </c>
      <c r="F1366" t="s">
        <v>53</v>
      </c>
      <c r="G1366" t="s">
        <v>239</v>
      </c>
      <c r="H1366" t="s">
        <v>54</v>
      </c>
      <c r="I1366" t="s">
        <v>46</v>
      </c>
      <c r="J1366" t="s">
        <v>244</v>
      </c>
      <c r="K1366" s="1">
        <v>0.58365430555555553</v>
      </c>
      <c r="L1366">
        <f>YEAR(Coffe_sales[[#This Row],[Date]])</f>
        <v>2024</v>
      </c>
    </row>
    <row r="1367" spans="1:12" x14ac:dyDescent="0.2">
      <c r="A1367" t="s">
        <v>25</v>
      </c>
      <c r="B1367" t="s">
        <v>12</v>
      </c>
      <c r="C1367">
        <v>32.82</v>
      </c>
      <c r="D1367" t="s">
        <v>13</v>
      </c>
      <c r="E1367" t="s">
        <v>22</v>
      </c>
      <c r="F1367" t="s">
        <v>53</v>
      </c>
      <c r="G1367" t="s">
        <v>239</v>
      </c>
      <c r="H1367" t="s">
        <v>54</v>
      </c>
      <c r="I1367" t="s">
        <v>46</v>
      </c>
      <c r="J1367" t="s">
        <v>244</v>
      </c>
      <c r="K1367" s="1">
        <v>0.64250395833333329</v>
      </c>
      <c r="L1367">
        <f>YEAR(Coffe_sales[[#This Row],[Date]])</f>
        <v>2024</v>
      </c>
    </row>
    <row r="1368" spans="1:12" x14ac:dyDescent="0.2">
      <c r="A1368" t="s">
        <v>27</v>
      </c>
      <c r="B1368" t="s">
        <v>12</v>
      </c>
      <c r="C1368">
        <v>23.02</v>
      </c>
      <c r="D1368" t="s">
        <v>24</v>
      </c>
      <c r="E1368" t="s">
        <v>22</v>
      </c>
      <c r="F1368" t="s">
        <v>53</v>
      </c>
      <c r="G1368" t="s">
        <v>239</v>
      </c>
      <c r="H1368" t="s">
        <v>54</v>
      </c>
      <c r="I1368" t="s">
        <v>46</v>
      </c>
      <c r="J1368" t="s">
        <v>244</v>
      </c>
      <c r="K1368" s="1">
        <v>0.69363871527777776</v>
      </c>
      <c r="L1368">
        <f>YEAR(Coffe_sales[[#This Row],[Date]])</f>
        <v>2024</v>
      </c>
    </row>
    <row r="1369" spans="1:12" x14ac:dyDescent="0.2">
      <c r="A1369" t="s">
        <v>27</v>
      </c>
      <c r="B1369" t="s">
        <v>12</v>
      </c>
      <c r="C1369">
        <v>27.92</v>
      </c>
      <c r="D1369" t="s">
        <v>26</v>
      </c>
      <c r="E1369" t="s">
        <v>22</v>
      </c>
      <c r="F1369" t="s">
        <v>53</v>
      </c>
      <c r="G1369" t="s">
        <v>239</v>
      </c>
      <c r="H1369" t="s">
        <v>54</v>
      </c>
      <c r="I1369" t="s">
        <v>46</v>
      </c>
      <c r="J1369" t="s">
        <v>244</v>
      </c>
      <c r="K1369" s="1">
        <v>0.69444020833333331</v>
      </c>
      <c r="L1369">
        <f>YEAR(Coffe_sales[[#This Row],[Date]])</f>
        <v>2024</v>
      </c>
    </row>
    <row r="1370" spans="1:12" x14ac:dyDescent="0.2">
      <c r="A1370" t="s">
        <v>37</v>
      </c>
      <c r="B1370" t="s">
        <v>12</v>
      </c>
      <c r="C1370">
        <v>32.82</v>
      </c>
      <c r="D1370" t="s">
        <v>52</v>
      </c>
      <c r="E1370" t="s">
        <v>29</v>
      </c>
      <c r="F1370" t="s">
        <v>53</v>
      </c>
      <c r="G1370" t="s">
        <v>239</v>
      </c>
      <c r="H1370" t="s">
        <v>54</v>
      </c>
      <c r="I1370" t="s">
        <v>46</v>
      </c>
      <c r="J1370" t="s">
        <v>244</v>
      </c>
      <c r="K1370" s="1">
        <v>0.71144565972222218</v>
      </c>
      <c r="L1370">
        <f>YEAR(Coffe_sales[[#This Row],[Date]])</f>
        <v>2024</v>
      </c>
    </row>
    <row r="1371" spans="1:12" x14ac:dyDescent="0.2">
      <c r="A1371" t="s">
        <v>37</v>
      </c>
      <c r="B1371" t="s">
        <v>12</v>
      </c>
      <c r="C1371">
        <v>32.82</v>
      </c>
      <c r="D1371" t="s">
        <v>52</v>
      </c>
      <c r="E1371" t="s">
        <v>29</v>
      </c>
      <c r="F1371" t="s">
        <v>53</v>
      </c>
      <c r="G1371" t="s">
        <v>239</v>
      </c>
      <c r="H1371" t="s">
        <v>54</v>
      </c>
      <c r="I1371" t="s">
        <v>46</v>
      </c>
      <c r="J1371" t="s">
        <v>244</v>
      </c>
      <c r="K1371" s="1">
        <v>0.71217226851851856</v>
      </c>
      <c r="L1371">
        <f>YEAR(Coffe_sales[[#This Row],[Date]])</f>
        <v>2024</v>
      </c>
    </row>
    <row r="1372" spans="1:12" x14ac:dyDescent="0.2">
      <c r="A1372" t="s">
        <v>91</v>
      </c>
      <c r="B1372" t="s">
        <v>12</v>
      </c>
      <c r="C1372">
        <v>32.82</v>
      </c>
      <c r="D1372" t="s">
        <v>52</v>
      </c>
      <c r="E1372" t="s">
        <v>29</v>
      </c>
      <c r="F1372" t="s">
        <v>53</v>
      </c>
      <c r="G1372" t="s">
        <v>239</v>
      </c>
      <c r="H1372" t="s">
        <v>54</v>
      </c>
      <c r="I1372" t="s">
        <v>46</v>
      </c>
      <c r="J1372" t="s">
        <v>244</v>
      </c>
      <c r="K1372" s="1">
        <v>0.85433986111111115</v>
      </c>
      <c r="L1372">
        <f>YEAR(Coffe_sales[[#This Row],[Date]])</f>
        <v>2024</v>
      </c>
    </row>
    <row r="1373" spans="1:12" x14ac:dyDescent="0.2">
      <c r="A1373" t="s">
        <v>91</v>
      </c>
      <c r="B1373" t="s">
        <v>12</v>
      </c>
      <c r="C1373">
        <v>23.02</v>
      </c>
      <c r="D1373" t="s">
        <v>24</v>
      </c>
      <c r="E1373" t="s">
        <v>29</v>
      </c>
      <c r="F1373" t="s">
        <v>53</v>
      </c>
      <c r="G1373" t="s">
        <v>239</v>
      </c>
      <c r="H1373" t="s">
        <v>54</v>
      </c>
      <c r="I1373" t="s">
        <v>46</v>
      </c>
      <c r="J1373" t="s">
        <v>244</v>
      </c>
      <c r="K1373" s="1">
        <v>0.87111607638888888</v>
      </c>
      <c r="L1373">
        <f>YEAR(Coffe_sales[[#This Row],[Date]])</f>
        <v>2024</v>
      </c>
    </row>
    <row r="1374" spans="1:12" x14ac:dyDescent="0.2">
      <c r="A1374" t="s">
        <v>91</v>
      </c>
      <c r="B1374" t="s">
        <v>12</v>
      </c>
      <c r="C1374">
        <v>32.82</v>
      </c>
      <c r="D1374" t="s">
        <v>52</v>
      </c>
      <c r="E1374" t="s">
        <v>29</v>
      </c>
      <c r="F1374" t="s">
        <v>53</v>
      </c>
      <c r="G1374" t="s">
        <v>239</v>
      </c>
      <c r="H1374" t="s">
        <v>54</v>
      </c>
      <c r="I1374" t="s">
        <v>46</v>
      </c>
      <c r="J1374" t="s">
        <v>244</v>
      </c>
      <c r="K1374" s="1">
        <v>0.87189153935185182</v>
      </c>
      <c r="L1374">
        <f>YEAR(Coffe_sales[[#This Row],[Date]])</f>
        <v>2024</v>
      </c>
    </row>
    <row r="1375" spans="1:12" x14ac:dyDescent="0.2">
      <c r="A1375" t="s">
        <v>131</v>
      </c>
      <c r="B1375" t="s">
        <v>12</v>
      </c>
      <c r="C1375">
        <v>27.92</v>
      </c>
      <c r="D1375" t="s">
        <v>26</v>
      </c>
      <c r="E1375" t="s">
        <v>29</v>
      </c>
      <c r="F1375" t="s">
        <v>53</v>
      </c>
      <c r="G1375" t="s">
        <v>239</v>
      </c>
      <c r="H1375" t="s">
        <v>54</v>
      </c>
      <c r="I1375" t="s">
        <v>46</v>
      </c>
      <c r="J1375" t="s">
        <v>244</v>
      </c>
      <c r="K1375" s="1">
        <v>0.89338930555555551</v>
      </c>
      <c r="L1375">
        <f>YEAR(Coffe_sales[[#This Row],[Date]])</f>
        <v>2024</v>
      </c>
    </row>
    <row r="1376" spans="1:12" x14ac:dyDescent="0.2">
      <c r="A1376" t="s">
        <v>131</v>
      </c>
      <c r="B1376" t="s">
        <v>12</v>
      </c>
      <c r="C1376">
        <v>27.92</v>
      </c>
      <c r="D1376" t="s">
        <v>26</v>
      </c>
      <c r="E1376" t="s">
        <v>29</v>
      </c>
      <c r="F1376" t="s">
        <v>53</v>
      </c>
      <c r="G1376" t="s">
        <v>239</v>
      </c>
      <c r="H1376" t="s">
        <v>54</v>
      </c>
      <c r="I1376" t="s">
        <v>46</v>
      </c>
      <c r="J1376" t="s">
        <v>244</v>
      </c>
      <c r="K1376" s="1">
        <v>0.89409686342592598</v>
      </c>
      <c r="L1376">
        <f>YEAR(Coffe_sales[[#This Row],[Date]])</f>
        <v>2024</v>
      </c>
    </row>
    <row r="1377" spans="1:12" x14ac:dyDescent="0.2">
      <c r="A1377" t="s">
        <v>123</v>
      </c>
      <c r="B1377" t="s">
        <v>12</v>
      </c>
      <c r="C1377">
        <v>32.82</v>
      </c>
      <c r="D1377" t="s">
        <v>52</v>
      </c>
      <c r="E1377" t="s">
        <v>14</v>
      </c>
      <c r="F1377" t="s">
        <v>15</v>
      </c>
      <c r="G1377" t="s">
        <v>239</v>
      </c>
      <c r="H1377" t="s">
        <v>17</v>
      </c>
      <c r="I1377" t="s">
        <v>46</v>
      </c>
      <c r="J1377" t="s">
        <v>245</v>
      </c>
      <c r="K1377" s="1">
        <v>0.35108645833333335</v>
      </c>
      <c r="L1377">
        <f>YEAR(Coffe_sales[[#This Row],[Date]])</f>
        <v>2024</v>
      </c>
    </row>
    <row r="1378" spans="1:12" x14ac:dyDescent="0.2">
      <c r="A1378" t="s">
        <v>123</v>
      </c>
      <c r="B1378" t="s">
        <v>12</v>
      </c>
      <c r="C1378">
        <v>32.82</v>
      </c>
      <c r="D1378" t="s">
        <v>13</v>
      </c>
      <c r="E1378" t="s">
        <v>14</v>
      </c>
      <c r="F1378" t="s">
        <v>15</v>
      </c>
      <c r="G1378" t="s">
        <v>239</v>
      </c>
      <c r="H1378" t="s">
        <v>17</v>
      </c>
      <c r="I1378" t="s">
        <v>46</v>
      </c>
      <c r="J1378" t="s">
        <v>245</v>
      </c>
      <c r="K1378" s="1">
        <v>0.3574864236111111</v>
      </c>
      <c r="L1378">
        <f>YEAR(Coffe_sales[[#This Row],[Date]])</f>
        <v>2024</v>
      </c>
    </row>
    <row r="1379" spans="1:12" x14ac:dyDescent="0.2">
      <c r="A1379" t="s">
        <v>123</v>
      </c>
      <c r="B1379" t="s">
        <v>12</v>
      </c>
      <c r="C1379">
        <v>23.02</v>
      </c>
      <c r="D1379" t="s">
        <v>24</v>
      </c>
      <c r="E1379" t="s">
        <v>14</v>
      </c>
      <c r="F1379" t="s">
        <v>15</v>
      </c>
      <c r="G1379" t="s">
        <v>239</v>
      </c>
      <c r="H1379" t="s">
        <v>17</v>
      </c>
      <c r="I1379" t="s">
        <v>46</v>
      </c>
      <c r="J1379" t="s">
        <v>245</v>
      </c>
      <c r="K1379" s="1">
        <v>0.37131886574074074</v>
      </c>
      <c r="L1379">
        <f>YEAR(Coffe_sales[[#This Row],[Date]])</f>
        <v>2024</v>
      </c>
    </row>
    <row r="1380" spans="1:12" x14ac:dyDescent="0.2">
      <c r="A1380" t="s">
        <v>46</v>
      </c>
      <c r="B1380" t="s">
        <v>12</v>
      </c>
      <c r="C1380">
        <v>18.12</v>
      </c>
      <c r="D1380" t="s">
        <v>45</v>
      </c>
      <c r="E1380" t="s">
        <v>14</v>
      </c>
      <c r="F1380" t="s">
        <v>15</v>
      </c>
      <c r="G1380" t="s">
        <v>239</v>
      </c>
      <c r="H1380" t="s">
        <v>17</v>
      </c>
      <c r="I1380" t="s">
        <v>46</v>
      </c>
      <c r="J1380" t="s">
        <v>245</v>
      </c>
      <c r="K1380" s="1">
        <v>0.41018459490740738</v>
      </c>
      <c r="L1380">
        <f>YEAR(Coffe_sales[[#This Row],[Date]])</f>
        <v>2024</v>
      </c>
    </row>
    <row r="1381" spans="1:12" x14ac:dyDescent="0.2">
      <c r="A1381" t="s">
        <v>46</v>
      </c>
      <c r="B1381" t="s">
        <v>12</v>
      </c>
      <c r="C1381">
        <v>32.82</v>
      </c>
      <c r="D1381" t="s">
        <v>13</v>
      </c>
      <c r="E1381" t="s">
        <v>14</v>
      </c>
      <c r="F1381" t="s">
        <v>15</v>
      </c>
      <c r="G1381" t="s">
        <v>239</v>
      </c>
      <c r="H1381" t="s">
        <v>17</v>
      </c>
      <c r="I1381" t="s">
        <v>46</v>
      </c>
      <c r="J1381" t="s">
        <v>245</v>
      </c>
      <c r="K1381" s="1">
        <v>0.41102101851851852</v>
      </c>
      <c r="L1381">
        <f>YEAR(Coffe_sales[[#This Row],[Date]])</f>
        <v>2024</v>
      </c>
    </row>
    <row r="1382" spans="1:12" x14ac:dyDescent="0.2">
      <c r="A1382" t="s">
        <v>11</v>
      </c>
      <c r="B1382" t="s">
        <v>12</v>
      </c>
      <c r="C1382">
        <v>32.82</v>
      </c>
      <c r="D1382" t="s">
        <v>21</v>
      </c>
      <c r="E1382" t="s">
        <v>14</v>
      </c>
      <c r="F1382" t="s">
        <v>15</v>
      </c>
      <c r="G1382" t="s">
        <v>239</v>
      </c>
      <c r="H1382" t="s">
        <v>17</v>
      </c>
      <c r="I1382" t="s">
        <v>46</v>
      </c>
      <c r="J1382" t="s">
        <v>245</v>
      </c>
      <c r="K1382" s="1">
        <v>0.43757001157407405</v>
      </c>
      <c r="L1382">
        <f>YEAR(Coffe_sales[[#This Row],[Date]])</f>
        <v>2024</v>
      </c>
    </row>
    <row r="1383" spans="1:12" x14ac:dyDescent="0.2">
      <c r="A1383" t="s">
        <v>35</v>
      </c>
      <c r="B1383" t="s">
        <v>12</v>
      </c>
      <c r="C1383">
        <v>18.12</v>
      </c>
      <c r="D1383" t="s">
        <v>45</v>
      </c>
      <c r="E1383" t="s">
        <v>14</v>
      </c>
      <c r="F1383" t="s">
        <v>15</v>
      </c>
      <c r="G1383" t="s">
        <v>239</v>
      </c>
      <c r="H1383" t="s">
        <v>17</v>
      </c>
      <c r="I1383" t="s">
        <v>46</v>
      </c>
      <c r="J1383" t="s">
        <v>245</v>
      </c>
      <c r="K1383" s="1">
        <v>0.47459942129629629</v>
      </c>
      <c r="L1383">
        <f>YEAR(Coffe_sales[[#This Row],[Date]])</f>
        <v>2024</v>
      </c>
    </row>
    <row r="1384" spans="1:12" x14ac:dyDescent="0.2">
      <c r="A1384" t="s">
        <v>35</v>
      </c>
      <c r="B1384" t="s">
        <v>12</v>
      </c>
      <c r="C1384">
        <v>18.12</v>
      </c>
      <c r="D1384" t="s">
        <v>45</v>
      </c>
      <c r="E1384" t="s">
        <v>14</v>
      </c>
      <c r="F1384" t="s">
        <v>15</v>
      </c>
      <c r="G1384" t="s">
        <v>239</v>
      </c>
      <c r="H1384" t="s">
        <v>17</v>
      </c>
      <c r="I1384" t="s">
        <v>46</v>
      </c>
      <c r="J1384" t="s">
        <v>245</v>
      </c>
      <c r="K1384" s="1">
        <v>0.47533858796296297</v>
      </c>
      <c r="L1384">
        <f>YEAR(Coffe_sales[[#This Row],[Date]])</f>
        <v>2024</v>
      </c>
    </row>
    <row r="1385" spans="1:12" x14ac:dyDescent="0.2">
      <c r="A1385" t="s">
        <v>91</v>
      </c>
      <c r="B1385" t="s">
        <v>12</v>
      </c>
      <c r="C1385">
        <v>32.82</v>
      </c>
      <c r="D1385" t="s">
        <v>13</v>
      </c>
      <c r="E1385" t="s">
        <v>29</v>
      </c>
      <c r="F1385" t="s">
        <v>15</v>
      </c>
      <c r="G1385" t="s">
        <v>239</v>
      </c>
      <c r="H1385" t="s">
        <v>17</v>
      </c>
      <c r="I1385" t="s">
        <v>46</v>
      </c>
      <c r="J1385" t="s">
        <v>245</v>
      </c>
      <c r="K1385" s="1">
        <v>0.83347251157407409</v>
      </c>
      <c r="L1385">
        <f>YEAR(Coffe_sales[[#This Row],[Date]])</f>
        <v>2024</v>
      </c>
    </row>
    <row r="1386" spans="1:12" x14ac:dyDescent="0.2">
      <c r="A1386" t="s">
        <v>131</v>
      </c>
      <c r="B1386" t="s">
        <v>12</v>
      </c>
      <c r="C1386">
        <v>32.82</v>
      </c>
      <c r="D1386" t="s">
        <v>13</v>
      </c>
      <c r="E1386" t="s">
        <v>29</v>
      </c>
      <c r="F1386" t="s">
        <v>15</v>
      </c>
      <c r="G1386" t="s">
        <v>239</v>
      </c>
      <c r="H1386" t="s">
        <v>17</v>
      </c>
      <c r="I1386" t="s">
        <v>46</v>
      </c>
      <c r="J1386" t="s">
        <v>245</v>
      </c>
      <c r="K1386" s="1">
        <v>0.88161165509259254</v>
      </c>
      <c r="L1386">
        <f>YEAR(Coffe_sales[[#This Row],[Date]])</f>
        <v>2024</v>
      </c>
    </row>
    <row r="1387" spans="1:12" x14ac:dyDescent="0.2">
      <c r="A1387" t="s">
        <v>123</v>
      </c>
      <c r="B1387" t="s">
        <v>12</v>
      </c>
      <c r="C1387">
        <v>32.82</v>
      </c>
      <c r="D1387" t="s">
        <v>13</v>
      </c>
      <c r="E1387" t="s">
        <v>14</v>
      </c>
      <c r="F1387" t="s">
        <v>32</v>
      </c>
      <c r="G1387" t="s">
        <v>239</v>
      </c>
      <c r="H1387" t="s">
        <v>33</v>
      </c>
      <c r="I1387" t="s">
        <v>46</v>
      </c>
      <c r="J1387" t="s">
        <v>246</v>
      </c>
      <c r="K1387" s="1">
        <v>0.36732655092592592</v>
      </c>
      <c r="L1387">
        <f>YEAR(Coffe_sales[[#This Row],[Date]])</f>
        <v>2024</v>
      </c>
    </row>
    <row r="1388" spans="1:12" x14ac:dyDescent="0.2">
      <c r="A1388" t="s">
        <v>46</v>
      </c>
      <c r="B1388" t="s">
        <v>12</v>
      </c>
      <c r="C1388">
        <v>23.02</v>
      </c>
      <c r="D1388" t="s">
        <v>41</v>
      </c>
      <c r="E1388" t="s">
        <v>14</v>
      </c>
      <c r="F1388" t="s">
        <v>32</v>
      </c>
      <c r="G1388" t="s">
        <v>239</v>
      </c>
      <c r="H1388" t="s">
        <v>33</v>
      </c>
      <c r="I1388" t="s">
        <v>46</v>
      </c>
      <c r="J1388" t="s">
        <v>246</v>
      </c>
      <c r="K1388" s="1">
        <v>0.41114582175925923</v>
      </c>
      <c r="L1388">
        <f>YEAR(Coffe_sales[[#This Row],[Date]])</f>
        <v>2024</v>
      </c>
    </row>
    <row r="1389" spans="1:12" x14ac:dyDescent="0.2">
      <c r="A1389" t="s">
        <v>46</v>
      </c>
      <c r="B1389" t="s">
        <v>12</v>
      </c>
      <c r="C1389">
        <v>23.02</v>
      </c>
      <c r="D1389" t="s">
        <v>41</v>
      </c>
      <c r="E1389" t="s">
        <v>14</v>
      </c>
      <c r="F1389" t="s">
        <v>32</v>
      </c>
      <c r="G1389" t="s">
        <v>239</v>
      </c>
      <c r="H1389" t="s">
        <v>33</v>
      </c>
      <c r="I1389" t="s">
        <v>46</v>
      </c>
      <c r="J1389" t="s">
        <v>246</v>
      </c>
      <c r="K1389" s="1">
        <v>0.41184693287037039</v>
      </c>
      <c r="L1389">
        <f>YEAR(Coffe_sales[[#This Row],[Date]])</f>
        <v>2024</v>
      </c>
    </row>
    <row r="1390" spans="1:12" x14ac:dyDescent="0.2">
      <c r="A1390" t="s">
        <v>46</v>
      </c>
      <c r="B1390" t="s">
        <v>12</v>
      </c>
      <c r="C1390">
        <v>23.02</v>
      </c>
      <c r="D1390" t="s">
        <v>41</v>
      </c>
      <c r="E1390" t="s">
        <v>14</v>
      </c>
      <c r="F1390" t="s">
        <v>32</v>
      </c>
      <c r="G1390" t="s">
        <v>239</v>
      </c>
      <c r="H1390" t="s">
        <v>33</v>
      </c>
      <c r="I1390" t="s">
        <v>46</v>
      </c>
      <c r="J1390" t="s">
        <v>246</v>
      </c>
      <c r="K1390" s="1">
        <v>0.41298163194444443</v>
      </c>
      <c r="L1390">
        <f>YEAR(Coffe_sales[[#This Row],[Date]])</f>
        <v>2024</v>
      </c>
    </row>
    <row r="1391" spans="1:12" x14ac:dyDescent="0.2">
      <c r="A1391" t="s">
        <v>46</v>
      </c>
      <c r="B1391" t="s">
        <v>12</v>
      </c>
      <c r="C1391">
        <v>27.92</v>
      </c>
      <c r="D1391" t="s">
        <v>26</v>
      </c>
      <c r="E1391" t="s">
        <v>14</v>
      </c>
      <c r="F1391" t="s">
        <v>32</v>
      </c>
      <c r="G1391" t="s">
        <v>239</v>
      </c>
      <c r="H1391" t="s">
        <v>33</v>
      </c>
      <c r="I1391" t="s">
        <v>46</v>
      </c>
      <c r="J1391" t="s">
        <v>246</v>
      </c>
      <c r="K1391" s="1">
        <v>0.41513486111111109</v>
      </c>
      <c r="L1391">
        <f>YEAR(Coffe_sales[[#This Row],[Date]])</f>
        <v>2024</v>
      </c>
    </row>
    <row r="1392" spans="1:12" x14ac:dyDescent="0.2">
      <c r="A1392" t="s">
        <v>46</v>
      </c>
      <c r="B1392" t="s">
        <v>12</v>
      </c>
      <c r="C1392">
        <v>27.92</v>
      </c>
      <c r="D1392" t="s">
        <v>26</v>
      </c>
      <c r="E1392" t="s">
        <v>14</v>
      </c>
      <c r="F1392" t="s">
        <v>32</v>
      </c>
      <c r="G1392" t="s">
        <v>239</v>
      </c>
      <c r="H1392" t="s">
        <v>33</v>
      </c>
      <c r="I1392" t="s">
        <v>46</v>
      </c>
      <c r="J1392" t="s">
        <v>246</v>
      </c>
      <c r="K1392" s="1">
        <v>0.41599895833333334</v>
      </c>
      <c r="L1392">
        <f>YEAR(Coffe_sales[[#This Row],[Date]])</f>
        <v>2024</v>
      </c>
    </row>
    <row r="1393" spans="1:12" x14ac:dyDescent="0.2">
      <c r="A1393" t="s">
        <v>11</v>
      </c>
      <c r="B1393" t="s">
        <v>12</v>
      </c>
      <c r="C1393">
        <v>23.02</v>
      </c>
      <c r="D1393" t="s">
        <v>41</v>
      </c>
      <c r="E1393" t="s">
        <v>14</v>
      </c>
      <c r="F1393" t="s">
        <v>32</v>
      </c>
      <c r="G1393" t="s">
        <v>239</v>
      </c>
      <c r="H1393" t="s">
        <v>33</v>
      </c>
      <c r="I1393" t="s">
        <v>46</v>
      </c>
      <c r="J1393" t="s">
        <v>246</v>
      </c>
      <c r="K1393" s="1">
        <v>0.41689447916666666</v>
      </c>
      <c r="L1393">
        <f>YEAR(Coffe_sales[[#This Row],[Date]])</f>
        <v>2024</v>
      </c>
    </row>
    <row r="1394" spans="1:12" x14ac:dyDescent="0.2">
      <c r="A1394" t="s">
        <v>11</v>
      </c>
      <c r="B1394" t="s">
        <v>12</v>
      </c>
      <c r="C1394">
        <v>23.02</v>
      </c>
      <c r="D1394" t="s">
        <v>24</v>
      </c>
      <c r="E1394" t="s">
        <v>14</v>
      </c>
      <c r="F1394" t="s">
        <v>32</v>
      </c>
      <c r="G1394" t="s">
        <v>239</v>
      </c>
      <c r="H1394" t="s">
        <v>33</v>
      </c>
      <c r="I1394" t="s">
        <v>46</v>
      </c>
      <c r="J1394" t="s">
        <v>246</v>
      </c>
      <c r="K1394" s="1">
        <v>0.43245969907407406</v>
      </c>
      <c r="L1394">
        <f>YEAR(Coffe_sales[[#This Row],[Date]])</f>
        <v>2024</v>
      </c>
    </row>
    <row r="1395" spans="1:12" x14ac:dyDescent="0.2">
      <c r="A1395" t="s">
        <v>11</v>
      </c>
      <c r="B1395" t="s">
        <v>12</v>
      </c>
      <c r="C1395">
        <v>18.12</v>
      </c>
      <c r="D1395" t="s">
        <v>45</v>
      </c>
      <c r="E1395" t="s">
        <v>14</v>
      </c>
      <c r="F1395" t="s">
        <v>32</v>
      </c>
      <c r="G1395" t="s">
        <v>239</v>
      </c>
      <c r="H1395" t="s">
        <v>33</v>
      </c>
      <c r="I1395" t="s">
        <v>46</v>
      </c>
      <c r="J1395" t="s">
        <v>246</v>
      </c>
      <c r="K1395" s="1">
        <v>0.44296684027777777</v>
      </c>
      <c r="L1395">
        <f>YEAR(Coffe_sales[[#This Row],[Date]])</f>
        <v>2024</v>
      </c>
    </row>
    <row r="1396" spans="1:12" x14ac:dyDescent="0.2">
      <c r="A1396" t="s">
        <v>11</v>
      </c>
      <c r="B1396" t="s">
        <v>12</v>
      </c>
      <c r="C1396">
        <v>18.12</v>
      </c>
      <c r="D1396" t="s">
        <v>45</v>
      </c>
      <c r="E1396" t="s">
        <v>14</v>
      </c>
      <c r="F1396" t="s">
        <v>32</v>
      </c>
      <c r="G1396" t="s">
        <v>239</v>
      </c>
      <c r="H1396" t="s">
        <v>33</v>
      </c>
      <c r="I1396" t="s">
        <v>46</v>
      </c>
      <c r="J1396" t="s">
        <v>246</v>
      </c>
      <c r="K1396" s="1">
        <v>0.44459035879629627</v>
      </c>
      <c r="L1396">
        <f>YEAR(Coffe_sales[[#This Row],[Date]])</f>
        <v>2024</v>
      </c>
    </row>
    <row r="1397" spans="1:12" x14ac:dyDescent="0.2">
      <c r="A1397" t="s">
        <v>11</v>
      </c>
      <c r="B1397" t="s">
        <v>12</v>
      </c>
      <c r="C1397">
        <v>32.82</v>
      </c>
      <c r="D1397" t="s">
        <v>13</v>
      </c>
      <c r="E1397" t="s">
        <v>14</v>
      </c>
      <c r="F1397" t="s">
        <v>32</v>
      </c>
      <c r="G1397" t="s">
        <v>239</v>
      </c>
      <c r="H1397" t="s">
        <v>33</v>
      </c>
      <c r="I1397" t="s">
        <v>46</v>
      </c>
      <c r="J1397" t="s">
        <v>246</v>
      </c>
      <c r="K1397" s="1">
        <v>0.45384515046296298</v>
      </c>
      <c r="L1397">
        <f>YEAR(Coffe_sales[[#This Row],[Date]])</f>
        <v>2024</v>
      </c>
    </row>
    <row r="1398" spans="1:12" x14ac:dyDescent="0.2">
      <c r="A1398" t="s">
        <v>35</v>
      </c>
      <c r="B1398" t="s">
        <v>12</v>
      </c>
      <c r="C1398">
        <v>27.92</v>
      </c>
      <c r="D1398" t="s">
        <v>26</v>
      </c>
      <c r="E1398" t="s">
        <v>14</v>
      </c>
      <c r="F1398" t="s">
        <v>32</v>
      </c>
      <c r="G1398" t="s">
        <v>239</v>
      </c>
      <c r="H1398" t="s">
        <v>33</v>
      </c>
      <c r="I1398" t="s">
        <v>46</v>
      </c>
      <c r="J1398" t="s">
        <v>246</v>
      </c>
      <c r="K1398" s="1">
        <v>0.4714903587962963</v>
      </c>
      <c r="L1398">
        <f>YEAR(Coffe_sales[[#This Row],[Date]])</f>
        <v>2024</v>
      </c>
    </row>
    <row r="1399" spans="1:12" x14ac:dyDescent="0.2">
      <c r="A1399" t="s">
        <v>35</v>
      </c>
      <c r="B1399" t="s">
        <v>12</v>
      </c>
      <c r="C1399">
        <v>23.02</v>
      </c>
      <c r="D1399" t="s">
        <v>24</v>
      </c>
      <c r="E1399" t="s">
        <v>14</v>
      </c>
      <c r="F1399" t="s">
        <v>32</v>
      </c>
      <c r="G1399" t="s">
        <v>239</v>
      </c>
      <c r="H1399" t="s">
        <v>33</v>
      </c>
      <c r="I1399" t="s">
        <v>46</v>
      </c>
      <c r="J1399" t="s">
        <v>246</v>
      </c>
      <c r="K1399" s="1">
        <v>0.47222247685185187</v>
      </c>
      <c r="L1399">
        <f>YEAR(Coffe_sales[[#This Row],[Date]])</f>
        <v>2024</v>
      </c>
    </row>
    <row r="1400" spans="1:12" x14ac:dyDescent="0.2">
      <c r="A1400" t="s">
        <v>35</v>
      </c>
      <c r="B1400" t="s">
        <v>12</v>
      </c>
      <c r="C1400">
        <v>18.12</v>
      </c>
      <c r="D1400" t="s">
        <v>45</v>
      </c>
      <c r="E1400" t="s">
        <v>14</v>
      </c>
      <c r="F1400" t="s">
        <v>32</v>
      </c>
      <c r="G1400" t="s">
        <v>239</v>
      </c>
      <c r="H1400" t="s">
        <v>33</v>
      </c>
      <c r="I1400" t="s">
        <v>46</v>
      </c>
      <c r="J1400" t="s">
        <v>246</v>
      </c>
      <c r="K1400" s="1">
        <v>0.47288311342592593</v>
      </c>
      <c r="L1400">
        <f>YEAR(Coffe_sales[[#This Row],[Date]])</f>
        <v>2024</v>
      </c>
    </row>
    <row r="1401" spans="1:12" x14ac:dyDescent="0.2">
      <c r="A1401" t="s">
        <v>25</v>
      </c>
      <c r="B1401" t="s">
        <v>12</v>
      </c>
      <c r="C1401">
        <v>32.82</v>
      </c>
      <c r="D1401" t="s">
        <v>13</v>
      </c>
      <c r="E1401" t="s">
        <v>22</v>
      </c>
      <c r="F1401" t="s">
        <v>32</v>
      </c>
      <c r="G1401" t="s">
        <v>239</v>
      </c>
      <c r="H1401" t="s">
        <v>33</v>
      </c>
      <c r="I1401" t="s">
        <v>46</v>
      </c>
      <c r="J1401" t="s">
        <v>246</v>
      </c>
      <c r="K1401" s="1">
        <v>0.66329320601851849</v>
      </c>
      <c r="L1401">
        <f>YEAR(Coffe_sales[[#This Row],[Date]])</f>
        <v>2024</v>
      </c>
    </row>
    <row r="1402" spans="1:12" x14ac:dyDescent="0.2">
      <c r="A1402" t="s">
        <v>27</v>
      </c>
      <c r="B1402" t="s">
        <v>12</v>
      </c>
      <c r="C1402">
        <v>23.02</v>
      </c>
      <c r="D1402" t="s">
        <v>24</v>
      </c>
      <c r="E1402" t="s">
        <v>22</v>
      </c>
      <c r="F1402" t="s">
        <v>32</v>
      </c>
      <c r="G1402" t="s">
        <v>239</v>
      </c>
      <c r="H1402" t="s">
        <v>33</v>
      </c>
      <c r="I1402" t="s">
        <v>46</v>
      </c>
      <c r="J1402" t="s">
        <v>246</v>
      </c>
      <c r="K1402" s="1">
        <v>0.68056741898148143</v>
      </c>
      <c r="L1402">
        <f>YEAR(Coffe_sales[[#This Row],[Date]])</f>
        <v>2024</v>
      </c>
    </row>
    <row r="1403" spans="1:12" x14ac:dyDescent="0.2">
      <c r="A1403" t="s">
        <v>27</v>
      </c>
      <c r="B1403" t="s">
        <v>12</v>
      </c>
      <c r="C1403">
        <v>18.12</v>
      </c>
      <c r="D1403" t="s">
        <v>45</v>
      </c>
      <c r="E1403" t="s">
        <v>22</v>
      </c>
      <c r="F1403" t="s">
        <v>32</v>
      </c>
      <c r="G1403" t="s">
        <v>239</v>
      </c>
      <c r="H1403" t="s">
        <v>33</v>
      </c>
      <c r="I1403" t="s">
        <v>46</v>
      </c>
      <c r="J1403" t="s">
        <v>246</v>
      </c>
      <c r="K1403" s="1">
        <v>0.68124203703703701</v>
      </c>
      <c r="L1403">
        <f>YEAR(Coffe_sales[[#This Row],[Date]])</f>
        <v>2024</v>
      </c>
    </row>
    <row r="1404" spans="1:12" x14ac:dyDescent="0.2">
      <c r="A1404" t="s">
        <v>30</v>
      </c>
      <c r="B1404" t="s">
        <v>12</v>
      </c>
      <c r="C1404">
        <v>32.82</v>
      </c>
      <c r="D1404" t="s">
        <v>31</v>
      </c>
      <c r="E1404" t="s">
        <v>29</v>
      </c>
      <c r="F1404" t="s">
        <v>32</v>
      </c>
      <c r="G1404" t="s">
        <v>239</v>
      </c>
      <c r="H1404" t="s">
        <v>33</v>
      </c>
      <c r="I1404" t="s">
        <v>46</v>
      </c>
      <c r="J1404" t="s">
        <v>246</v>
      </c>
      <c r="K1404" s="1">
        <v>0.81602936342592591</v>
      </c>
      <c r="L1404">
        <f>YEAR(Coffe_sales[[#This Row],[Date]])</f>
        <v>2024</v>
      </c>
    </row>
    <row r="1405" spans="1:12" x14ac:dyDescent="0.2">
      <c r="A1405" t="s">
        <v>30</v>
      </c>
      <c r="B1405" t="s">
        <v>12</v>
      </c>
      <c r="C1405">
        <v>32.82</v>
      </c>
      <c r="D1405" t="s">
        <v>13</v>
      </c>
      <c r="E1405" t="s">
        <v>29</v>
      </c>
      <c r="F1405" t="s">
        <v>32</v>
      </c>
      <c r="G1405" t="s">
        <v>239</v>
      </c>
      <c r="H1405" t="s">
        <v>33</v>
      </c>
      <c r="I1405" t="s">
        <v>46</v>
      </c>
      <c r="J1405" t="s">
        <v>246</v>
      </c>
      <c r="K1405" s="1">
        <v>0.81672518518518522</v>
      </c>
      <c r="L1405">
        <f>YEAR(Coffe_sales[[#This Row],[Date]])</f>
        <v>2024</v>
      </c>
    </row>
    <row r="1406" spans="1:12" x14ac:dyDescent="0.2">
      <c r="A1406" t="s">
        <v>30</v>
      </c>
      <c r="B1406" t="s">
        <v>12</v>
      </c>
      <c r="C1406">
        <v>32.82</v>
      </c>
      <c r="D1406" t="s">
        <v>13</v>
      </c>
      <c r="E1406" t="s">
        <v>29</v>
      </c>
      <c r="F1406" t="s">
        <v>32</v>
      </c>
      <c r="G1406" t="s">
        <v>239</v>
      </c>
      <c r="H1406" t="s">
        <v>33</v>
      </c>
      <c r="I1406" t="s">
        <v>46</v>
      </c>
      <c r="J1406" t="s">
        <v>246</v>
      </c>
      <c r="K1406" s="1">
        <v>0.81754068287037041</v>
      </c>
      <c r="L1406">
        <f>YEAR(Coffe_sales[[#This Row],[Date]])</f>
        <v>2024</v>
      </c>
    </row>
    <row r="1407" spans="1:12" x14ac:dyDescent="0.2">
      <c r="A1407" t="s">
        <v>91</v>
      </c>
      <c r="B1407" t="s">
        <v>12</v>
      </c>
      <c r="C1407">
        <v>32.82</v>
      </c>
      <c r="D1407" t="s">
        <v>13</v>
      </c>
      <c r="E1407" t="s">
        <v>29</v>
      </c>
      <c r="F1407" t="s">
        <v>32</v>
      </c>
      <c r="G1407" t="s">
        <v>239</v>
      </c>
      <c r="H1407" t="s">
        <v>33</v>
      </c>
      <c r="I1407" t="s">
        <v>46</v>
      </c>
      <c r="J1407" t="s">
        <v>246</v>
      </c>
      <c r="K1407" s="1">
        <v>0.8429591666666667</v>
      </c>
      <c r="L1407">
        <f>YEAR(Coffe_sales[[#This Row],[Date]])</f>
        <v>2024</v>
      </c>
    </row>
    <row r="1408" spans="1:12" x14ac:dyDescent="0.2">
      <c r="A1408" t="s">
        <v>91</v>
      </c>
      <c r="B1408" t="s">
        <v>12</v>
      </c>
      <c r="C1408">
        <v>32.82</v>
      </c>
      <c r="D1408" t="s">
        <v>13</v>
      </c>
      <c r="E1408" t="s">
        <v>29</v>
      </c>
      <c r="F1408" t="s">
        <v>32</v>
      </c>
      <c r="G1408" t="s">
        <v>239</v>
      </c>
      <c r="H1408" t="s">
        <v>33</v>
      </c>
      <c r="I1408" t="s">
        <v>46</v>
      </c>
      <c r="J1408" t="s">
        <v>246</v>
      </c>
      <c r="K1408" s="1">
        <v>0.84374087962962963</v>
      </c>
      <c r="L1408">
        <f>YEAR(Coffe_sales[[#This Row],[Date]])</f>
        <v>2024</v>
      </c>
    </row>
    <row r="1409" spans="1:12" x14ac:dyDescent="0.2">
      <c r="A1409" t="s">
        <v>123</v>
      </c>
      <c r="B1409" t="s">
        <v>12</v>
      </c>
      <c r="C1409">
        <v>23.02</v>
      </c>
      <c r="D1409" t="s">
        <v>41</v>
      </c>
      <c r="E1409" t="s">
        <v>14</v>
      </c>
      <c r="F1409" t="s">
        <v>38</v>
      </c>
      <c r="G1409" t="s">
        <v>239</v>
      </c>
      <c r="H1409" t="s">
        <v>39</v>
      </c>
      <c r="I1409" t="s">
        <v>46</v>
      </c>
      <c r="J1409" t="s">
        <v>247</v>
      </c>
      <c r="K1409" s="1">
        <v>0.34422228009259259</v>
      </c>
      <c r="L1409">
        <f>YEAR(Coffe_sales[[#This Row],[Date]])</f>
        <v>2024</v>
      </c>
    </row>
    <row r="1410" spans="1:12" x14ac:dyDescent="0.2">
      <c r="A1410" t="s">
        <v>46</v>
      </c>
      <c r="B1410" t="s">
        <v>12</v>
      </c>
      <c r="C1410">
        <v>23.02</v>
      </c>
      <c r="D1410" t="s">
        <v>41</v>
      </c>
      <c r="E1410" t="s">
        <v>14</v>
      </c>
      <c r="F1410" t="s">
        <v>38</v>
      </c>
      <c r="G1410" t="s">
        <v>239</v>
      </c>
      <c r="H1410" t="s">
        <v>39</v>
      </c>
      <c r="I1410" t="s">
        <v>46</v>
      </c>
      <c r="J1410" t="s">
        <v>247</v>
      </c>
      <c r="K1410" s="1">
        <v>0.38769707175925927</v>
      </c>
      <c r="L1410">
        <f>YEAR(Coffe_sales[[#This Row],[Date]])</f>
        <v>2024</v>
      </c>
    </row>
    <row r="1411" spans="1:12" x14ac:dyDescent="0.2">
      <c r="A1411" t="s">
        <v>46</v>
      </c>
      <c r="B1411" t="s">
        <v>12</v>
      </c>
      <c r="C1411">
        <v>23.02</v>
      </c>
      <c r="D1411" t="s">
        <v>41</v>
      </c>
      <c r="E1411" t="s">
        <v>14</v>
      </c>
      <c r="F1411" t="s">
        <v>38</v>
      </c>
      <c r="G1411" t="s">
        <v>239</v>
      </c>
      <c r="H1411" t="s">
        <v>39</v>
      </c>
      <c r="I1411" t="s">
        <v>46</v>
      </c>
      <c r="J1411" t="s">
        <v>247</v>
      </c>
      <c r="K1411" s="1">
        <v>0.38833814814814815</v>
      </c>
      <c r="L1411">
        <f>YEAR(Coffe_sales[[#This Row],[Date]])</f>
        <v>2024</v>
      </c>
    </row>
    <row r="1412" spans="1:12" x14ac:dyDescent="0.2">
      <c r="A1412" t="s">
        <v>11</v>
      </c>
      <c r="B1412" t="s">
        <v>12</v>
      </c>
      <c r="C1412">
        <v>23.02</v>
      </c>
      <c r="D1412" t="s">
        <v>41</v>
      </c>
      <c r="E1412" t="s">
        <v>14</v>
      </c>
      <c r="F1412" t="s">
        <v>38</v>
      </c>
      <c r="G1412" t="s">
        <v>239</v>
      </c>
      <c r="H1412" t="s">
        <v>39</v>
      </c>
      <c r="I1412" t="s">
        <v>46</v>
      </c>
      <c r="J1412" t="s">
        <v>247</v>
      </c>
      <c r="K1412" s="1">
        <v>0.42078871527777778</v>
      </c>
      <c r="L1412">
        <f>YEAR(Coffe_sales[[#This Row],[Date]])</f>
        <v>2024</v>
      </c>
    </row>
    <row r="1413" spans="1:12" x14ac:dyDescent="0.2">
      <c r="A1413" t="s">
        <v>20</v>
      </c>
      <c r="B1413" t="s">
        <v>12</v>
      </c>
      <c r="C1413">
        <v>23.02</v>
      </c>
      <c r="D1413" t="s">
        <v>41</v>
      </c>
      <c r="E1413" t="s">
        <v>22</v>
      </c>
      <c r="F1413" t="s">
        <v>38</v>
      </c>
      <c r="G1413" t="s">
        <v>239</v>
      </c>
      <c r="H1413" t="s">
        <v>39</v>
      </c>
      <c r="I1413" t="s">
        <v>46</v>
      </c>
      <c r="J1413" t="s">
        <v>247</v>
      </c>
      <c r="K1413" s="1">
        <v>0.53018549768518519</v>
      </c>
      <c r="L1413">
        <f>YEAR(Coffe_sales[[#This Row],[Date]])</f>
        <v>2024</v>
      </c>
    </row>
    <row r="1414" spans="1:12" x14ac:dyDescent="0.2">
      <c r="A1414" t="s">
        <v>91</v>
      </c>
      <c r="B1414" t="s">
        <v>12</v>
      </c>
      <c r="C1414">
        <v>23.02</v>
      </c>
      <c r="D1414" t="s">
        <v>24</v>
      </c>
      <c r="E1414" t="s">
        <v>29</v>
      </c>
      <c r="F1414" t="s">
        <v>38</v>
      </c>
      <c r="G1414" t="s">
        <v>239</v>
      </c>
      <c r="H1414" t="s">
        <v>39</v>
      </c>
      <c r="I1414" t="s">
        <v>46</v>
      </c>
      <c r="J1414" t="s">
        <v>247</v>
      </c>
      <c r="K1414" s="1">
        <v>0.84274148148148154</v>
      </c>
      <c r="L1414">
        <f>YEAR(Coffe_sales[[#This Row],[Date]])</f>
        <v>2024</v>
      </c>
    </row>
    <row r="1415" spans="1:12" x14ac:dyDescent="0.2">
      <c r="A1415" t="s">
        <v>39</v>
      </c>
      <c r="B1415" t="s">
        <v>12</v>
      </c>
      <c r="C1415">
        <v>32.82</v>
      </c>
      <c r="D1415" t="s">
        <v>13</v>
      </c>
      <c r="E1415" t="s">
        <v>14</v>
      </c>
      <c r="F1415" t="s">
        <v>42</v>
      </c>
      <c r="G1415" t="s">
        <v>239</v>
      </c>
      <c r="H1415" t="s">
        <v>43</v>
      </c>
      <c r="I1415" t="s">
        <v>46</v>
      </c>
      <c r="J1415" t="s">
        <v>248</v>
      </c>
      <c r="K1415" s="1">
        <v>0.32724032407407405</v>
      </c>
      <c r="L1415">
        <f>YEAR(Coffe_sales[[#This Row],[Date]])</f>
        <v>2024</v>
      </c>
    </row>
    <row r="1416" spans="1:12" x14ac:dyDescent="0.2">
      <c r="A1416" t="s">
        <v>39</v>
      </c>
      <c r="B1416" t="s">
        <v>12</v>
      </c>
      <c r="C1416">
        <v>32.82</v>
      </c>
      <c r="D1416" t="s">
        <v>52</v>
      </c>
      <c r="E1416" t="s">
        <v>14</v>
      </c>
      <c r="F1416" t="s">
        <v>42</v>
      </c>
      <c r="G1416" t="s">
        <v>239</v>
      </c>
      <c r="H1416" t="s">
        <v>43</v>
      </c>
      <c r="I1416" t="s">
        <v>46</v>
      </c>
      <c r="J1416" t="s">
        <v>248</v>
      </c>
      <c r="K1416" s="1">
        <v>0.32906893518518521</v>
      </c>
      <c r="L1416">
        <f>YEAR(Coffe_sales[[#This Row],[Date]])</f>
        <v>2024</v>
      </c>
    </row>
    <row r="1417" spans="1:12" x14ac:dyDescent="0.2">
      <c r="A1417" t="s">
        <v>39</v>
      </c>
      <c r="B1417" t="s">
        <v>12</v>
      </c>
      <c r="C1417">
        <v>27.92</v>
      </c>
      <c r="D1417" t="s">
        <v>26</v>
      </c>
      <c r="E1417" t="s">
        <v>14</v>
      </c>
      <c r="F1417" t="s">
        <v>42</v>
      </c>
      <c r="G1417" t="s">
        <v>239</v>
      </c>
      <c r="H1417" t="s">
        <v>43</v>
      </c>
      <c r="I1417" t="s">
        <v>46</v>
      </c>
      <c r="J1417" t="s">
        <v>248</v>
      </c>
      <c r="K1417" s="1">
        <v>0.33011092592592595</v>
      </c>
      <c r="L1417">
        <f>YEAR(Coffe_sales[[#This Row],[Date]])</f>
        <v>2024</v>
      </c>
    </row>
    <row r="1418" spans="1:12" x14ac:dyDescent="0.2">
      <c r="A1418" t="s">
        <v>39</v>
      </c>
      <c r="B1418" t="s">
        <v>12</v>
      </c>
      <c r="C1418">
        <v>32.82</v>
      </c>
      <c r="D1418" t="s">
        <v>13</v>
      </c>
      <c r="E1418" t="s">
        <v>14</v>
      </c>
      <c r="F1418" t="s">
        <v>42</v>
      </c>
      <c r="G1418" t="s">
        <v>239</v>
      </c>
      <c r="H1418" t="s">
        <v>43</v>
      </c>
      <c r="I1418" t="s">
        <v>46</v>
      </c>
      <c r="J1418" t="s">
        <v>248</v>
      </c>
      <c r="K1418" s="1">
        <v>0.33099153935185183</v>
      </c>
      <c r="L1418">
        <f>YEAR(Coffe_sales[[#This Row],[Date]])</f>
        <v>2024</v>
      </c>
    </row>
    <row r="1419" spans="1:12" x14ac:dyDescent="0.2">
      <c r="A1419" t="s">
        <v>46</v>
      </c>
      <c r="B1419" t="s">
        <v>12</v>
      </c>
      <c r="C1419">
        <v>32.82</v>
      </c>
      <c r="D1419" t="s">
        <v>13</v>
      </c>
      <c r="E1419" t="s">
        <v>14</v>
      </c>
      <c r="F1419" t="s">
        <v>42</v>
      </c>
      <c r="G1419" t="s">
        <v>239</v>
      </c>
      <c r="H1419" t="s">
        <v>43</v>
      </c>
      <c r="I1419" t="s">
        <v>46</v>
      </c>
      <c r="J1419" t="s">
        <v>248</v>
      </c>
      <c r="K1419" s="1">
        <v>0.40961462962962963</v>
      </c>
      <c r="L1419">
        <f>YEAR(Coffe_sales[[#This Row],[Date]])</f>
        <v>2024</v>
      </c>
    </row>
    <row r="1420" spans="1:12" x14ac:dyDescent="0.2">
      <c r="A1420" t="s">
        <v>46</v>
      </c>
      <c r="B1420" t="s">
        <v>12</v>
      </c>
      <c r="C1420">
        <v>32.82</v>
      </c>
      <c r="D1420" t="s">
        <v>21</v>
      </c>
      <c r="E1420" t="s">
        <v>14</v>
      </c>
      <c r="F1420" t="s">
        <v>42</v>
      </c>
      <c r="G1420" t="s">
        <v>239</v>
      </c>
      <c r="H1420" t="s">
        <v>43</v>
      </c>
      <c r="I1420" t="s">
        <v>46</v>
      </c>
      <c r="J1420" t="s">
        <v>248</v>
      </c>
      <c r="K1420" s="1">
        <v>0.41032104166666666</v>
      </c>
      <c r="L1420">
        <f>YEAR(Coffe_sales[[#This Row],[Date]])</f>
        <v>2024</v>
      </c>
    </row>
    <row r="1421" spans="1:12" x14ac:dyDescent="0.2">
      <c r="A1421" t="s">
        <v>46</v>
      </c>
      <c r="B1421" t="s">
        <v>12</v>
      </c>
      <c r="C1421">
        <v>32.82</v>
      </c>
      <c r="D1421" t="s">
        <v>13</v>
      </c>
      <c r="E1421" t="s">
        <v>14</v>
      </c>
      <c r="F1421" t="s">
        <v>42</v>
      </c>
      <c r="G1421" t="s">
        <v>239</v>
      </c>
      <c r="H1421" t="s">
        <v>43</v>
      </c>
      <c r="I1421" t="s">
        <v>46</v>
      </c>
      <c r="J1421" t="s">
        <v>248</v>
      </c>
      <c r="K1421" s="1">
        <v>0.41609664351851849</v>
      </c>
      <c r="L1421">
        <f>YEAR(Coffe_sales[[#This Row],[Date]])</f>
        <v>2024</v>
      </c>
    </row>
    <row r="1422" spans="1:12" x14ac:dyDescent="0.2">
      <c r="A1422" t="s">
        <v>35</v>
      </c>
      <c r="B1422" t="s">
        <v>12</v>
      </c>
      <c r="C1422">
        <v>27.92</v>
      </c>
      <c r="D1422" t="s">
        <v>26</v>
      </c>
      <c r="E1422" t="s">
        <v>14</v>
      </c>
      <c r="F1422" t="s">
        <v>42</v>
      </c>
      <c r="G1422" t="s">
        <v>239</v>
      </c>
      <c r="H1422" t="s">
        <v>43</v>
      </c>
      <c r="I1422" t="s">
        <v>46</v>
      </c>
      <c r="J1422" t="s">
        <v>248</v>
      </c>
      <c r="K1422" s="1">
        <v>0.46639030092592593</v>
      </c>
      <c r="L1422">
        <f>YEAR(Coffe_sales[[#This Row],[Date]])</f>
        <v>2024</v>
      </c>
    </row>
    <row r="1423" spans="1:12" x14ac:dyDescent="0.2">
      <c r="A1423" t="s">
        <v>35</v>
      </c>
      <c r="B1423" t="s">
        <v>12</v>
      </c>
      <c r="C1423">
        <v>27.92</v>
      </c>
      <c r="D1423" t="s">
        <v>26</v>
      </c>
      <c r="E1423" t="s">
        <v>14</v>
      </c>
      <c r="F1423" t="s">
        <v>42</v>
      </c>
      <c r="G1423" t="s">
        <v>239</v>
      </c>
      <c r="H1423" t="s">
        <v>43</v>
      </c>
      <c r="I1423" t="s">
        <v>46</v>
      </c>
      <c r="J1423" t="s">
        <v>248</v>
      </c>
      <c r="K1423" s="1">
        <v>0.46725277777777779</v>
      </c>
      <c r="L1423">
        <f>YEAR(Coffe_sales[[#This Row],[Date]])</f>
        <v>2024</v>
      </c>
    </row>
    <row r="1424" spans="1:12" x14ac:dyDescent="0.2">
      <c r="A1424" t="s">
        <v>35</v>
      </c>
      <c r="B1424" t="s">
        <v>12</v>
      </c>
      <c r="C1424">
        <v>32.82</v>
      </c>
      <c r="D1424" t="s">
        <v>13</v>
      </c>
      <c r="E1424" t="s">
        <v>14</v>
      </c>
      <c r="F1424" t="s">
        <v>42</v>
      </c>
      <c r="G1424" t="s">
        <v>239</v>
      </c>
      <c r="H1424" t="s">
        <v>43</v>
      </c>
      <c r="I1424" t="s">
        <v>46</v>
      </c>
      <c r="J1424" t="s">
        <v>248</v>
      </c>
      <c r="K1424" s="1">
        <v>0.47904216435185187</v>
      </c>
      <c r="L1424">
        <f>YEAR(Coffe_sales[[#This Row],[Date]])</f>
        <v>2024</v>
      </c>
    </row>
    <row r="1425" spans="1:12" x14ac:dyDescent="0.2">
      <c r="A1425" t="s">
        <v>20</v>
      </c>
      <c r="B1425" t="s">
        <v>12</v>
      </c>
      <c r="C1425">
        <v>18.12</v>
      </c>
      <c r="D1425" t="s">
        <v>45</v>
      </c>
      <c r="E1425" t="s">
        <v>22</v>
      </c>
      <c r="F1425" t="s">
        <v>42</v>
      </c>
      <c r="G1425" t="s">
        <v>239</v>
      </c>
      <c r="H1425" t="s">
        <v>43</v>
      </c>
      <c r="I1425" t="s">
        <v>46</v>
      </c>
      <c r="J1425" t="s">
        <v>248</v>
      </c>
      <c r="K1425" s="1">
        <v>0.50485714120370373</v>
      </c>
      <c r="L1425">
        <f>YEAR(Coffe_sales[[#This Row],[Date]])</f>
        <v>2024</v>
      </c>
    </row>
    <row r="1426" spans="1:12" x14ac:dyDescent="0.2">
      <c r="A1426" t="s">
        <v>25</v>
      </c>
      <c r="B1426" t="s">
        <v>12</v>
      </c>
      <c r="C1426">
        <v>32.82</v>
      </c>
      <c r="D1426" t="s">
        <v>13</v>
      </c>
      <c r="E1426" t="s">
        <v>22</v>
      </c>
      <c r="F1426" t="s">
        <v>42</v>
      </c>
      <c r="G1426" t="s">
        <v>239</v>
      </c>
      <c r="H1426" t="s">
        <v>43</v>
      </c>
      <c r="I1426" t="s">
        <v>46</v>
      </c>
      <c r="J1426" t="s">
        <v>248</v>
      </c>
      <c r="K1426" s="1">
        <v>0.63349266203703702</v>
      </c>
      <c r="L1426">
        <f>YEAR(Coffe_sales[[#This Row],[Date]])</f>
        <v>2024</v>
      </c>
    </row>
    <row r="1427" spans="1:12" x14ac:dyDescent="0.2">
      <c r="A1427" t="s">
        <v>25</v>
      </c>
      <c r="B1427" t="s">
        <v>12</v>
      </c>
      <c r="C1427">
        <v>23.02</v>
      </c>
      <c r="D1427" t="s">
        <v>24</v>
      </c>
      <c r="E1427" t="s">
        <v>22</v>
      </c>
      <c r="F1427" t="s">
        <v>42</v>
      </c>
      <c r="G1427" t="s">
        <v>239</v>
      </c>
      <c r="H1427" t="s">
        <v>43</v>
      </c>
      <c r="I1427" t="s">
        <v>46</v>
      </c>
      <c r="J1427" t="s">
        <v>248</v>
      </c>
      <c r="K1427" s="1">
        <v>0.63431153935185181</v>
      </c>
      <c r="L1427">
        <f>YEAR(Coffe_sales[[#This Row],[Date]])</f>
        <v>2024</v>
      </c>
    </row>
    <row r="1428" spans="1:12" x14ac:dyDescent="0.2">
      <c r="A1428" t="s">
        <v>37</v>
      </c>
      <c r="B1428" t="s">
        <v>12</v>
      </c>
      <c r="C1428">
        <v>32.82</v>
      </c>
      <c r="D1428" t="s">
        <v>13</v>
      </c>
      <c r="E1428" t="s">
        <v>29</v>
      </c>
      <c r="F1428" t="s">
        <v>42</v>
      </c>
      <c r="G1428" t="s">
        <v>239</v>
      </c>
      <c r="H1428" t="s">
        <v>43</v>
      </c>
      <c r="I1428" t="s">
        <v>46</v>
      </c>
      <c r="J1428" t="s">
        <v>248</v>
      </c>
      <c r="K1428" s="1">
        <v>0.72512023148148153</v>
      </c>
      <c r="L1428">
        <f>YEAR(Coffe_sales[[#This Row],[Date]])</f>
        <v>2024</v>
      </c>
    </row>
    <row r="1429" spans="1:12" x14ac:dyDescent="0.2">
      <c r="A1429" t="s">
        <v>28</v>
      </c>
      <c r="B1429" t="s">
        <v>12</v>
      </c>
      <c r="C1429">
        <v>32.82</v>
      </c>
      <c r="D1429" t="s">
        <v>13</v>
      </c>
      <c r="E1429" t="s">
        <v>29</v>
      </c>
      <c r="F1429" t="s">
        <v>42</v>
      </c>
      <c r="G1429" t="s">
        <v>239</v>
      </c>
      <c r="H1429" t="s">
        <v>43</v>
      </c>
      <c r="I1429" t="s">
        <v>46</v>
      </c>
      <c r="J1429" t="s">
        <v>248</v>
      </c>
      <c r="K1429" s="1">
        <v>0.75956388888888893</v>
      </c>
      <c r="L1429">
        <f>YEAR(Coffe_sales[[#This Row],[Date]])</f>
        <v>2024</v>
      </c>
    </row>
    <row r="1430" spans="1:12" x14ac:dyDescent="0.2">
      <c r="A1430" t="s">
        <v>91</v>
      </c>
      <c r="B1430" t="s">
        <v>12</v>
      </c>
      <c r="C1430">
        <v>32.82</v>
      </c>
      <c r="D1430" t="s">
        <v>52</v>
      </c>
      <c r="E1430" t="s">
        <v>29</v>
      </c>
      <c r="F1430" t="s">
        <v>42</v>
      </c>
      <c r="G1430" t="s">
        <v>239</v>
      </c>
      <c r="H1430" t="s">
        <v>43</v>
      </c>
      <c r="I1430" t="s">
        <v>46</v>
      </c>
      <c r="J1430" t="s">
        <v>248</v>
      </c>
      <c r="K1430" s="1">
        <v>0.83861340277777774</v>
      </c>
      <c r="L1430">
        <f>YEAR(Coffe_sales[[#This Row],[Date]])</f>
        <v>2024</v>
      </c>
    </row>
    <row r="1431" spans="1:12" x14ac:dyDescent="0.2">
      <c r="A1431" t="s">
        <v>91</v>
      </c>
      <c r="B1431" t="s">
        <v>12</v>
      </c>
      <c r="C1431">
        <v>32.82</v>
      </c>
      <c r="D1431" t="s">
        <v>13</v>
      </c>
      <c r="E1431" t="s">
        <v>29</v>
      </c>
      <c r="F1431" t="s">
        <v>42</v>
      </c>
      <c r="G1431" t="s">
        <v>239</v>
      </c>
      <c r="H1431" t="s">
        <v>43</v>
      </c>
      <c r="I1431" t="s">
        <v>46</v>
      </c>
      <c r="J1431" t="s">
        <v>248</v>
      </c>
      <c r="K1431" s="1">
        <v>0.84286486111111114</v>
      </c>
      <c r="L1431">
        <f>YEAR(Coffe_sales[[#This Row],[Date]])</f>
        <v>2024</v>
      </c>
    </row>
    <row r="1432" spans="1:12" x14ac:dyDescent="0.2">
      <c r="A1432" t="s">
        <v>123</v>
      </c>
      <c r="B1432" t="s">
        <v>12</v>
      </c>
      <c r="C1432">
        <v>32.82</v>
      </c>
      <c r="D1432" t="s">
        <v>21</v>
      </c>
      <c r="E1432" t="s">
        <v>14</v>
      </c>
      <c r="F1432" t="s">
        <v>47</v>
      </c>
      <c r="G1432" t="s">
        <v>239</v>
      </c>
      <c r="H1432" t="s">
        <v>48</v>
      </c>
      <c r="I1432" t="s">
        <v>46</v>
      </c>
      <c r="J1432" t="s">
        <v>249</v>
      </c>
      <c r="K1432" s="1">
        <v>0.34169502314814815</v>
      </c>
      <c r="L1432">
        <f>YEAR(Coffe_sales[[#This Row],[Date]])</f>
        <v>2024</v>
      </c>
    </row>
    <row r="1433" spans="1:12" x14ac:dyDescent="0.2">
      <c r="A1433" t="s">
        <v>46</v>
      </c>
      <c r="B1433" t="s">
        <v>12</v>
      </c>
      <c r="C1433">
        <v>32.82</v>
      </c>
      <c r="D1433" t="s">
        <v>52</v>
      </c>
      <c r="E1433" t="s">
        <v>14</v>
      </c>
      <c r="F1433" t="s">
        <v>47</v>
      </c>
      <c r="G1433" t="s">
        <v>239</v>
      </c>
      <c r="H1433" t="s">
        <v>48</v>
      </c>
      <c r="I1433" t="s">
        <v>46</v>
      </c>
      <c r="J1433" t="s">
        <v>249</v>
      </c>
      <c r="K1433" s="1">
        <v>0.39776372685185185</v>
      </c>
      <c r="L1433">
        <f>YEAR(Coffe_sales[[#This Row],[Date]])</f>
        <v>2024</v>
      </c>
    </row>
    <row r="1434" spans="1:12" x14ac:dyDescent="0.2">
      <c r="A1434" t="s">
        <v>25</v>
      </c>
      <c r="B1434" t="s">
        <v>12</v>
      </c>
      <c r="C1434">
        <v>23.02</v>
      </c>
      <c r="D1434" t="s">
        <v>41</v>
      </c>
      <c r="E1434" t="s">
        <v>22</v>
      </c>
      <c r="F1434" t="s">
        <v>47</v>
      </c>
      <c r="G1434" t="s">
        <v>239</v>
      </c>
      <c r="H1434" t="s">
        <v>48</v>
      </c>
      <c r="I1434" t="s">
        <v>46</v>
      </c>
      <c r="J1434" t="s">
        <v>249</v>
      </c>
      <c r="K1434" s="1">
        <v>0.64021281249999995</v>
      </c>
      <c r="L1434">
        <f>YEAR(Coffe_sales[[#This Row],[Date]])</f>
        <v>2024</v>
      </c>
    </row>
    <row r="1435" spans="1:12" x14ac:dyDescent="0.2">
      <c r="A1435" t="s">
        <v>25</v>
      </c>
      <c r="B1435" t="s">
        <v>12</v>
      </c>
      <c r="C1435">
        <v>23.02</v>
      </c>
      <c r="D1435" t="s">
        <v>41</v>
      </c>
      <c r="E1435" t="s">
        <v>22</v>
      </c>
      <c r="F1435" t="s">
        <v>47</v>
      </c>
      <c r="G1435" t="s">
        <v>239</v>
      </c>
      <c r="H1435" t="s">
        <v>48</v>
      </c>
      <c r="I1435" t="s">
        <v>46</v>
      </c>
      <c r="J1435" t="s">
        <v>249</v>
      </c>
      <c r="K1435" s="1">
        <v>0.64104104166666664</v>
      </c>
      <c r="L1435">
        <f>YEAR(Coffe_sales[[#This Row],[Date]])</f>
        <v>2024</v>
      </c>
    </row>
    <row r="1436" spans="1:12" x14ac:dyDescent="0.2">
      <c r="A1436" t="s">
        <v>28</v>
      </c>
      <c r="B1436" t="s">
        <v>12</v>
      </c>
      <c r="C1436">
        <v>32.82</v>
      </c>
      <c r="D1436" t="s">
        <v>52</v>
      </c>
      <c r="E1436" t="s">
        <v>29</v>
      </c>
      <c r="F1436" t="s">
        <v>47</v>
      </c>
      <c r="G1436" t="s">
        <v>239</v>
      </c>
      <c r="H1436" t="s">
        <v>48</v>
      </c>
      <c r="I1436" t="s">
        <v>46</v>
      </c>
      <c r="J1436" t="s">
        <v>249</v>
      </c>
      <c r="K1436" s="1">
        <v>0.7803444444444444</v>
      </c>
      <c r="L1436">
        <f>YEAR(Coffe_sales[[#This Row],[Date]])</f>
        <v>2024</v>
      </c>
    </row>
    <row r="1437" spans="1:12" x14ac:dyDescent="0.2">
      <c r="A1437" t="s">
        <v>28</v>
      </c>
      <c r="B1437" t="s">
        <v>12</v>
      </c>
      <c r="C1437">
        <v>27.92</v>
      </c>
      <c r="D1437" t="s">
        <v>26</v>
      </c>
      <c r="E1437" t="s">
        <v>29</v>
      </c>
      <c r="F1437" t="s">
        <v>47</v>
      </c>
      <c r="G1437" t="s">
        <v>239</v>
      </c>
      <c r="H1437" t="s">
        <v>48</v>
      </c>
      <c r="I1437" t="s">
        <v>46</v>
      </c>
      <c r="J1437" t="s">
        <v>249</v>
      </c>
      <c r="K1437" s="1">
        <v>0.7815118518518519</v>
      </c>
      <c r="L1437">
        <f>YEAR(Coffe_sales[[#This Row],[Date]])</f>
        <v>2024</v>
      </c>
    </row>
    <row r="1438" spans="1:12" x14ac:dyDescent="0.2">
      <c r="A1438" t="s">
        <v>30</v>
      </c>
      <c r="B1438" t="s">
        <v>12</v>
      </c>
      <c r="C1438">
        <v>32.82</v>
      </c>
      <c r="D1438" t="s">
        <v>13</v>
      </c>
      <c r="E1438" t="s">
        <v>29</v>
      </c>
      <c r="F1438" t="s">
        <v>47</v>
      </c>
      <c r="G1438" t="s">
        <v>239</v>
      </c>
      <c r="H1438" t="s">
        <v>48</v>
      </c>
      <c r="I1438" t="s">
        <v>46</v>
      </c>
      <c r="J1438" t="s">
        <v>249</v>
      </c>
      <c r="K1438" s="1">
        <v>0.79355355324074073</v>
      </c>
      <c r="L1438">
        <f>YEAR(Coffe_sales[[#This Row],[Date]])</f>
        <v>2024</v>
      </c>
    </row>
    <row r="1439" spans="1:12" x14ac:dyDescent="0.2">
      <c r="A1439" t="s">
        <v>30</v>
      </c>
      <c r="B1439" t="s">
        <v>12</v>
      </c>
      <c r="C1439">
        <v>32.82</v>
      </c>
      <c r="D1439" t="s">
        <v>13</v>
      </c>
      <c r="E1439" t="s">
        <v>29</v>
      </c>
      <c r="F1439" t="s">
        <v>47</v>
      </c>
      <c r="G1439" t="s">
        <v>239</v>
      </c>
      <c r="H1439" t="s">
        <v>48</v>
      </c>
      <c r="I1439" t="s">
        <v>46</v>
      </c>
      <c r="J1439" t="s">
        <v>249</v>
      </c>
      <c r="K1439" s="1">
        <v>0.79436640046296292</v>
      </c>
      <c r="L1439">
        <f>YEAR(Coffe_sales[[#This Row],[Date]])</f>
        <v>2024</v>
      </c>
    </row>
    <row r="1440" spans="1:12" x14ac:dyDescent="0.2">
      <c r="A1440" t="s">
        <v>131</v>
      </c>
      <c r="B1440" t="s">
        <v>12</v>
      </c>
      <c r="C1440">
        <v>27.92</v>
      </c>
      <c r="D1440" t="s">
        <v>26</v>
      </c>
      <c r="E1440" t="s">
        <v>29</v>
      </c>
      <c r="F1440" t="s">
        <v>47</v>
      </c>
      <c r="G1440" t="s">
        <v>239</v>
      </c>
      <c r="H1440" t="s">
        <v>48</v>
      </c>
      <c r="I1440" t="s">
        <v>46</v>
      </c>
      <c r="J1440" t="s">
        <v>249</v>
      </c>
      <c r="K1440" s="1">
        <v>0.89553884259259264</v>
      </c>
      <c r="L1440">
        <f>YEAR(Coffe_sales[[#This Row],[Date]])</f>
        <v>2024</v>
      </c>
    </row>
    <row r="1441" spans="1:12" x14ac:dyDescent="0.2">
      <c r="A1441" t="s">
        <v>131</v>
      </c>
      <c r="B1441" t="s">
        <v>12</v>
      </c>
      <c r="C1441">
        <v>23.02</v>
      </c>
      <c r="D1441" t="s">
        <v>24</v>
      </c>
      <c r="E1441" t="s">
        <v>29</v>
      </c>
      <c r="F1441" t="s">
        <v>47</v>
      </c>
      <c r="G1441" t="s">
        <v>239</v>
      </c>
      <c r="H1441" t="s">
        <v>48</v>
      </c>
      <c r="I1441" t="s">
        <v>46</v>
      </c>
      <c r="J1441" t="s">
        <v>249</v>
      </c>
      <c r="K1441" s="1">
        <v>0.89614625000000003</v>
      </c>
      <c r="L1441">
        <f>YEAR(Coffe_sales[[#This Row],[Date]])</f>
        <v>2024</v>
      </c>
    </row>
    <row r="1442" spans="1:12" x14ac:dyDescent="0.2">
      <c r="A1442" t="s">
        <v>123</v>
      </c>
      <c r="B1442" t="s">
        <v>12</v>
      </c>
      <c r="C1442">
        <v>32.82</v>
      </c>
      <c r="D1442" t="s">
        <v>13</v>
      </c>
      <c r="E1442" t="s">
        <v>14</v>
      </c>
      <c r="F1442" t="s">
        <v>50</v>
      </c>
      <c r="G1442" t="s">
        <v>239</v>
      </c>
      <c r="H1442" t="s">
        <v>18</v>
      </c>
      <c r="I1442" t="s">
        <v>46</v>
      </c>
      <c r="J1442" t="s">
        <v>250</v>
      </c>
      <c r="K1442" s="1">
        <v>0.36623038194444446</v>
      </c>
      <c r="L1442">
        <f>YEAR(Coffe_sales[[#This Row],[Date]])</f>
        <v>2024</v>
      </c>
    </row>
    <row r="1443" spans="1:12" x14ac:dyDescent="0.2">
      <c r="A1443" t="s">
        <v>46</v>
      </c>
      <c r="B1443" t="s">
        <v>12</v>
      </c>
      <c r="C1443">
        <v>27.92</v>
      </c>
      <c r="D1443" t="s">
        <v>26</v>
      </c>
      <c r="E1443" t="s">
        <v>14</v>
      </c>
      <c r="F1443" t="s">
        <v>50</v>
      </c>
      <c r="G1443" t="s">
        <v>239</v>
      </c>
      <c r="H1443" t="s">
        <v>18</v>
      </c>
      <c r="I1443" t="s">
        <v>46</v>
      </c>
      <c r="J1443" t="s">
        <v>250</v>
      </c>
      <c r="K1443" s="1">
        <v>0.39498561342592592</v>
      </c>
      <c r="L1443">
        <f>YEAR(Coffe_sales[[#This Row],[Date]])</f>
        <v>2024</v>
      </c>
    </row>
    <row r="1444" spans="1:12" x14ac:dyDescent="0.2">
      <c r="A1444" t="s">
        <v>11</v>
      </c>
      <c r="B1444" t="s">
        <v>12</v>
      </c>
      <c r="C1444">
        <v>32.82</v>
      </c>
      <c r="D1444" t="s">
        <v>13</v>
      </c>
      <c r="E1444" t="s">
        <v>14</v>
      </c>
      <c r="F1444" t="s">
        <v>50</v>
      </c>
      <c r="G1444" t="s">
        <v>239</v>
      </c>
      <c r="H1444" t="s">
        <v>18</v>
      </c>
      <c r="I1444" t="s">
        <v>46</v>
      </c>
      <c r="J1444" t="s">
        <v>250</v>
      </c>
      <c r="K1444" s="1">
        <v>0.45288399305555554</v>
      </c>
      <c r="L1444">
        <f>YEAR(Coffe_sales[[#This Row],[Date]])</f>
        <v>2024</v>
      </c>
    </row>
    <row r="1445" spans="1:12" x14ac:dyDescent="0.2">
      <c r="A1445" t="s">
        <v>30</v>
      </c>
      <c r="B1445" t="s">
        <v>12</v>
      </c>
      <c r="C1445">
        <v>32.82</v>
      </c>
      <c r="D1445" t="s">
        <v>52</v>
      </c>
      <c r="E1445" t="s">
        <v>29</v>
      </c>
      <c r="F1445" t="s">
        <v>50</v>
      </c>
      <c r="G1445" t="s">
        <v>239</v>
      </c>
      <c r="H1445" t="s">
        <v>18</v>
      </c>
      <c r="I1445" t="s">
        <v>46</v>
      </c>
      <c r="J1445" t="s">
        <v>250</v>
      </c>
      <c r="K1445" s="1">
        <v>0.82861732638888885</v>
      </c>
      <c r="L1445">
        <f>YEAR(Coffe_sales[[#This Row],[Date]])</f>
        <v>2024</v>
      </c>
    </row>
    <row r="1446" spans="1:12" x14ac:dyDescent="0.2">
      <c r="A1446" t="s">
        <v>91</v>
      </c>
      <c r="B1446" t="s">
        <v>12</v>
      </c>
      <c r="C1446">
        <v>27.92</v>
      </c>
      <c r="D1446" t="s">
        <v>26</v>
      </c>
      <c r="E1446" t="s">
        <v>29</v>
      </c>
      <c r="F1446" t="s">
        <v>50</v>
      </c>
      <c r="G1446" t="s">
        <v>239</v>
      </c>
      <c r="H1446" t="s">
        <v>18</v>
      </c>
      <c r="I1446" t="s">
        <v>46</v>
      </c>
      <c r="J1446" t="s">
        <v>250</v>
      </c>
      <c r="K1446" s="1">
        <v>0.84253341435185181</v>
      </c>
      <c r="L1446">
        <f>YEAR(Coffe_sales[[#This Row],[Date]])</f>
        <v>2024</v>
      </c>
    </row>
    <row r="1447" spans="1:12" x14ac:dyDescent="0.2">
      <c r="A1447" t="s">
        <v>91</v>
      </c>
      <c r="B1447" t="s">
        <v>12</v>
      </c>
      <c r="C1447">
        <v>32.82</v>
      </c>
      <c r="D1447" t="s">
        <v>13</v>
      </c>
      <c r="E1447" t="s">
        <v>29</v>
      </c>
      <c r="F1447" t="s">
        <v>50</v>
      </c>
      <c r="G1447" t="s">
        <v>239</v>
      </c>
      <c r="H1447" t="s">
        <v>18</v>
      </c>
      <c r="I1447" t="s">
        <v>46</v>
      </c>
      <c r="J1447" t="s">
        <v>250</v>
      </c>
      <c r="K1447" s="1">
        <v>0.84327414351851848</v>
      </c>
      <c r="L1447">
        <f>YEAR(Coffe_sales[[#This Row],[Date]])</f>
        <v>2024</v>
      </c>
    </row>
    <row r="1448" spans="1:12" x14ac:dyDescent="0.2">
      <c r="A1448" t="s">
        <v>91</v>
      </c>
      <c r="B1448" t="s">
        <v>12</v>
      </c>
      <c r="C1448">
        <v>32.82</v>
      </c>
      <c r="D1448" t="s">
        <v>13</v>
      </c>
      <c r="E1448" t="s">
        <v>29</v>
      </c>
      <c r="F1448" t="s">
        <v>50</v>
      </c>
      <c r="G1448" t="s">
        <v>239</v>
      </c>
      <c r="H1448" t="s">
        <v>18</v>
      </c>
      <c r="I1448" t="s">
        <v>46</v>
      </c>
      <c r="J1448" t="s">
        <v>250</v>
      </c>
      <c r="K1448" s="1">
        <v>0.84397395833333333</v>
      </c>
      <c r="L1448">
        <f>YEAR(Coffe_sales[[#This Row],[Date]])</f>
        <v>2024</v>
      </c>
    </row>
    <row r="1449" spans="1:12" x14ac:dyDescent="0.2">
      <c r="A1449" t="s">
        <v>131</v>
      </c>
      <c r="B1449" t="s">
        <v>12</v>
      </c>
      <c r="C1449">
        <v>23.02</v>
      </c>
      <c r="D1449" t="s">
        <v>41</v>
      </c>
      <c r="E1449" t="s">
        <v>29</v>
      </c>
      <c r="F1449" t="s">
        <v>50</v>
      </c>
      <c r="G1449" t="s">
        <v>239</v>
      </c>
      <c r="H1449" t="s">
        <v>18</v>
      </c>
      <c r="I1449" t="s">
        <v>46</v>
      </c>
      <c r="J1449" t="s">
        <v>250</v>
      </c>
      <c r="K1449" s="1">
        <v>0.87609056712962963</v>
      </c>
      <c r="L1449">
        <f>YEAR(Coffe_sales[[#This Row],[Date]])</f>
        <v>2024</v>
      </c>
    </row>
    <row r="1450" spans="1:12" x14ac:dyDescent="0.2">
      <c r="A1450" t="s">
        <v>11</v>
      </c>
      <c r="B1450" t="s">
        <v>12</v>
      </c>
      <c r="C1450">
        <v>18.12</v>
      </c>
      <c r="D1450" t="s">
        <v>45</v>
      </c>
      <c r="E1450" t="s">
        <v>14</v>
      </c>
      <c r="F1450" t="s">
        <v>53</v>
      </c>
      <c r="G1450" t="s">
        <v>239</v>
      </c>
      <c r="H1450" t="s">
        <v>54</v>
      </c>
      <c r="I1450" t="s">
        <v>46</v>
      </c>
      <c r="J1450" t="s">
        <v>251</v>
      </c>
      <c r="K1450" s="1">
        <v>0.45654651620370368</v>
      </c>
      <c r="L1450">
        <f>YEAR(Coffe_sales[[#This Row],[Date]])</f>
        <v>2024</v>
      </c>
    </row>
    <row r="1451" spans="1:12" x14ac:dyDescent="0.2">
      <c r="A1451" t="s">
        <v>11</v>
      </c>
      <c r="B1451" t="s">
        <v>12</v>
      </c>
      <c r="C1451">
        <v>27.92</v>
      </c>
      <c r="D1451" t="s">
        <v>26</v>
      </c>
      <c r="E1451" t="s">
        <v>14</v>
      </c>
      <c r="F1451" t="s">
        <v>53</v>
      </c>
      <c r="G1451" t="s">
        <v>239</v>
      </c>
      <c r="H1451" t="s">
        <v>54</v>
      </c>
      <c r="I1451" t="s">
        <v>46</v>
      </c>
      <c r="J1451" t="s">
        <v>251</v>
      </c>
      <c r="K1451" s="1">
        <v>0.45717369212962961</v>
      </c>
      <c r="L1451">
        <f>YEAR(Coffe_sales[[#This Row],[Date]])</f>
        <v>2024</v>
      </c>
    </row>
    <row r="1452" spans="1:12" x14ac:dyDescent="0.2">
      <c r="A1452" t="s">
        <v>35</v>
      </c>
      <c r="B1452" t="s">
        <v>12</v>
      </c>
      <c r="C1452">
        <v>27.92</v>
      </c>
      <c r="D1452" t="s">
        <v>26</v>
      </c>
      <c r="E1452" t="s">
        <v>14</v>
      </c>
      <c r="F1452" t="s">
        <v>53</v>
      </c>
      <c r="G1452" t="s">
        <v>239</v>
      </c>
      <c r="H1452" t="s">
        <v>54</v>
      </c>
      <c r="I1452" t="s">
        <v>46</v>
      </c>
      <c r="J1452" t="s">
        <v>251</v>
      </c>
      <c r="K1452" s="1">
        <v>0.47750075231481481</v>
      </c>
      <c r="L1452">
        <f>YEAR(Coffe_sales[[#This Row],[Date]])</f>
        <v>2024</v>
      </c>
    </row>
    <row r="1453" spans="1:12" x14ac:dyDescent="0.2">
      <c r="A1453" t="s">
        <v>20</v>
      </c>
      <c r="B1453" t="s">
        <v>12</v>
      </c>
      <c r="C1453">
        <v>32.82</v>
      </c>
      <c r="D1453" t="s">
        <v>52</v>
      </c>
      <c r="E1453" t="s">
        <v>22</v>
      </c>
      <c r="F1453" t="s">
        <v>53</v>
      </c>
      <c r="G1453" t="s">
        <v>239</v>
      </c>
      <c r="H1453" t="s">
        <v>54</v>
      </c>
      <c r="I1453" t="s">
        <v>46</v>
      </c>
      <c r="J1453" t="s">
        <v>251</v>
      </c>
      <c r="K1453" s="1">
        <v>0.50581201388888886</v>
      </c>
      <c r="L1453">
        <f>YEAR(Coffe_sales[[#This Row],[Date]])</f>
        <v>2024</v>
      </c>
    </row>
    <row r="1454" spans="1:12" x14ac:dyDescent="0.2">
      <c r="A1454" t="s">
        <v>20</v>
      </c>
      <c r="B1454" t="s">
        <v>12</v>
      </c>
      <c r="C1454">
        <v>23.02</v>
      </c>
      <c r="D1454" t="s">
        <v>41</v>
      </c>
      <c r="E1454" t="s">
        <v>22</v>
      </c>
      <c r="F1454" t="s">
        <v>53</v>
      </c>
      <c r="G1454" t="s">
        <v>239</v>
      </c>
      <c r="H1454" t="s">
        <v>54</v>
      </c>
      <c r="I1454" t="s">
        <v>46</v>
      </c>
      <c r="J1454" t="s">
        <v>251</v>
      </c>
      <c r="K1454" s="1">
        <v>0.5216087615740741</v>
      </c>
      <c r="L1454">
        <f>YEAR(Coffe_sales[[#This Row],[Date]])</f>
        <v>2024</v>
      </c>
    </row>
    <row r="1455" spans="1:12" x14ac:dyDescent="0.2">
      <c r="A1455" t="s">
        <v>20</v>
      </c>
      <c r="B1455" t="s">
        <v>12</v>
      </c>
      <c r="C1455">
        <v>23.02</v>
      </c>
      <c r="D1455" t="s">
        <v>41</v>
      </c>
      <c r="E1455" t="s">
        <v>22</v>
      </c>
      <c r="F1455" t="s">
        <v>53</v>
      </c>
      <c r="G1455" t="s">
        <v>239</v>
      </c>
      <c r="H1455" t="s">
        <v>54</v>
      </c>
      <c r="I1455" t="s">
        <v>46</v>
      </c>
      <c r="J1455" t="s">
        <v>251</v>
      </c>
      <c r="K1455" s="1">
        <v>0.52248820601851853</v>
      </c>
      <c r="L1455">
        <f>YEAR(Coffe_sales[[#This Row],[Date]])</f>
        <v>2024</v>
      </c>
    </row>
    <row r="1456" spans="1:12" x14ac:dyDescent="0.2">
      <c r="A1456" t="s">
        <v>20</v>
      </c>
      <c r="B1456" t="s">
        <v>12</v>
      </c>
      <c r="C1456">
        <v>23.02</v>
      </c>
      <c r="D1456" t="s">
        <v>41</v>
      </c>
      <c r="E1456" t="s">
        <v>22</v>
      </c>
      <c r="F1456" t="s">
        <v>53</v>
      </c>
      <c r="G1456" t="s">
        <v>239</v>
      </c>
      <c r="H1456" t="s">
        <v>54</v>
      </c>
      <c r="I1456" t="s">
        <v>46</v>
      </c>
      <c r="J1456" t="s">
        <v>251</v>
      </c>
      <c r="K1456" s="1">
        <v>0.5259308217592592</v>
      </c>
      <c r="L1456">
        <f>YEAR(Coffe_sales[[#This Row],[Date]])</f>
        <v>2024</v>
      </c>
    </row>
    <row r="1457" spans="1:12" x14ac:dyDescent="0.2">
      <c r="A1457" t="s">
        <v>20</v>
      </c>
      <c r="B1457" t="s">
        <v>12</v>
      </c>
      <c r="C1457">
        <v>23.02</v>
      </c>
      <c r="D1457" t="s">
        <v>41</v>
      </c>
      <c r="E1457" t="s">
        <v>22</v>
      </c>
      <c r="F1457" t="s">
        <v>53</v>
      </c>
      <c r="G1457" t="s">
        <v>239</v>
      </c>
      <c r="H1457" t="s">
        <v>54</v>
      </c>
      <c r="I1457" t="s">
        <v>46</v>
      </c>
      <c r="J1457" t="s">
        <v>251</v>
      </c>
      <c r="K1457" s="1">
        <v>0.52650156250000002</v>
      </c>
      <c r="L1457">
        <f>YEAR(Coffe_sales[[#This Row],[Date]])</f>
        <v>2024</v>
      </c>
    </row>
    <row r="1458" spans="1:12" x14ac:dyDescent="0.2">
      <c r="A1458" t="s">
        <v>37</v>
      </c>
      <c r="B1458" t="s">
        <v>12</v>
      </c>
      <c r="C1458">
        <v>32.82</v>
      </c>
      <c r="D1458" t="s">
        <v>13</v>
      </c>
      <c r="E1458" t="s">
        <v>29</v>
      </c>
      <c r="F1458" t="s">
        <v>53</v>
      </c>
      <c r="G1458" t="s">
        <v>239</v>
      </c>
      <c r="H1458" t="s">
        <v>54</v>
      </c>
      <c r="I1458" t="s">
        <v>46</v>
      </c>
      <c r="J1458" t="s">
        <v>251</v>
      </c>
      <c r="K1458" s="1">
        <v>0.70931972222222217</v>
      </c>
      <c r="L1458">
        <f>YEAR(Coffe_sales[[#This Row],[Date]])</f>
        <v>2024</v>
      </c>
    </row>
    <row r="1459" spans="1:12" x14ac:dyDescent="0.2">
      <c r="A1459" t="s">
        <v>131</v>
      </c>
      <c r="B1459" t="s">
        <v>12</v>
      </c>
      <c r="C1459">
        <v>23.02</v>
      </c>
      <c r="D1459" t="s">
        <v>24</v>
      </c>
      <c r="E1459" t="s">
        <v>29</v>
      </c>
      <c r="F1459" t="s">
        <v>53</v>
      </c>
      <c r="G1459" t="s">
        <v>239</v>
      </c>
      <c r="H1459" t="s">
        <v>54</v>
      </c>
      <c r="I1459" t="s">
        <v>46</v>
      </c>
      <c r="J1459" t="s">
        <v>251</v>
      </c>
      <c r="K1459" s="1">
        <v>0.8813705092592593</v>
      </c>
      <c r="L1459">
        <f>YEAR(Coffe_sales[[#This Row],[Date]])</f>
        <v>2024</v>
      </c>
    </row>
    <row r="1460" spans="1:12" x14ac:dyDescent="0.2">
      <c r="A1460" t="s">
        <v>131</v>
      </c>
      <c r="B1460" t="s">
        <v>12</v>
      </c>
      <c r="C1460">
        <v>32.82</v>
      </c>
      <c r="D1460" t="s">
        <v>52</v>
      </c>
      <c r="E1460" t="s">
        <v>29</v>
      </c>
      <c r="F1460" t="s">
        <v>53</v>
      </c>
      <c r="G1460" t="s">
        <v>239</v>
      </c>
      <c r="H1460" t="s">
        <v>54</v>
      </c>
      <c r="I1460" t="s">
        <v>46</v>
      </c>
      <c r="J1460" t="s">
        <v>251</v>
      </c>
      <c r="K1460" s="1">
        <v>0.88218934027777773</v>
      </c>
      <c r="L1460">
        <f>YEAR(Coffe_sales[[#This Row],[Date]])</f>
        <v>2024</v>
      </c>
    </row>
    <row r="1461" spans="1:12" x14ac:dyDescent="0.2">
      <c r="A1461" t="s">
        <v>131</v>
      </c>
      <c r="B1461" t="s">
        <v>12</v>
      </c>
      <c r="C1461">
        <v>23.02</v>
      </c>
      <c r="D1461" t="s">
        <v>41</v>
      </c>
      <c r="E1461" t="s">
        <v>29</v>
      </c>
      <c r="F1461" t="s">
        <v>53</v>
      </c>
      <c r="G1461" t="s">
        <v>239</v>
      </c>
      <c r="H1461" t="s">
        <v>54</v>
      </c>
      <c r="I1461" t="s">
        <v>46</v>
      </c>
      <c r="J1461" t="s">
        <v>251</v>
      </c>
      <c r="K1461" s="1">
        <v>0.88422231481481484</v>
      </c>
      <c r="L1461">
        <f>YEAR(Coffe_sales[[#This Row],[Date]])</f>
        <v>2024</v>
      </c>
    </row>
    <row r="1462" spans="1:12" x14ac:dyDescent="0.2">
      <c r="A1462" t="s">
        <v>39</v>
      </c>
      <c r="B1462" t="s">
        <v>12</v>
      </c>
      <c r="C1462">
        <v>32.82</v>
      </c>
      <c r="D1462" t="s">
        <v>13</v>
      </c>
      <c r="E1462" t="s">
        <v>14</v>
      </c>
      <c r="F1462" t="s">
        <v>15</v>
      </c>
      <c r="G1462" t="s">
        <v>239</v>
      </c>
      <c r="H1462" t="s">
        <v>17</v>
      </c>
      <c r="I1462" t="s">
        <v>46</v>
      </c>
      <c r="J1462" t="s">
        <v>252</v>
      </c>
      <c r="K1462" s="1">
        <v>0.3311778125</v>
      </c>
      <c r="L1462">
        <f>YEAR(Coffe_sales[[#This Row],[Date]])</f>
        <v>2024</v>
      </c>
    </row>
    <row r="1463" spans="1:12" x14ac:dyDescent="0.2">
      <c r="A1463" t="s">
        <v>123</v>
      </c>
      <c r="B1463" t="s">
        <v>12</v>
      </c>
      <c r="C1463">
        <v>32.82</v>
      </c>
      <c r="D1463" t="s">
        <v>13</v>
      </c>
      <c r="E1463" t="s">
        <v>14</v>
      </c>
      <c r="F1463" t="s">
        <v>15</v>
      </c>
      <c r="G1463" t="s">
        <v>239</v>
      </c>
      <c r="H1463" t="s">
        <v>17</v>
      </c>
      <c r="I1463" t="s">
        <v>46</v>
      </c>
      <c r="J1463" t="s">
        <v>252</v>
      </c>
      <c r="K1463" s="1">
        <v>0.36184010416666668</v>
      </c>
      <c r="L1463">
        <f>YEAR(Coffe_sales[[#This Row],[Date]])</f>
        <v>2024</v>
      </c>
    </row>
    <row r="1464" spans="1:12" x14ac:dyDescent="0.2">
      <c r="A1464" t="s">
        <v>123</v>
      </c>
      <c r="B1464" t="s">
        <v>12</v>
      </c>
      <c r="C1464">
        <v>32.82</v>
      </c>
      <c r="D1464" t="s">
        <v>13</v>
      </c>
      <c r="E1464" t="s">
        <v>14</v>
      </c>
      <c r="F1464" t="s">
        <v>15</v>
      </c>
      <c r="G1464" t="s">
        <v>239</v>
      </c>
      <c r="H1464" t="s">
        <v>17</v>
      </c>
      <c r="I1464" t="s">
        <v>46</v>
      </c>
      <c r="J1464" t="s">
        <v>252</v>
      </c>
      <c r="K1464" s="1">
        <v>0.37101636574074076</v>
      </c>
      <c r="L1464">
        <f>YEAR(Coffe_sales[[#This Row],[Date]])</f>
        <v>2024</v>
      </c>
    </row>
    <row r="1465" spans="1:12" x14ac:dyDescent="0.2">
      <c r="A1465" t="s">
        <v>46</v>
      </c>
      <c r="B1465" t="s">
        <v>12</v>
      </c>
      <c r="C1465">
        <v>32.82</v>
      </c>
      <c r="D1465" t="s">
        <v>13</v>
      </c>
      <c r="E1465" t="s">
        <v>14</v>
      </c>
      <c r="F1465" t="s">
        <v>15</v>
      </c>
      <c r="G1465" t="s">
        <v>239</v>
      </c>
      <c r="H1465" t="s">
        <v>17</v>
      </c>
      <c r="I1465" t="s">
        <v>46</v>
      </c>
      <c r="J1465" t="s">
        <v>252</v>
      </c>
      <c r="K1465" s="1">
        <v>0.41064105324074074</v>
      </c>
      <c r="L1465">
        <f>YEAR(Coffe_sales[[#This Row],[Date]])</f>
        <v>2024</v>
      </c>
    </row>
    <row r="1466" spans="1:12" x14ac:dyDescent="0.2">
      <c r="A1466" t="s">
        <v>25</v>
      </c>
      <c r="B1466" t="s">
        <v>12</v>
      </c>
      <c r="C1466">
        <v>27.92</v>
      </c>
      <c r="D1466" t="s">
        <v>26</v>
      </c>
      <c r="E1466" t="s">
        <v>22</v>
      </c>
      <c r="F1466" t="s">
        <v>15</v>
      </c>
      <c r="G1466" t="s">
        <v>239</v>
      </c>
      <c r="H1466" t="s">
        <v>17</v>
      </c>
      <c r="I1466" t="s">
        <v>46</v>
      </c>
      <c r="J1466" t="s">
        <v>252</v>
      </c>
      <c r="K1466" s="1">
        <v>0.65160728009259261</v>
      </c>
      <c r="L1466">
        <f>YEAR(Coffe_sales[[#This Row],[Date]])</f>
        <v>2024</v>
      </c>
    </row>
    <row r="1467" spans="1:12" x14ac:dyDescent="0.2">
      <c r="A1467" t="s">
        <v>25</v>
      </c>
      <c r="B1467" t="s">
        <v>12</v>
      </c>
      <c r="C1467">
        <v>27.92</v>
      </c>
      <c r="D1467" t="s">
        <v>26</v>
      </c>
      <c r="E1467" t="s">
        <v>22</v>
      </c>
      <c r="F1467" t="s">
        <v>15</v>
      </c>
      <c r="G1467" t="s">
        <v>239</v>
      </c>
      <c r="H1467" t="s">
        <v>17</v>
      </c>
      <c r="I1467" t="s">
        <v>46</v>
      </c>
      <c r="J1467" t="s">
        <v>252</v>
      </c>
      <c r="K1467" s="1">
        <v>0.66034597222222224</v>
      </c>
      <c r="L1467">
        <f>YEAR(Coffe_sales[[#This Row],[Date]])</f>
        <v>2024</v>
      </c>
    </row>
    <row r="1468" spans="1:12" x14ac:dyDescent="0.2">
      <c r="A1468" t="s">
        <v>27</v>
      </c>
      <c r="B1468" t="s">
        <v>12</v>
      </c>
      <c r="C1468">
        <v>32.82</v>
      </c>
      <c r="D1468" t="s">
        <v>52</v>
      </c>
      <c r="E1468" t="s">
        <v>22</v>
      </c>
      <c r="F1468" t="s">
        <v>32</v>
      </c>
      <c r="G1468" t="s">
        <v>239</v>
      </c>
      <c r="H1468" t="s">
        <v>33</v>
      </c>
      <c r="I1468" t="s">
        <v>46</v>
      </c>
      <c r="J1468" t="s">
        <v>253</v>
      </c>
      <c r="K1468" s="1">
        <v>0.68702961805555551</v>
      </c>
      <c r="L1468">
        <f>YEAR(Coffe_sales[[#This Row],[Date]])</f>
        <v>2024</v>
      </c>
    </row>
    <row r="1469" spans="1:12" x14ac:dyDescent="0.2">
      <c r="A1469" t="s">
        <v>27</v>
      </c>
      <c r="B1469" t="s">
        <v>12</v>
      </c>
      <c r="C1469">
        <v>32.82</v>
      </c>
      <c r="D1469" t="s">
        <v>52</v>
      </c>
      <c r="E1469" t="s">
        <v>22</v>
      </c>
      <c r="F1469" t="s">
        <v>32</v>
      </c>
      <c r="G1469" t="s">
        <v>239</v>
      </c>
      <c r="H1469" t="s">
        <v>33</v>
      </c>
      <c r="I1469" t="s">
        <v>46</v>
      </c>
      <c r="J1469" t="s">
        <v>253</v>
      </c>
      <c r="K1469" s="1">
        <v>0.68769528935185187</v>
      </c>
      <c r="L1469">
        <f>YEAR(Coffe_sales[[#This Row],[Date]])</f>
        <v>2024</v>
      </c>
    </row>
    <row r="1470" spans="1:12" x14ac:dyDescent="0.2">
      <c r="A1470" t="s">
        <v>123</v>
      </c>
      <c r="B1470" t="s">
        <v>12</v>
      </c>
      <c r="C1470">
        <v>18.12</v>
      </c>
      <c r="D1470" t="s">
        <v>45</v>
      </c>
      <c r="E1470" t="s">
        <v>14</v>
      </c>
      <c r="F1470" t="s">
        <v>38</v>
      </c>
      <c r="G1470" t="s">
        <v>239</v>
      </c>
      <c r="H1470" t="s">
        <v>39</v>
      </c>
      <c r="I1470" t="s">
        <v>46</v>
      </c>
      <c r="J1470" t="s">
        <v>254</v>
      </c>
      <c r="K1470" s="1">
        <v>0.36297385416666667</v>
      </c>
      <c r="L1470">
        <f>YEAR(Coffe_sales[[#This Row],[Date]])</f>
        <v>2024</v>
      </c>
    </row>
    <row r="1471" spans="1:12" x14ac:dyDescent="0.2">
      <c r="A1471" t="s">
        <v>46</v>
      </c>
      <c r="B1471" t="s">
        <v>12</v>
      </c>
      <c r="C1471">
        <v>27.92</v>
      </c>
      <c r="D1471" t="s">
        <v>26</v>
      </c>
      <c r="E1471" t="s">
        <v>14</v>
      </c>
      <c r="F1471" t="s">
        <v>38</v>
      </c>
      <c r="G1471" t="s">
        <v>239</v>
      </c>
      <c r="H1471" t="s">
        <v>39</v>
      </c>
      <c r="I1471" t="s">
        <v>46</v>
      </c>
      <c r="J1471" t="s">
        <v>254</v>
      </c>
      <c r="K1471" s="1">
        <v>0.40947616898148148</v>
      </c>
      <c r="L1471">
        <f>YEAR(Coffe_sales[[#This Row],[Date]])</f>
        <v>2024</v>
      </c>
    </row>
    <row r="1472" spans="1:12" x14ac:dyDescent="0.2">
      <c r="A1472" t="s">
        <v>23</v>
      </c>
      <c r="B1472" t="s">
        <v>12</v>
      </c>
      <c r="C1472">
        <v>23.02</v>
      </c>
      <c r="D1472" t="s">
        <v>24</v>
      </c>
      <c r="E1472" t="s">
        <v>22</v>
      </c>
      <c r="F1472" t="s">
        <v>38</v>
      </c>
      <c r="G1472" t="s">
        <v>239</v>
      </c>
      <c r="H1472" t="s">
        <v>39</v>
      </c>
      <c r="I1472" t="s">
        <v>46</v>
      </c>
      <c r="J1472" t="s">
        <v>254</v>
      </c>
      <c r="K1472" s="1">
        <v>0.57612716435185185</v>
      </c>
      <c r="L1472">
        <f>YEAR(Coffe_sales[[#This Row],[Date]])</f>
        <v>2024</v>
      </c>
    </row>
    <row r="1473" spans="1:12" x14ac:dyDescent="0.2">
      <c r="A1473" t="s">
        <v>36</v>
      </c>
      <c r="B1473" t="s">
        <v>12</v>
      </c>
      <c r="C1473">
        <v>23.02</v>
      </c>
      <c r="D1473" t="s">
        <v>41</v>
      </c>
      <c r="E1473" t="s">
        <v>22</v>
      </c>
      <c r="F1473" t="s">
        <v>38</v>
      </c>
      <c r="G1473" t="s">
        <v>239</v>
      </c>
      <c r="H1473" t="s">
        <v>39</v>
      </c>
      <c r="I1473" t="s">
        <v>46</v>
      </c>
      <c r="J1473" t="s">
        <v>254</v>
      </c>
      <c r="K1473" s="1">
        <v>0.60855656250000001</v>
      </c>
      <c r="L1473">
        <f>YEAR(Coffe_sales[[#This Row],[Date]])</f>
        <v>2024</v>
      </c>
    </row>
    <row r="1474" spans="1:12" x14ac:dyDescent="0.2">
      <c r="A1474" t="s">
        <v>36</v>
      </c>
      <c r="B1474" t="s">
        <v>12</v>
      </c>
      <c r="C1474">
        <v>23.02</v>
      </c>
      <c r="D1474" t="s">
        <v>41</v>
      </c>
      <c r="E1474" t="s">
        <v>22</v>
      </c>
      <c r="F1474" t="s">
        <v>38</v>
      </c>
      <c r="G1474" t="s">
        <v>239</v>
      </c>
      <c r="H1474" t="s">
        <v>39</v>
      </c>
      <c r="I1474" t="s">
        <v>46</v>
      </c>
      <c r="J1474" t="s">
        <v>254</v>
      </c>
      <c r="K1474" s="1">
        <v>0.60926616898148145</v>
      </c>
      <c r="L1474">
        <f>YEAR(Coffe_sales[[#This Row],[Date]])</f>
        <v>2024</v>
      </c>
    </row>
    <row r="1475" spans="1:12" x14ac:dyDescent="0.2">
      <c r="A1475" t="s">
        <v>36</v>
      </c>
      <c r="B1475" t="s">
        <v>12</v>
      </c>
      <c r="C1475">
        <v>32.82</v>
      </c>
      <c r="D1475" t="s">
        <v>52</v>
      </c>
      <c r="E1475" t="s">
        <v>22</v>
      </c>
      <c r="F1475" t="s">
        <v>38</v>
      </c>
      <c r="G1475" t="s">
        <v>239</v>
      </c>
      <c r="H1475" t="s">
        <v>39</v>
      </c>
      <c r="I1475" t="s">
        <v>46</v>
      </c>
      <c r="J1475" t="s">
        <v>254</v>
      </c>
      <c r="K1475" s="1">
        <v>0.62035541666666671</v>
      </c>
      <c r="L1475">
        <f>YEAR(Coffe_sales[[#This Row],[Date]])</f>
        <v>2024</v>
      </c>
    </row>
    <row r="1476" spans="1:12" x14ac:dyDescent="0.2">
      <c r="A1476" t="s">
        <v>23</v>
      </c>
      <c r="B1476" t="s">
        <v>12</v>
      </c>
      <c r="C1476">
        <v>32.82</v>
      </c>
      <c r="D1476" t="s">
        <v>13</v>
      </c>
      <c r="E1476" t="s">
        <v>22</v>
      </c>
      <c r="F1476" t="s">
        <v>42</v>
      </c>
      <c r="G1476" t="s">
        <v>239</v>
      </c>
      <c r="H1476" t="s">
        <v>43</v>
      </c>
      <c r="I1476" t="s">
        <v>46</v>
      </c>
      <c r="J1476" t="s">
        <v>255</v>
      </c>
      <c r="K1476" s="1">
        <v>0.56415364583333338</v>
      </c>
      <c r="L1476">
        <f>YEAR(Coffe_sales[[#This Row],[Date]])</f>
        <v>2024</v>
      </c>
    </row>
    <row r="1477" spans="1:12" x14ac:dyDescent="0.2">
      <c r="A1477" t="s">
        <v>23</v>
      </c>
      <c r="B1477" t="s">
        <v>12</v>
      </c>
      <c r="C1477">
        <v>27.92</v>
      </c>
      <c r="D1477" t="s">
        <v>26</v>
      </c>
      <c r="E1477" t="s">
        <v>22</v>
      </c>
      <c r="F1477" t="s">
        <v>42</v>
      </c>
      <c r="G1477" t="s">
        <v>239</v>
      </c>
      <c r="H1477" t="s">
        <v>43</v>
      </c>
      <c r="I1477" t="s">
        <v>46</v>
      </c>
      <c r="J1477" t="s">
        <v>255</v>
      </c>
      <c r="K1477" s="1">
        <v>0.56500887731481486</v>
      </c>
      <c r="L1477">
        <f>YEAR(Coffe_sales[[#This Row],[Date]])</f>
        <v>2024</v>
      </c>
    </row>
    <row r="1478" spans="1:12" x14ac:dyDescent="0.2">
      <c r="A1478" t="s">
        <v>25</v>
      </c>
      <c r="B1478" t="s">
        <v>12</v>
      </c>
      <c r="C1478">
        <v>32.82</v>
      </c>
      <c r="D1478" t="s">
        <v>13</v>
      </c>
      <c r="E1478" t="s">
        <v>22</v>
      </c>
      <c r="F1478" t="s">
        <v>42</v>
      </c>
      <c r="G1478" t="s">
        <v>239</v>
      </c>
      <c r="H1478" t="s">
        <v>43</v>
      </c>
      <c r="I1478" t="s">
        <v>46</v>
      </c>
      <c r="J1478" t="s">
        <v>255</v>
      </c>
      <c r="K1478" s="1">
        <v>0.6411951388888889</v>
      </c>
      <c r="L1478">
        <f>YEAR(Coffe_sales[[#This Row],[Date]])</f>
        <v>2024</v>
      </c>
    </row>
    <row r="1479" spans="1:12" x14ac:dyDescent="0.2">
      <c r="A1479" t="s">
        <v>37</v>
      </c>
      <c r="B1479" t="s">
        <v>12</v>
      </c>
      <c r="C1479">
        <v>27.92</v>
      </c>
      <c r="D1479" t="s">
        <v>26</v>
      </c>
      <c r="E1479" t="s">
        <v>29</v>
      </c>
      <c r="F1479" t="s">
        <v>42</v>
      </c>
      <c r="G1479" t="s">
        <v>239</v>
      </c>
      <c r="H1479" t="s">
        <v>43</v>
      </c>
      <c r="I1479" t="s">
        <v>46</v>
      </c>
      <c r="J1479" t="s">
        <v>255</v>
      </c>
      <c r="K1479" s="1">
        <v>0.71951081018518515</v>
      </c>
      <c r="L1479">
        <f>YEAR(Coffe_sales[[#This Row],[Date]])</f>
        <v>2024</v>
      </c>
    </row>
    <row r="1480" spans="1:12" x14ac:dyDescent="0.2">
      <c r="A1480" t="s">
        <v>37</v>
      </c>
      <c r="B1480" t="s">
        <v>12</v>
      </c>
      <c r="C1480">
        <v>32.82</v>
      </c>
      <c r="D1480" t="s">
        <v>13</v>
      </c>
      <c r="E1480" t="s">
        <v>29</v>
      </c>
      <c r="F1480" t="s">
        <v>42</v>
      </c>
      <c r="G1480" t="s">
        <v>239</v>
      </c>
      <c r="H1480" t="s">
        <v>43</v>
      </c>
      <c r="I1480" t="s">
        <v>46</v>
      </c>
      <c r="J1480" t="s">
        <v>255</v>
      </c>
      <c r="K1480" s="1">
        <v>0.72087096064814815</v>
      </c>
      <c r="L1480">
        <f>YEAR(Coffe_sales[[#This Row],[Date]])</f>
        <v>2024</v>
      </c>
    </row>
    <row r="1481" spans="1:12" x14ac:dyDescent="0.2">
      <c r="A1481" t="s">
        <v>28</v>
      </c>
      <c r="B1481" t="s">
        <v>12</v>
      </c>
      <c r="C1481">
        <v>32.82</v>
      </c>
      <c r="D1481" t="s">
        <v>13</v>
      </c>
      <c r="E1481" t="s">
        <v>29</v>
      </c>
      <c r="F1481" t="s">
        <v>42</v>
      </c>
      <c r="G1481" t="s">
        <v>239</v>
      </c>
      <c r="H1481" t="s">
        <v>43</v>
      </c>
      <c r="I1481" t="s">
        <v>46</v>
      </c>
      <c r="J1481" t="s">
        <v>255</v>
      </c>
      <c r="K1481" s="1">
        <v>0.7880260185185185</v>
      </c>
      <c r="L1481">
        <f>YEAR(Coffe_sales[[#This Row],[Date]])</f>
        <v>2024</v>
      </c>
    </row>
    <row r="1482" spans="1:12" x14ac:dyDescent="0.2">
      <c r="A1482" t="s">
        <v>28</v>
      </c>
      <c r="B1482" t="s">
        <v>12</v>
      </c>
      <c r="C1482">
        <v>32.82</v>
      </c>
      <c r="D1482" t="s">
        <v>13</v>
      </c>
      <c r="E1482" t="s">
        <v>29</v>
      </c>
      <c r="F1482" t="s">
        <v>42</v>
      </c>
      <c r="G1482" t="s">
        <v>239</v>
      </c>
      <c r="H1482" t="s">
        <v>43</v>
      </c>
      <c r="I1482" t="s">
        <v>46</v>
      </c>
      <c r="J1482" t="s">
        <v>255</v>
      </c>
      <c r="K1482" s="1">
        <v>0.78894994212962966</v>
      </c>
      <c r="L1482">
        <f>YEAR(Coffe_sales[[#This Row],[Date]])</f>
        <v>2024</v>
      </c>
    </row>
    <row r="1483" spans="1:12" x14ac:dyDescent="0.2">
      <c r="A1483" t="s">
        <v>131</v>
      </c>
      <c r="B1483" t="s">
        <v>12</v>
      </c>
      <c r="C1483">
        <v>27.92</v>
      </c>
      <c r="D1483" t="s">
        <v>26</v>
      </c>
      <c r="E1483" t="s">
        <v>29</v>
      </c>
      <c r="F1483" t="s">
        <v>42</v>
      </c>
      <c r="G1483" t="s">
        <v>239</v>
      </c>
      <c r="H1483" t="s">
        <v>43</v>
      </c>
      <c r="I1483" t="s">
        <v>46</v>
      </c>
      <c r="J1483" t="s">
        <v>255</v>
      </c>
      <c r="K1483" s="1">
        <v>0.88216079861111107</v>
      </c>
      <c r="L1483">
        <f>YEAR(Coffe_sales[[#This Row],[Date]])</f>
        <v>2024</v>
      </c>
    </row>
    <row r="1484" spans="1:12" x14ac:dyDescent="0.2">
      <c r="A1484" t="s">
        <v>131</v>
      </c>
      <c r="B1484" t="s">
        <v>12</v>
      </c>
      <c r="C1484">
        <v>32.82</v>
      </c>
      <c r="D1484" t="s">
        <v>13</v>
      </c>
      <c r="E1484" t="s">
        <v>29</v>
      </c>
      <c r="F1484" t="s">
        <v>42</v>
      </c>
      <c r="G1484" t="s">
        <v>239</v>
      </c>
      <c r="H1484" t="s">
        <v>43</v>
      </c>
      <c r="I1484" t="s">
        <v>46</v>
      </c>
      <c r="J1484" t="s">
        <v>255</v>
      </c>
      <c r="K1484" s="1">
        <v>0.88301504629629635</v>
      </c>
      <c r="L1484">
        <f>YEAR(Coffe_sales[[#This Row],[Date]])</f>
        <v>2024</v>
      </c>
    </row>
    <row r="1485" spans="1:12" x14ac:dyDescent="0.2">
      <c r="A1485" t="s">
        <v>131</v>
      </c>
      <c r="B1485" t="s">
        <v>12</v>
      </c>
      <c r="C1485">
        <v>27.92</v>
      </c>
      <c r="D1485" t="s">
        <v>26</v>
      </c>
      <c r="E1485" t="s">
        <v>29</v>
      </c>
      <c r="F1485" t="s">
        <v>42</v>
      </c>
      <c r="G1485" t="s">
        <v>239</v>
      </c>
      <c r="H1485" t="s">
        <v>43</v>
      </c>
      <c r="I1485" t="s">
        <v>46</v>
      </c>
      <c r="J1485" t="s">
        <v>255</v>
      </c>
      <c r="K1485" s="1">
        <v>0.90124199074074074</v>
      </c>
      <c r="L1485">
        <f>YEAR(Coffe_sales[[#This Row],[Date]])</f>
        <v>2024</v>
      </c>
    </row>
    <row r="1486" spans="1:12" x14ac:dyDescent="0.2">
      <c r="A1486" t="s">
        <v>131</v>
      </c>
      <c r="B1486" t="s">
        <v>12</v>
      </c>
      <c r="C1486">
        <v>27.92</v>
      </c>
      <c r="D1486" t="s">
        <v>26</v>
      </c>
      <c r="E1486" t="s">
        <v>29</v>
      </c>
      <c r="F1486" t="s">
        <v>42</v>
      </c>
      <c r="G1486" t="s">
        <v>239</v>
      </c>
      <c r="H1486" t="s">
        <v>43</v>
      </c>
      <c r="I1486" t="s">
        <v>46</v>
      </c>
      <c r="J1486" t="s">
        <v>255</v>
      </c>
      <c r="K1486" s="1">
        <v>0.90195215277777774</v>
      </c>
      <c r="L1486">
        <f>YEAR(Coffe_sales[[#This Row],[Date]])</f>
        <v>2024</v>
      </c>
    </row>
    <row r="1487" spans="1:12" x14ac:dyDescent="0.2">
      <c r="A1487" t="s">
        <v>39</v>
      </c>
      <c r="B1487" t="s">
        <v>12</v>
      </c>
      <c r="C1487">
        <v>23.02</v>
      </c>
      <c r="D1487" t="s">
        <v>41</v>
      </c>
      <c r="E1487" t="s">
        <v>14</v>
      </c>
      <c r="F1487" t="s">
        <v>47</v>
      </c>
      <c r="G1487" t="s">
        <v>239</v>
      </c>
      <c r="H1487" t="s">
        <v>48</v>
      </c>
      <c r="I1487" t="s">
        <v>46</v>
      </c>
      <c r="J1487" t="s">
        <v>256</v>
      </c>
      <c r="K1487" s="1">
        <v>0.32983711805555554</v>
      </c>
      <c r="L1487">
        <f>YEAR(Coffe_sales[[#This Row],[Date]])</f>
        <v>2024</v>
      </c>
    </row>
    <row r="1488" spans="1:12" x14ac:dyDescent="0.2">
      <c r="A1488" t="s">
        <v>123</v>
      </c>
      <c r="B1488" t="s">
        <v>12</v>
      </c>
      <c r="C1488">
        <v>32.82</v>
      </c>
      <c r="D1488" t="s">
        <v>13</v>
      </c>
      <c r="E1488" t="s">
        <v>14</v>
      </c>
      <c r="F1488" t="s">
        <v>47</v>
      </c>
      <c r="G1488" t="s">
        <v>239</v>
      </c>
      <c r="H1488" t="s">
        <v>48</v>
      </c>
      <c r="I1488" t="s">
        <v>46</v>
      </c>
      <c r="J1488" t="s">
        <v>256</v>
      </c>
      <c r="K1488" s="1">
        <v>0.33959370370370373</v>
      </c>
      <c r="L1488">
        <f>YEAR(Coffe_sales[[#This Row],[Date]])</f>
        <v>2024</v>
      </c>
    </row>
    <row r="1489" spans="1:12" x14ac:dyDescent="0.2">
      <c r="A1489" t="s">
        <v>123</v>
      </c>
      <c r="B1489" t="s">
        <v>12</v>
      </c>
      <c r="C1489">
        <v>27.92</v>
      </c>
      <c r="D1489" t="s">
        <v>26</v>
      </c>
      <c r="E1489" t="s">
        <v>14</v>
      </c>
      <c r="F1489" t="s">
        <v>47</v>
      </c>
      <c r="G1489" t="s">
        <v>239</v>
      </c>
      <c r="H1489" t="s">
        <v>48</v>
      </c>
      <c r="I1489" t="s">
        <v>46</v>
      </c>
      <c r="J1489" t="s">
        <v>256</v>
      </c>
      <c r="K1489" s="1">
        <v>0.35946241898148146</v>
      </c>
      <c r="L1489">
        <f>YEAR(Coffe_sales[[#This Row],[Date]])</f>
        <v>2024</v>
      </c>
    </row>
    <row r="1490" spans="1:12" x14ac:dyDescent="0.2">
      <c r="A1490" t="s">
        <v>123</v>
      </c>
      <c r="B1490" t="s">
        <v>12</v>
      </c>
      <c r="C1490">
        <v>23.02</v>
      </c>
      <c r="D1490" t="s">
        <v>41</v>
      </c>
      <c r="E1490" t="s">
        <v>14</v>
      </c>
      <c r="F1490" t="s">
        <v>47</v>
      </c>
      <c r="G1490" t="s">
        <v>239</v>
      </c>
      <c r="H1490" t="s">
        <v>48</v>
      </c>
      <c r="I1490" t="s">
        <v>46</v>
      </c>
      <c r="J1490" t="s">
        <v>256</v>
      </c>
      <c r="K1490" s="1">
        <v>0.36286428240740742</v>
      </c>
      <c r="L1490">
        <f>YEAR(Coffe_sales[[#This Row],[Date]])</f>
        <v>2024</v>
      </c>
    </row>
    <row r="1491" spans="1:12" x14ac:dyDescent="0.2">
      <c r="A1491" t="s">
        <v>46</v>
      </c>
      <c r="B1491" t="s">
        <v>12</v>
      </c>
      <c r="C1491">
        <v>32.82</v>
      </c>
      <c r="D1491" t="s">
        <v>52</v>
      </c>
      <c r="E1491" t="s">
        <v>14</v>
      </c>
      <c r="F1491" t="s">
        <v>47</v>
      </c>
      <c r="G1491" t="s">
        <v>239</v>
      </c>
      <c r="H1491" t="s">
        <v>48</v>
      </c>
      <c r="I1491" t="s">
        <v>46</v>
      </c>
      <c r="J1491" t="s">
        <v>256</v>
      </c>
      <c r="K1491" s="1">
        <v>0.38198790509259262</v>
      </c>
      <c r="L1491">
        <f>YEAR(Coffe_sales[[#This Row],[Date]])</f>
        <v>2024</v>
      </c>
    </row>
    <row r="1492" spans="1:12" x14ac:dyDescent="0.2">
      <c r="A1492" t="s">
        <v>46</v>
      </c>
      <c r="B1492" t="s">
        <v>12</v>
      </c>
      <c r="C1492">
        <v>27.92</v>
      </c>
      <c r="D1492" t="s">
        <v>26</v>
      </c>
      <c r="E1492" t="s">
        <v>14</v>
      </c>
      <c r="F1492" t="s">
        <v>47</v>
      </c>
      <c r="G1492" t="s">
        <v>239</v>
      </c>
      <c r="H1492" t="s">
        <v>48</v>
      </c>
      <c r="I1492" t="s">
        <v>46</v>
      </c>
      <c r="J1492" t="s">
        <v>256</v>
      </c>
      <c r="K1492" s="1">
        <v>0.38273403935185185</v>
      </c>
      <c r="L1492">
        <f>YEAR(Coffe_sales[[#This Row],[Date]])</f>
        <v>2024</v>
      </c>
    </row>
    <row r="1493" spans="1:12" x14ac:dyDescent="0.2">
      <c r="A1493" t="s">
        <v>46</v>
      </c>
      <c r="B1493" t="s">
        <v>12</v>
      </c>
      <c r="C1493">
        <v>27.92</v>
      </c>
      <c r="D1493" t="s">
        <v>26</v>
      </c>
      <c r="E1493" t="s">
        <v>14</v>
      </c>
      <c r="F1493" t="s">
        <v>47</v>
      </c>
      <c r="G1493" t="s">
        <v>239</v>
      </c>
      <c r="H1493" t="s">
        <v>48</v>
      </c>
      <c r="I1493" t="s">
        <v>46</v>
      </c>
      <c r="J1493" t="s">
        <v>256</v>
      </c>
      <c r="K1493" s="1">
        <v>0.39926805555555556</v>
      </c>
      <c r="L1493">
        <f>YEAR(Coffe_sales[[#This Row],[Date]])</f>
        <v>2024</v>
      </c>
    </row>
    <row r="1494" spans="1:12" x14ac:dyDescent="0.2">
      <c r="A1494" t="s">
        <v>20</v>
      </c>
      <c r="B1494" t="s">
        <v>12</v>
      </c>
      <c r="C1494">
        <v>18.12</v>
      </c>
      <c r="D1494" t="s">
        <v>45</v>
      </c>
      <c r="E1494" t="s">
        <v>22</v>
      </c>
      <c r="F1494" t="s">
        <v>47</v>
      </c>
      <c r="G1494" t="s">
        <v>239</v>
      </c>
      <c r="H1494" t="s">
        <v>48</v>
      </c>
      <c r="I1494" t="s">
        <v>46</v>
      </c>
      <c r="J1494" t="s">
        <v>256</v>
      </c>
      <c r="K1494" s="1">
        <v>0.52677972222222225</v>
      </c>
      <c r="L1494">
        <f>YEAR(Coffe_sales[[#This Row],[Date]])</f>
        <v>2024</v>
      </c>
    </row>
    <row r="1495" spans="1:12" x14ac:dyDescent="0.2">
      <c r="A1495" t="s">
        <v>20</v>
      </c>
      <c r="B1495" t="s">
        <v>12</v>
      </c>
      <c r="C1495">
        <v>27.92</v>
      </c>
      <c r="D1495" t="s">
        <v>26</v>
      </c>
      <c r="E1495" t="s">
        <v>22</v>
      </c>
      <c r="F1495" t="s">
        <v>47</v>
      </c>
      <c r="G1495" t="s">
        <v>239</v>
      </c>
      <c r="H1495" t="s">
        <v>48</v>
      </c>
      <c r="I1495" t="s">
        <v>46</v>
      </c>
      <c r="J1495" t="s">
        <v>256</v>
      </c>
      <c r="K1495" s="1">
        <v>0.52747317129629634</v>
      </c>
      <c r="L1495">
        <f>YEAR(Coffe_sales[[#This Row],[Date]])</f>
        <v>2024</v>
      </c>
    </row>
    <row r="1496" spans="1:12" x14ac:dyDescent="0.2">
      <c r="A1496" t="s">
        <v>20</v>
      </c>
      <c r="B1496" t="s">
        <v>12</v>
      </c>
      <c r="C1496">
        <v>32.82</v>
      </c>
      <c r="D1496" t="s">
        <v>13</v>
      </c>
      <c r="E1496" t="s">
        <v>22</v>
      </c>
      <c r="F1496" t="s">
        <v>47</v>
      </c>
      <c r="G1496" t="s">
        <v>239</v>
      </c>
      <c r="H1496" t="s">
        <v>48</v>
      </c>
      <c r="I1496" t="s">
        <v>46</v>
      </c>
      <c r="J1496" t="s">
        <v>256</v>
      </c>
      <c r="K1496" s="1">
        <v>0.53073092592592597</v>
      </c>
      <c r="L1496">
        <f>YEAR(Coffe_sales[[#This Row],[Date]])</f>
        <v>2024</v>
      </c>
    </row>
    <row r="1497" spans="1:12" x14ac:dyDescent="0.2">
      <c r="A1497" t="s">
        <v>23</v>
      </c>
      <c r="B1497" t="s">
        <v>12</v>
      </c>
      <c r="C1497">
        <v>27.92</v>
      </c>
      <c r="D1497" t="s">
        <v>26</v>
      </c>
      <c r="E1497" t="s">
        <v>22</v>
      </c>
      <c r="F1497" t="s">
        <v>47</v>
      </c>
      <c r="G1497" t="s">
        <v>239</v>
      </c>
      <c r="H1497" t="s">
        <v>48</v>
      </c>
      <c r="I1497" t="s">
        <v>46</v>
      </c>
      <c r="J1497" t="s">
        <v>256</v>
      </c>
      <c r="K1497" s="1">
        <v>0.57943324074074076</v>
      </c>
      <c r="L1497">
        <f>YEAR(Coffe_sales[[#This Row],[Date]])</f>
        <v>2024</v>
      </c>
    </row>
    <row r="1498" spans="1:12" x14ac:dyDescent="0.2">
      <c r="A1498" t="s">
        <v>23</v>
      </c>
      <c r="B1498" t="s">
        <v>12</v>
      </c>
      <c r="C1498">
        <v>23.02</v>
      </c>
      <c r="D1498" t="s">
        <v>41</v>
      </c>
      <c r="E1498" t="s">
        <v>22</v>
      </c>
      <c r="F1498" t="s">
        <v>47</v>
      </c>
      <c r="G1498" t="s">
        <v>239</v>
      </c>
      <c r="H1498" t="s">
        <v>48</v>
      </c>
      <c r="I1498" t="s">
        <v>46</v>
      </c>
      <c r="J1498" t="s">
        <v>256</v>
      </c>
      <c r="K1498" s="1">
        <v>0.5802226967592593</v>
      </c>
      <c r="L1498">
        <f>YEAR(Coffe_sales[[#This Row],[Date]])</f>
        <v>2024</v>
      </c>
    </row>
    <row r="1499" spans="1:12" x14ac:dyDescent="0.2">
      <c r="A1499" t="s">
        <v>27</v>
      </c>
      <c r="B1499" t="s">
        <v>12</v>
      </c>
      <c r="C1499">
        <v>32.82</v>
      </c>
      <c r="D1499" t="s">
        <v>52</v>
      </c>
      <c r="E1499" t="s">
        <v>22</v>
      </c>
      <c r="F1499" t="s">
        <v>47</v>
      </c>
      <c r="G1499" t="s">
        <v>239</v>
      </c>
      <c r="H1499" t="s">
        <v>48</v>
      </c>
      <c r="I1499" t="s">
        <v>46</v>
      </c>
      <c r="J1499" t="s">
        <v>256</v>
      </c>
      <c r="K1499" s="1">
        <v>0.68723629629629635</v>
      </c>
      <c r="L1499">
        <f>YEAR(Coffe_sales[[#This Row],[Date]])</f>
        <v>2024</v>
      </c>
    </row>
    <row r="1500" spans="1:12" x14ac:dyDescent="0.2">
      <c r="A1500" t="s">
        <v>27</v>
      </c>
      <c r="B1500" t="s">
        <v>12</v>
      </c>
      <c r="C1500">
        <v>32.82</v>
      </c>
      <c r="D1500" t="s">
        <v>13</v>
      </c>
      <c r="E1500" t="s">
        <v>22</v>
      </c>
      <c r="F1500" t="s">
        <v>47</v>
      </c>
      <c r="G1500" t="s">
        <v>239</v>
      </c>
      <c r="H1500" t="s">
        <v>48</v>
      </c>
      <c r="I1500" t="s">
        <v>46</v>
      </c>
      <c r="J1500" t="s">
        <v>256</v>
      </c>
      <c r="K1500" s="1">
        <v>0.68820273148148148</v>
      </c>
      <c r="L1500">
        <f>YEAR(Coffe_sales[[#This Row],[Date]])</f>
        <v>2024</v>
      </c>
    </row>
    <row r="1501" spans="1:12" x14ac:dyDescent="0.2">
      <c r="A1501" t="s">
        <v>28</v>
      </c>
      <c r="B1501" t="s">
        <v>12</v>
      </c>
      <c r="C1501">
        <v>32.82</v>
      </c>
      <c r="D1501" t="s">
        <v>21</v>
      </c>
      <c r="E1501" t="s">
        <v>29</v>
      </c>
      <c r="F1501" t="s">
        <v>47</v>
      </c>
      <c r="G1501" t="s">
        <v>239</v>
      </c>
      <c r="H1501" t="s">
        <v>48</v>
      </c>
      <c r="I1501" t="s">
        <v>46</v>
      </c>
      <c r="J1501" t="s">
        <v>256</v>
      </c>
      <c r="K1501" s="1">
        <v>0.78777526620370375</v>
      </c>
      <c r="L1501">
        <f>YEAR(Coffe_sales[[#This Row],[Date]])</f>
        <v>2024</v>
      </c>
    </row>
    <row r="1502" spans="1:12" x14ac:dyDescent="0.2">
      <c r="A1502" t="s">
        <v>30</v>
      </c>
      <c r="B1502" t="s">
        <v>12</v>
      </c>
      <c r="C1502">
        <v>27.92</v>
      </c>
      <c r="D1502" t="s">
        <v>26</v>
      </c>
      <c r="E1502" t="s">
        <v>29</v>
      </c>
      <c r="F1502" t="s">
        <v>47</v>
      </c>
      <c r="G1502" t="s">
        <v>239</v>
      </c>
      <c r="H1502" t="s">
        <v>48</v>
      </c>
      <c r="I1502" t="s">
        <v>46</v>
      </c>
      <c r="J1502" t="s">
        <v>256</v>
      </c>
      <c r="K1502" s="1">
        <v>0.79219806712962959</v>
      </c>
      <c r="L1502">
        <f>YEAR(Coffe_sales[[#This Row],[Date]])</f>
        <v>2024</v>
      </c>
    </row>
    <row r="1503" spans="1:12" x14ac:dyDescent="0.2">
      <c r="A1503" t="s">
        <v>30</v>
      </c>
      <c r="B1503" t="s">
        <v>12</v>
      </c>
      <c r="C1503">
        <v>27.92</v>
      </c>
      <c r="D1503" t="s">
        <v>26</v>
      </c>
      <c r="E1503" t="s">
        <v>29</v>
      </c>
      <c r="F1503" t="s">
        <v>47</v>
      </c>
      <c r="G1503" t="s">
        <v>239</v>
      </c>
      <c r="H1503" t="s">
        <v>48</v>
      </c>
      <c r="I1503" t="s">
        <v>46</v>
      </c>
      <c r="J1503" t="s">
        <v>256</v>
      </c>
      <c r="K1503" s="1">
        <v>0.79436659722222225</v>
      </c>
      <c r="L1503">
        <f>YEAR(Coffe_sales[[#This Row],[Date]])</f>
        <v>2024</v>
      </c>
    </row>
    <row r="1504" spans="1:12" x14ac:dyDescent="0.2">
      <c r="A1504" t="s">
        <v>30</v>
      </c>
      <c r="B1504" t="s">
        <v>12</v>
      </c>
      <c r="C1504">
        <v>32.82</v>
      </c>
      <c r="D1504" t="s">
        <v>13</v>
      </c>
      <c r="E1504" t="s">
        <v>29</v>
      </c>
      <c r="F1504" t="s">
        <v>47</v>
      </c>
      <c r="G1504" t="s">
        <v>239</v>
      </c>
      <c r="H1504" t="s">
        <v>48</v>
      </c>
      <c r="I1504" t="s">
        <v>46</v>
      </c>
      <c r="J1504" t="s">
        <v>256</v>
      </c>
      <c r="K1504" s="1">
        <v>0.80055445601851849</v>
      </c>
      <c r="L1504">
        <f>YEAR(Coffe_sales[[#This Row],[Date]])</f>
        <v>2024</v>
      </c>
    </row>
    <row r="1505" spans="1:12" x14ac:dyDescent="0.2">
      <c r="A1505" t="s">
        <v>30</v>
      </c>
      <c r="B1505" t="s">
        <v>12</v>
      </c>
      <c r="C1505">
        <v>27.92</v>
      </c>
      <c r="D1505" t="s">
        <v>26</v>
      </c>
      <c r="E1505" t="s">
        <v>29</v>
      </c>
      <c r="F1505" t="s">
        <v>47</v>
      </c>
      <c r="G1505" t="s">
        <v>239</v>
      </c>
      <c r="H1505" t="s">
        <v>48</v>
      </c>
      <c r="I1505" t="s">
        <v>46</v>
      </c>
      <c r="J1505" t="s">
        <v>256</v>
      </c>
      <c r="K1505" s="1">
        <v>0.80138590277777777</v>
      </c>
      <c r="L1505">
        <f>YEAR(Coffe_sales[[#This Row],[Date]])</f>
        <v>2024</v>
      </c>
    </row>
    <row r="1506" spans="1:12" x14ac:dyDescent="0.2">
      <c r="A1506" t="s">
        <v>30</v>
      </c>
      <c r="B1506" t="s">
        <v>12</v>
      </c>
      <c r="C1506">
        <v>27.92</v>
      </c>
      <c r="D1506" t="s">
        <v>26</v>
      </c>
      <c r="E1506" t="s">
        <v>29</v>
      </c>
      <c r="F1506" t="s">
        <v>47</v>
      </c>
      <c r="G1506" t="s">
        <v>239</v>
      </c>
      <c r="H1506" t="s">
        <v>48</v>
      </c>
      <c r="I1506" t="s">
        <v>46</v>
      </c>
      <c r="J1506" t="s">
        <v>256</v>
      </c>
      <c r="K1506" s="1">
        <v>0.80207769675925922</v>
      </c>
      <c r="L1506">
        <f>YEAR(Coffe_sales[[#This Row],[Date]])</f>
        <v>2024</v>
      </c>
    </row>
    <row r="1507" spans="1:12" x14ac:dyDescent="0.2">
      <c r="A1507" t="s">
        <v>30</v>
      </c>
      <c r="B1507" t="s">
        <v>12</v>
      </c>
      <c r="C1507">
        <v>27.92</v>
      </c>
      <c r="D1507" t="s">
        <v>26</v>
      </c>
      <c r="E1507" t="s">
        <v>29</v>
      </c>
      <c r="F1507" t="s">
        <v>47</v>
      </c>
      <c r="G1507" t="s">
        <v>239</v>
      </c>
      <c r="H1507" t="s">
        <v>48</v>
      </c>
      <c r="I1507" t="s">
        <v>46</v>
      </c>
      <c r="J1507" t="s">
        <v>256</v>
      </c>
      <c r="K1507" s="1">
        <v>0.81385842592592594</v>
      </c>
      <c r="L1507">
        <f>YEAR(Coffe_sales[[#This Row],[Date]])</f>
        <v>2024</v>
      </c>
    </row>
    <row r="1508" spans="1:12" x14ac:dyDescent="0.2">
      <c r="A1508" t="s">
        <v>125</v>
      </c>
      <c r="B1508" t="s">
        <v>12</v>
      </c>
      <c r="C1508">
        <v>32.82</v>
      </c>
      <c r="D1508" t="s">
        <v>21</v>
      </c>
      <c r="E1508" t="s">
        <v>29</v>
      </c>
      <c r="F1508" t="s">
        <v>47</v>
      </c>
      <c r="G1508" t="s">
        <v>239</v>
      </c>
      <c r="H1508" t="s">
        <v>48</v>
      </c>
      <c r="I1508" t="s">
        <v>46</v>
      </c>
      <c r="J1508" t="s">
        <v>256</v>
      </c>
      <c r="K1508" s="1">
        <v>0.93027755787037036</v>
      </c>
      <c r="L1508">
        <f>YEAR(Coffe_sales[[#This Row],[Date]])</f>
        <v>2024</v>
      </c>
    </row>
    <row r="1509" spans="1:12" x14ac:dyDescent="0.2">
      <c r="A1509" t="s">
        <v>125</v>
      </c>
      <c r="B1509" t="s">
        <v>12</v>
      </c>
      <c r="C1509">
        <v>32.82</v>
      </c>
      <c r="D1509" t="s">
        <v>21</v>
      </c>
      <c r="E1509" t="s">
        <v>29</v>
      </c>
      <c r="F1509" t="s">
        <v>47</v>
      </c>
      <c r="G1509" t="s">
        <v>239</v>
      </c>
      <c r="H1509" t="s">
        <v>48</v>
      </c>
      <c r="I1509" t="s">
        <v>46</v>
      </c>
      <c r="J1509" t="s">
        <v>256</v>
      </c>
      <c r="K1509" s="1">
        <v>0.93078067129629627</v>
      </c>
      <c r="L1509">
        <f>YEAR(Coffe_sales[[#This Row],[Date]])</f>
        <v>2024</v>
      </c>
    </row>
    <row r="1510" spans="1:12" x14ac:dyDescent="0.2">
      <c r="A1510" t="s">
        <v>36</v>
      </c>
      <c r="B1510" t="s">
        <v>12</v>
      </c>
      <c r="C1510">
        <v>32.82</v>
      </c>
      <c r="D1510" t="s">
        <v>13</v>
      </c>
      <c r="E1510" t="s">
        <v>22</v>
      </c>
      <c r="F1510" t="s">
        <v>50</v>
      </c>
      <c r="G1510" t="s">
        <v>239</v>
      </c>
      <c r="H1510" t="s">
        <v>18</v>
      </c>
      <c r="I1510" t="s">
        <v>46</v>
      </c>
      <c r="J1510" t="s">
        <v>257</v>
      </c>
      <c r="K1510" s="1">
        <v>0.60403817129629633</v>
      </c>
      <c r="L1510">
        <f>YEAR(Coffe_sales[[#This Row],[Date]])</f>
        <v>2024</v>
      </c>
    </row>
    <row r="1511" spans="1:12" x14ac:dyDescent="0.2">
      <c r="A1511" t="s">
        <v>37</v>
      </c>
      <c r="B1511" t="s">
        <v>12</v>
      </c>
      <c r="C1511">
        <v>32.82</v>
      </c>
      <c r="D1511" t="s">
        <v>13</v>
      </c>
      <c r="E1511" t="s">
        <v>29</v>
      </c>
      <c r="F1511" t="s">
        <v>50</v>
      </c>
      <c r="G1511" t="s">
        <v>239</v>
      </c>
      <c r="H1511" t="s">
        <v>18</v>
      </c>
      <c r="I1511" t="s">
        <v>46</v>
      </c>
      <c r="J1511" t="s">
        <v>257</v>
      </c>
      <c r="K1511" s="1">
        <v>0.73217204861111107</v>
      </c>
      <c r="L1511">
        <f>YEAR(Coffe_sales[[#This Row],[Date]])</f>
        <v>2024</v>
      </c>
    </row>
    <row r="1512" spans="1:12" x14ac:dyDescent="0.2">
      <c r="A1512" t="s">
        <v>131</v>
      </c>
      <c r="B1512" t="s">
        <v>12</v>
      </c>
      <c r="C1512">
        <v>27.92</v>
      </c>
      <c r="D1512" t="s">
        <v>26</v>
      </c>
      <c r="E1512" t="s">
        <v>29</v>
      </c>
      <c r="F1512" t="s">
        <v>50</v>
      </c>
      <c r="G1512" t="s">
        <v>239</v>
      </c>
      <c r="H1512" t="s">
        <v>18</v>
      </c>
      <c r="I1512" t="s">
        <v>46</v>
      </c>
      <c r="J1512" t="s">
        <v>257</v>
      </c>
      <c r="K1512" s="1">
        <v>0.88586525462962962</v>
      </c>
      <c r="L1512">
        <f>YEAR(Coffe_sales[[#This Row],[Date]])</f>
        <v>2024</v>
      </c>
    </row>
    <row r="1513" spans="1:12" x14ac:dyDescent="0.2">
      <c r="A1513" t="s">
        <v>131</v>
      </c>
      <c r="B1513" t="s">
        <v>12</v>
      </c>
      <c r="C1513">
        <v>27.92</v>
      </c>
      <c r="D1513" t="s">
        <v>26</v>
      </c>
      <c r="E1513" t="s">
        <v>29</v>
      </c>
      <c r="F1513" t="s">
        <v>50</v>
      </c>
      <c r="G1513" t="s">
        <v>239</v>
      </c>
      <c r="H1513" t="s">
        <v>18</v>
      </c>
      <c r="I1513" t="s">
        <v>46</v>
      </c>
      <c r="J1513" t="s">
        <v>257</v>
      </c>
      <c r="K1513" s="1">
        <v>0.88774946759259254</v>
      </c>
      <c r="L1513">
        <f>YEAR(Coffe_sales[[#This Row],[Date]])</f>
        <v>2024</v>
      </c>
    </row>
    <row r="1514" spans="1:12" x14ac:dyDescent="0.2">
      <c r="A1514" t="s">
        <v>123</v>
      </c>
      <c r="B1514" t="s">
        <v>12</v>
      </c>
      <c r="C1514">
        <v>27.92</v>
      </c>
      <c r="D1514" t="s">
        <v>26</v>
      </c>
      <c r="E1514" t="s">
        <v>14</v>
      </c>
      <c r="F1514" t="s">
        <v>53</v>
      </c>
      <c r="G1514" t="s">
        <v>239</v>
      </c>
      <c r="H1514" t="s">
        <v>54</v>
      </c>
      <c r="I1514" t="s">
        <v>46</v>
      </c>
      <c r="J1514" t="s">
        <v>258</v>
      </c>
      <c r="K1514" s="1">
        <v>0.34535491898148146</v>
      </c>
      <c r="L1514">
        <f>YEAR(Coffe_sales[[#This Row],[Date]])</f>
        <v>2024</v>
      </c>
    </row>
    <row r="1515" spans="1:12" x14ac:dyDescent="0.2">
      <c r="A1515" t="s">
        <v>123</v>
      </c>
      <c r="B1515" t="s">
        <v>12</v>
      </c>
      <c r="C1515">
        <v>23.02</v>
      </c>
      <c r="D1515" t="s">
        <v>41</v>
      </c>
      <c r="E1515" t="s">
        <v>14</v>
      </c>
      <c r="F1515" t="s">
        <v>53</v>
      </c>
      <c r="G1515" t="s">
        <v>239</v>
      </c>
      <c r="H1515" t="s">
        <v>54</v>
      </c>
      <c r="I1515" t="s">
        <v>46</v>
      </c>
      <c r="J1515" t="s">
        <v>258</v>
      </c>
      <c r="K1515" s="1">
        <v>0.35450285879629628</v>
      </c>
      <c r="L1515">
        <f>YEAR(Coffe_sales[[#This Row],[Date]])</f>
        <v>2024</v>
      </c>
    </row>
    <row r="1516" spans="1:12" x14ac:dyDescent="0.2">
      <c r="A1516" t="s">
        <v>11</v>
      </c>
      <c r="B1516" t="s">
        <v>12</v>
      </c>
      <c r="C1516">
        <v>32.82</v>
      </c>
      <c r="D1516" t="s">
        <v>13</v>
      </c>
      <c r="E1516" t="s">
        <v>14</v>
      </c>
      <c r="F1516" t="s">
        <v>53</v>
      </c>
      <c r="G1516" t="s">
        <v>239</v>
      </c>
      <c r="H1516" t="s">
        <v>54</v>
      </c>
      <c r="I1516" t="s">
        <v>46</v>
      </c>
      <c r="J1516" t="s">
        <v>258</v>
      </c>
      <c r="K1516" s="1">
        <v>0.41771503472222221</v>
      </c>
      <c r="L1516">
        <f>YEAR(Coffe_sales[[#This Row],[Date]])</f>
        <v>2024</v>
      </c>
    </row>
    <row r="1517" spans="1:12" x14ac:dyDescent="0.2">
      <c r="A1517" t="s">
        <v>20</v>
      </c>
      <c r="B1517" t="s">
        <v>12</v>
      </c>
      <c r="C1517">
        <v>23.02</v>
      </c>
      <c r="D1517" t="s">
        <v>24</v>
      </c>
      <c r="E1517" t="s">
        <v>22</v>
      </c>
      <c r="F1517" t="s">
        <v>53</v>
      </c>
      <c r="G1517" t="s">
        <v>239</v>
      </c>
      <c r="H1517" t="s">
        <v>54</v>
      </c>
      <c r="I1517" t="s">
        <v>46</v>
      </c>
      <c r="J1517" t="s">
        <v>258</v>
      </c>
      <c r="K1517" s="1">
        <v>0.54136127314814819</v>
      </c>
      <c r="L1517">
        <f>YEAR(Coffe_sales[[#This Row],[Date]])</f>
        <v>2024</v>
      </c>
    </row>
    <row r="1518" spans="1:12" x14ac:dyDescent="0.2">
      <c r="A1518" t="s">
        <v>23</v>
      </c>
      <c r="B1518" t="s">
        <v>12</v>
      </c>
      <c r="C1518">
        <v>27.92</v>
      </c>
      <c r="D1518" t="s">
        <v>26</v>
      </c>
      <c r="E1518" t="s">
        <v>22</v>
      </c>
      <c r="F1518" t="s">
        <v>53</v>
      </c>
      <c r="G1518" t="s">
        <v>239</v>
      </c>
      <c r="H1518" t="s">
        <v>54</v>
      </c>
      <c r="I1518" t="s">
        <v>46</v>
      </c>
      <c r="J1518" t="s">
        <v>258</v>
      </c>
      <c r="K1518" s="1">
        <v>0.5420557407407407</v>
      </c>
      <c r="L1518">
        <f>YEAR(Coffe_sales[[#This Row],[Date]])</f>
        <v>2024</v>
      </c>
    </row>
    <row r="1519" spans="1:12" x14ac:dyDescent="0.2">
      <c r="A1519" t="s">
        <v>23</v>
      </c>
      <c r="B1519" t="s">
        <v>12</v>
      </c>
      <c r="C1519">
        <v>23.02</v>
      </c>
      <c r="D1519" t="s">
        <v>41</v>
      </c>
      <c r="E1519" t="s">
        <v>22</v>
      </c>
      <c r="F1519" t="s">
        <v>53</v>
      </c>
      <c r="G1519" t="s">
        <v>239</v>
      </c>
      <c r="H1519" t="s">
        <v>54</v>
      </c>
      <c r="I1519" t="s">
        <v>46</v>
      </c>
      <c r="J1519" t="s">
        <v>258</v>
      </c>
      <c r="K1519" s="1">
        <v>0.57340702546296296</v>
      </c>
      <c r="L1519">
        <f>YEAR(Coffe_sales[[#This Row],[Date]])</f>
        <v>2024</v>
      </c>
    </row>
    <row r="1520" spans="1:12" x14ac:dyDescent="0.2">
      <c r="A1520" t="s">
        <v>123</v>
      </c>
      <c r="B1520" t="s">
        <v>12</v>
      </c>
      <c r="C1520">
        <v>27.92</v>
      </c>
      <c r="D1520" t="s">
        <v>26</v>
      </c>
      <c r="E1520" t="s">
        <v>14</v>
      </c>
      <c r="F1520" t="s">
        <v>15</v>
      </c>
      <c r="G1520" t="s">
        <v>239</v>
      </c>
      <c r="H1520" t="s">
        <v>17</v>
      </c>
      <c r="I1520" t="s">
        <v>46</v>
      </c>
      <c r="J1520" t="s">
        <v>259</v>
      </c>
      <c r="K1520" s="1">
        <v>0.3576033564814815</v>
      </c>
      <c r="L1520">
        <f>YEAR(Coffe_sales[[#This Row],[Date]])</f>
        <v>2024</v>
      </c>
    </row>
    <row r="1521" spans="1:12" x14ac:dyDescent="0.2">
      <c r="A1521" t="s">
        <v>46</v>
      </c>
      <c r="B1521" t="s">
        <v>12</v>
      </c>
      <c r="C1521">
        <v>27.92</v>
      </c>
      <c r="D1521" t="s">
        <v>26</v>
      </c>
      <c r="E1521" t="s">
        <v>14</v>
      </c>
      <c r="F1521" t="s">
        <v>15</v>
      </c>
      <c r="G1521" t="s">
        <v>239</v>
      </c>
      <c r="H1521" t="s">
        <v>17</v>
      </c>
      <c r="I1521" t="s">
        <v>46</v>
      </c>
      <c r="J1521" t="s">
        <v>259</v>
      </c>
      <c r="K1521" s="1">
        <v>0.40712268518518518</v>
      </c>
      <c r="L1521">
        <f>YEAR(Coffe_sales[[#This Row],[Date]])</f>
        <v>2024</v>
      </c>
    </row>
    <row r="1522" spans="1:12" x14ac:dyDescent="0.2">
      <c r="A1522" t="s">
        <v>23</v>
      </c>
      <c r="B1522" t="s">
        <v>12</v>
      </c>
      <c r="C1522">
        <v>27.92</v>
      </c>
      <c r="D1522" t="s">
        <v>26</v>
      </c>
      <c r="E1522" t="s">
        <v>22</v>
      </c>
      <c r="F1522" t="s">
        <v>15</v>
      </c>
      <c r="G1522" t="s">
        <v>239</v>
      </c>
      <c r="H1522" t="s">
        <v>17</v>
      </c>
      <c r="I1522" t="s">
        <v>46</v>
      </c>
      <c r="J1522" t="s">
        <v>259</v>
      </c>
      <c r="K1522" s="1">
        <v>0.56939195601851855</v>
      </c>
      <c r="L1522">
        <f>YEAR(Coffe_sales[[#This Row],[Date]])</f>
        <v>2024</v>
      </c>
    </row>
    <row r="1523" spans="1:12" x14ac:dyDescent="0.2">
      <c r="A1523" t="s">
        <v>27</v>
      </c>
      <c r="B1523" t="s">
        <v>12</v>
      </c>
      <c r="C1523">
        <v>32.82</v>
      </c>
      <c r="D1523" t="s">
        <v>13</v>
      </c>
      <c r="E1523" t="s">
        <v>22</v>
      </c>
      <c r="F1523" t="s">
        <v>15</v>
      </c>
      <c r="G1523" t="s">
        <v>239</v>
      </c>
      <c r="H1523" t="s">
        <v>17</v>
      </c>
      <c r="I1523" t="s">
        <v>46</v>
      </c>
      <c r="J1523" t="s">
        <v>259</v>
      </c>
      <c r="K1523" s="1">
        <v>0.66909271990740737</v>
      </c>
      <c r="L1523">
        <f>YEAR(Coffe_sales[[#This Row],[Date]])</f>
        <v>2024</v>
      </c>
    </row>
    <row r="1524" spans="1:12" x14ac:dyDescent="0.2">
      <c r="A1524" t="s">
        <v>91</v>
      </c>
      <c r="B1524" t="s">
        <v>12</v>
      </c>
      <c r="C1524">
        <v>23.02</v>
      </c>
      <c r="D1524" t="s">
        <v>24</v>
      </c>
      <c r="E1524" t="s">
        <v>29</v>
      </c>
      <c r="F1524" t="s">
        <v>15</v>
      </c>
      <c r="G1524" t="s">
        <v>239</v>
      </c>
      <c r="H1524" t="s">
        <v>17</v>
      </c>
      <c r="I1524" t="s">
        <v>46</v>
      </c>
      <c r="J1524" t="s">
        <v>259</v>
      </c>
      <c r="K1524" s="1">
        <v>0.86068436342592591</v>
      </c>
      <c r="L1524">
        <f>YEAR(Coffe_sales[[#This Row],[Date]])</f>
        <v>2024</v>
      </c>
    </row>
    <row r="1525" spans="1:12" x14ac:dyDescent="0.2">
      <c r="A1525" t="s">
        <v>131</v>
      </c>
      <c r="B1525" t="s">
        <v>12</v>
      </c>
      <c r="C1525">
        <v>27.92</v>
      </c>
      <c r="D1525" t="s">
        <v>26</v>
      </c>
      <c r="E1525" t="s">
        <v>29</v>
      </c>
      <c r="F1525" t="s">
        <v>15</v>
      </c>
      <c r="G1525" t="s">
        <v>239</v>
      </c>
      <c r="H1525" t="s">
        <v>17</v>
      </c>
      <c r="I1525" t="s">
        <v>46</v>
      </c>
      <c r="J1525" t="s">
        <v>259</v>
      </c>
      <c r="K1525" s="1">
        <v>0.89695115740740738</v>
      </c>
      <c r="L1525">
        <f>YEAR(Coffe_sales[[#This Row],[Date]])</f>
        <v>2024</v>
      </c>
    </row>
    <row r="1526" spans="1:12" x14ac:dyDescent="0.2">
      <c r="A1526" t="s">
        <v>131</v>
      </c>
      <c r="B1526" t="s">
        <v>12</v>
      </c>
      <c r="C1526">
        <v>27.92</v>
      </c>
      <c r="D1526" t="s">
        <v>26</v>
      </c>
      <c r="E1526" t="s">
        <v>29</v>
      </c>
      <c r="F1526" t="s">
        <v>15</v>
      </c>
      <c r="G1526" t="s">
        <v>239</v>
      </c>
      <c r="H1526" t="s">
        <v>17</v>
      </c>
      <c r="I1526" t="s">
        <v>46</v>
      </c>
      <c r="J1526" t="s">
        <v>259</v>
      </c>
      <c r="K1526" s="1">
        <v>0.89772019675925929</v>
      </c>
      <c r="L1526">
        <f>YEAR(Coffe_sales[[#This Row],[Date]])</f>
        <v>2024</v>
      </c>
    </row>
    <row r="1527" spans="1:12" x14ac:dyDescent="0.2">
      <c r="A1527" t="s">
        <v>35</v>
      </c>
      <c r="B1527" t="s">
        <v>12</v>
      </c>
      <c r="C1527">
        <v>32.82</v>
      </c>
      <c r="D1527" t="s">
        <v>13</v>
      </c>
      <c r="E1527" t="s">
        <v>14</v>
      </c>
      <c r="F1527" t="s">
        <v>32</v>
      </c>
      <c r="G1527" t="s">
        <v>239</v>
      </c>
      <c r="H1527" t="s">
        <v>33</v>
      </c>
      <c r="I1527" t="s">
        <v>46</v>
      </c>
      <c r="J1527" t="s">
        <v>260</v>
      </c>
      <c r="K1527" s="1">
        <v>0.45920078703703704</v>
      </c>
      <c r="L1527">
        <f>YEAR(Coffe_sales[[#This Row],[Date]])</f>
        <v>2024</v>
      </c>
    </row>
    <row r="1528" spans="1:12" x14ac:dyDescent="0.2">
      <c r="A1528" t="s">
        <v>35</v>
      </c>
      <c r="B1528" t="s">
        <v>12</v>
      </c>
      <c r="C1528">
        <v>32.82</v>
      </c>
      <c r="D1528" t="s">
        <v>31</v>
      </c>
      <c r="E1528" t="s">
        <v>14</v>
      </c>
      <c r="F1528" t="s">
        <v>32</v>
      </c>
      <c r="G1528" t="s">
        <v>239</v>
      </c>
      <c r="H1528" t="s">
        <v>33</v>
      </c>
      <c r="I1528" t="s">
        <v>46</v>
      </c>
      <c r="J1528" t="s">
        <v>260</v>
      </c>
      <c r="K1528" s="1">
        <v>0.45988196759259259</v>
      </c>
      <c r="L1528">
        <f>YEAR(Coffe_sales[[#This Row],[Date]])</f>
        <v>2024</v>
      </c>
    </row>
    <row r="1529" spans="1:12" x14ac:dyDescent="0.2">
      <c r="A1529" t="s">
        <v>35</v>
      </c>
      <c r="B1529" t="s">
        <v>12</v>
      </c>
      <c r="C1529">
        <v>23.02</v>
      </c>
      <c r="D1529" t="s">
        <v>41</v>
      </c>
      <c r="E1529" t="s">
        <v>14</v>
      </c>
      <c r="F1529" t="s">
        <v>32</v>
      </c>
      <c r="G1529" t="s">
        <v>239</v>
      </c>
      <c r="H1529" t="s">
        <v>33</v>
      </c>
      <c r="I1529" t="s">
        <v>46</v>
      </c>
      <c r="J1529" t="s">
        <v>260</v>
      </c>
      <c r="K1529" s="1">
        <v>0.48457457175925928</v>
      </c>
      <c r="L1529">
        <f>YEAR(Coffe_sales[[#This Row],[Date]])</f>
        <v>2024</v>
      </c>
    </row>
    <row r="1530" spans="1:12" x14ac:dyDescent="0.2">
      <c r="A1530" t="s">
        <v>35</v>
      </c>
      <c r="B1530" t="s">
        <v>12</v>
      </c>
      <c r="C1530">
        <v>23.02</v>
      </c>
      <c r="D1530" t="s">
        <v>41</v>
      </c>
      <c r="E1530" t="s">
        <v>14</v>
      </c>
      <c r="F1530" t="s">
        <v>32</v>
      </c>
      <c r="G1530" t="s">
        <v>239</v>
      </c>
      <c r="H1530" t="s">
        <v>33</v>
      </c>
      <c r="I1530" t="s">
        <v>46</v>
      </c>
      <c r="J1530" t="s">
        <v>260</v>
      </c>
      <c r="K1530" s="1">
        <v>0.48524302083333332</v>
      </c>
      <c r="L1530">
        <f>YEAR(Coffe_sales[[#This Row],[Date]])</f>
        <v>2024</v>
      </c>
    </row>
    <row r="1531" spans="1:12" x14ac:dyDescent="0.2">
      <c r="A1531" t="s">
        <v>25</v>
      </c>
      <c r="B1531" t="s">
        <v>12</v>
      </c>
      <c r="C1531">
        <v>32.82</v>
      </c>
      <c r="D1531" t="s">
        <v>52</v>
      </c>
      <c r="E1531" t="s">
        <v>22</v>
      </c>
      <c r="F1531" t="s">
        <v>32</v>
      </c>
      <c r="G1531" t="s">
        <v>239</v>
      </c>
      <c r="H1531" t="s">
        <v>33</v>
      </c>
      <c r="I1531" t="s">
        <v>46</v>
      </c>
      <c r="J1531" t="s">
        <v>260</v>
      </c>
      <c r="K1531" s="1">
        <v>0.63205287037037039</v>
      </c>
      <c r="L1531">
        <f>YEAR(Coffe_sales[[#This Row],[Date]])</f>
        <v>2024</v>
      </c>
    </row>
    <row r="1532" spans="1:12" x14ac:dyDescent="0.2">
      <c r="A1532" t="s">
        <v>25</v>
      </c>
      <c r="B1532" t="s">
        <v>12</v>
      </c>
      <c r="C1532">
        <v>32.82</v>
      </c>
      <c r="D1532" t="s">
        <v>13</v>
      </c>
      <c r="E1532" t="s">
        <v>22</v>
      </c>
      <c r="F1532" t="s">
        <v>32</v>
      </c>
      <c r="G1532" t="s">
        <v>239</v>
      </c>
      <c r="H1532" t="s">
        <v>33</v>
      </c>
      <c r="I1532" t="s">
        <v>46</v>
      </c>
      <c r="J1532" t="s">
        <v>260</v>
      </c>
      <c r="K1532" s="1">
        <v>0.65015751157407409</v>
      </c>
      <c r="L1532">
        <f>YEAR(Coffe_sales[[#This Row],[Date]])</f>
        <v>2024</v>
      </c>
    </row>
    <row r="1533" spans="1:12" x14ac:dyDescent="0.2">
      <c r="A1533" t="s">
        <v>28</v>
      </c>
      <c r="B1533" t="s">
        <v>12</v>
      </c>
      <c r="C1533">
        <v>32.82</v>
      </c>
      <c r="D1533" t="s">
        <v>13</v>
      </c>
      <c r="E1533" t="s">
        <v>29</v>
      </c>
      <c r="F1533" t="s">
        <v>32</v>
      </c>
      <c r="G1533" t="s">
        <v>239</v>
      </c>
      <c r="H1533" t="s">
        <v>33</v>
      </c>
      <c r="I1533" t="s">
        <v>46</v>
      </c>
      <c r="J1533" t="s">
        <v>260</v>
      </c>
      <c r="K1533" s="1">
        <v>0.76144329861111115</v>
      </c>
      <c r="L1533">
        <f>YEAR(Coffe_sales[[#This Row],[Date]])</f>
        <v>2024</v>
      </c>
    </row>
    <row r="1534" spans="1:12" x14ac:dyDescent="0.2">
      <c r="A1534" t="s">
        <v>28</v>
      </c>
      <c r="B1534" t="s">
        <v>12</v>
      </c>
      <c r="C1534">
        <v>32.82</v>
      </c>
      <c r="D1534" t="s">
        <v>13</v>
      </c>
      <c r="E1534" t="s">
        <v>29</v>
      </c>
      <c r="F1534" t="s">
        <v>32</v>
      </c>
      <c r="G1534" t="s">
        <v>239</v>
      </c>
      <c r="H1534" t="s">
        <v>33</v>
      </c>
      <c r="I1534" t="s">
        <v>46</v>
      </c>
      <c r="J1534" t="s">
        <v>260</v>
      </c>
      <c r="K1534" s="1">
        <v>0.76216071759259263</v>
      </c>
      <c r="L1534">
        <f>YEAR(Coffe_sales[[#This Row],[Date]])</f>
        <v>2024</v>
      </c>
    </row>
    <row r="1535" spans="1:12" x14ac:dyDescent="0.2">
      <c r="A1535" t="s">
        <v>91</v>
      </c>
      <c r="B1535" t="s">
        <v>12</v>
      </c>
      <c r="C1535">
        <v>23.02</v>
      </c>
      <c r="D1535" t="s">
        <v>24</v>
      </c>
      <c r="E1535" t="s">
        <v>29</v>
      </c>
      <c r="F1535" t="s">
        <v>32</v>
      </c>
      <c r="G1535" t="s">
        <v>239</v>
      </c>
      <c r="H1535" t="s">
        <v>33</v>
      </c>
      <c r="I1535" t="s">
        <v>46</v>
      </c>
      <c r="J1535" t="s">
        <v>260</v>
      </c>
      <c r="K1535" s="1">
        <v>0.85396920138888888</v>
      </c>
      <c r="L1535">
        <f>YEAR(Coffe_sales[[#This Row],[Date]])</f>
        <v>2024</v>
      </c>
    </row>
    <row r="1536" spans="1:12" x14ac:dyDescent="0.2">
      <c r="A1536" t="s">
        <v>91</v>
      </c>
      <c r="B1536" t="s">
        <v>12</v>
      </c>
      <c r="C1536">
        <v>23.02</v>
      </c>
      <c r="D1536" t="s">
        <v>24</v>
      </c>
      <c r="E1536" t="s">
        <v>29</v>
      </c>
      <c r="F1536" t="s">
        <v>32</v>
      </c>
      <c r="G1536" t="s">
        <v>239</v>
      </c>
      <c r="H1536" t="s">
        <v>33</v>
      </c>
      <c r="I1536" t="s">
        <v>46</v>
      </c>
      <c r="J1536" t="s">
        <v>260</v>
      </c>
      <c r="K1536" s="1">
        <v>0.85461668981481487</v>
      </c>
      <c r="L1536">
        <f>YEAR(Coffe_sales[[#This Row],[Date]])</f>
        <v>2024</v>
      </c>
    </row>
    <row r="1537" spans="1:12" x14ac:dyDescent="0.2">
      <c r="A1537" t="s">
        <v>91</v>
      </c>
      <c r="B1537" t="s">
        <v>12</v>
      </c>
      <c r="C1537">
        <v>32.82</v>
      </c>
      <c r="D1537" t="s">
        <v>13</v>
      </c>
      <c r="E1537" t="s">
        <v>29</v>
      </c>
      <c r="F1537" t="s">
        <v>32</v>
      </c>
      <c r="G1537" t="s">
        <v>239</v>
      </c>
      <c r="H1537" t="s">
        <v>33</v>
      </c>
      <c r="I1537" t="s">
        <v>46</v>
      </c>
      <c r="J1537" t="s">
        <v>260</v>
      </c>
      <c r="K1537" s="1">
        <v>0.85692332175925923</v>
      </c>
      <c r="L1537">
        <f>YEAR(Coffe_sales[[#This Row],[Date]])</f>
        <v>2024</v>
      </c>
    </row>
    <row r="1538" spans="1:12" x14ac:dyDescent="0.2">
      <c r="A1538" t="s">
        <v>91</v>
      </c>
      <c r="B1538" t="s">
        <v>12</v>
      </c>
      <c r="C1538">
        <v>32.82</v>
      </c>
      <c r="D1538" t="s">
        <v>13</v>
      </c>
      <c r="E1538" t="s">
        <v>29</v>
      </c>
      <c r="F1538" t="s">
        <v>32</v>
      </c>
      <c r="G1538" t="s">
        <v>239</v>
      </c>
      <c r="H1538" t="s">
        <v>33</v>
      </c>
      <c r="I1538" t="s">
        <v>46</v>
      </c>
      <c r="J1538" t="s">
        <v>260</v>
      </c>
      <c r="K1538" s="1">
        <v>0.85798806712962961</v>
      </c>
      <c r="L1538">
        <f>YEAR(Coffe_sales[[#This Row],[Date]])</f>
        <v>2024</v>
      </c>
    </row>
    <row r="1539" spans="1:12" x14ac:dyDescent="0.2">
      <c r="A1539" t="s">
        <v>125</v>
      </c>
      <c r="B1539" t="s">
        <v>12</v>
      </c>
      <c r="C1539">
        <v>27.92</v>
      </c>
      <c r="D1539" t="s">
        <v>26</v>
      </c>
      <c r="E1539" t="s">
        <v>29</v>
      </c>
      <c r="F1539" t="s">
        <v>32</v>
      </c>
      <c r="G1539" t="s">
        <v>239</v>
      </c>
      <c r="H1539" t="s">
        <v>33</v>
      </c>
      <c r="I1539" t="s">
        <v>46</v>
      </c>
      <c r="J1539" t="s">
        <v>260</v>
      </c>
      <c r="K1539" s="1">
        <v>0.92970009259259256</v>
      </c>
      <c r="L1539">
        <f>YEAR(Coffe_sales[[#This Row],[Date]])</f>
        <v>2024</v>
      </c>
    </row>
    <row r="1540" spans="1:12" x14ac:dyDescent="0.2">
      <c r="A1540" t="s">
        <v>125</v>
      </c>
      <c r="B1540" t="s">
        <v>12</v>
      </c>
      <c r="C1540">
        <v>23.02</v>
      </c>
      <c r="D1540" t="s">
        <v>24</v>
      </c>
      <c r="E1540" t="s">
        <v>29</v>
      </c>
      <c r="F1540" t="s">
        <v>32</v>
      </c>
      <c r="G1540" t="s">
        <v>239</v>
      </c>
      <c r="H1540" t="s">
        <v>33</v>
      </c>
      <c r="I1540" t="s">
        <v>46</v>
      </c>
      <c r="J1540" t="s">
        <v>260</v>
      </c>
      <c r="K1540" s="1">
        <v>0.93044129629629635</v>
      </c>
      <c r="L1540">
        <f>YEAR(Coffe_sales[[#This Row],[Date]])</f>
        <v>2024</v>
      </c>
    </row>
    <row r="1541" spans="1:12" x14ac:dyDescent="0.2">
      <c r="A1541" t="s">
        <v>125</v>
      </c>
      <c r="B1541" t="s">
        <v>12</v>
      </c>
      <c r="C1541">
        <v>23.02</v>
      </c>
      <c r="D1541" t="s">
        <v>24</v>
      </c>
      <c r="E1541" t="s">
        <v>29</v>
      </c>
      <c r="F1541" t="s">
        <v>32</v>
      </c>
      <c r="G1541" t="s">
        <v>239</v>
      </c>
      <c r="H1541" t="s">
        <v>33</v>
      </c>
      <c r="I1541" t="s">
        <v>46</v>
      </c>
      <c r="J1541" t="s">
        <v>260</v>
      </c>
      <c r="K1541" s="1">
        <v>0.93111527777777781</v>
      </c>
      <c r="L1541">
        <f>YEAR(Coffe_sales[[#This Row],[Date]])</f>
        <v>2024</v>
      </c>
    </row>
    <row r="1542" spans="1:12" x14ac:dyDescent="0.2">
      <c r="A1542" t="s">
        <v>123</v>
      </c>
      <c r="B1542" t="s">
        <v>12</v>
      </c>
      <c r="C1542">
        <v>23.02</v>
      </c>
      <c r="D1542" t="s">
        <v>24</v>
      </c>
      <c r="E1542" t="s">
        <v>14</v>
      </c>
      <c r="F1542" t="s">
        <v>38</v>
      </c>
      <c r="G1542" t="s">
        <v>239</v>
      </c>
      <c r="H1542" t="s">
        <v>39</v>
      </c>
      <c r="I1542" t="s">
        <v>46</v>
      </c>
      <c r="J1542" t="s">
        <v>261</v>
      </c>
      <c r="K1542" s="1">
        <v>0.35618254629629631</v>
      </c>
      <c r="L1542">
        <f>YEAR(Coffe_sales[[#This Row],[Date]])</f>
        <v>2024</v>
      </c>
    </row>
    <row r="1543" spans="1:12" x14ac:dyDescent="0.2">
      <c r="A1543" t="s">
        <v>11</v>
      </c>
      <c r="B1543" t="s">
        <v>12</v>
      </c>
      <c r="C1543">
        <v>27.92</v>
      </c>
      <c r="D1543" t="s">
        <v>26</v>
      </c>
      <c r="E1543" t="s">
        <v>14</v>
      </c>
      <c r="F1543" t="s">
        <v>38</v>
      </c>
      <c r="G1543" t="s">
        <v>239</v>
      </c>
      <c r="H1543" t="s">
        <v>39</v>
      </c>
      <c r="I1543" t="s">
        <v>46</v>
      </c>
      <c r="J1543" t="s">
        <v>261</v>
      </c>
      <c r="K1543" s="1">
        <v>0.42511300925925927</v>
      </c>
      <c r="L1543">
        <f>YEAR(Coffe_sales[[#This Row],[Date]])</f>
        <v>2024</v>
      </c>
    </row>
    <row r="1544" spans="1:12" x14ac:dyDescent="0.2">
      <c r="A1544" t="s">
        <v>11</v>
      </c>
      <c r="B1544" t="s">
        <v>12</v>
      </c>
      <c r="C1544">
        <v>32.82</v>
      </c>
      <c r="D1544" t="s">
        <v>13</v>
      </c>
      <c r="E1544" t="s">
        <v>14</v>
      </c>
      <c r="F1544" t="s">
        <v>38</v>
      </c>
      <c r="G1544" t="s">
        <v>239</v>
      </c>
      <c r="H1544" t="s">
        <v>39</v>
      </c>
      <c r="I1544" t="s">
        <v>46</v>
      </c>
      <c r="J1544" t="s">
        <v>261</v>
      </c>
      <c r="K1544" s="1">
        <v>0.42579381944444444</v>
      </c>
      <c r="L1544">
        <f>YEAR(Coffe_sales[[#This Row],[Date]])</f>
        <v>2024</v>
      </c>
    </row>
    <row r="1545" spans="1:12" x14ac:dyDescent="0.2">
      <c r="A1545" t="s">
        <v>35</v>
      </c>
      <c r="B1545" t="s">
        <v>12</v>
      </c>
      <c r="C1545">
        <v>23.02</v>
      </c>
      <c r="D1545" t="s">
        <v>41</v>
      </c>
      <c r="E1545" t="s">
        <v>14</v>
      </c>
      <c r="F1545" t="s">
        <v>38</v>
      </c>
      <c r="G1545" t="s">
        <v>239</v>
      </c>
      <c r="H1545" t="s">
        <v>39</v>
      </c>
      <c r="I1545" t="s">
        <v>46</v>
      </c>
      <c r="J1545" t="s">
        <v>261</v>
      </c>
      <c r="K1545" s="1">
        <v>0.46280447916666667</v>
      </c>
      <c r="L1545">
        <f>YEAR(Coffe_sales[[#This Row],[Date]])</f>
        <v>2024</v>
      </c>
    </row>
    <row r="1546" spans="1:12" x14ac:dyDescent="0.2">
      <c r="A1546" t="s">
        <v>35</v>
      </c>
      <c r="B1546" t="s">
        <v>12</v>
      </c>
      <c r="C1546">
        <v>23.02</v>
      </c>
      <c r="D1546" t="s">
        <v>41</v>
      </c>
      <c r="E1546" t="s">
        <v>14</v>
      </c>
      <c r="F1546" t="s">
        <v>38</v>
      </c>
      <c r="G1546" t="s">
        <v>239</v>
      </c>
      <c r="H1546" t="s">
        <v>39</v>
      </c>
      <c r="I1546" t="s">
        <v>46</v>
      </c>
      <c r="J1546" t="s">
        <v>261</v>
      </c>
      <c r="K1546" s="1">
        <v>0.46361550925925926</v>
      </c>
      <c r="L1546">
        <f>YEAR(Coffe_sales[[#This Row],[Date]])</f>
        <v>2024</v>
      </c>
    </row>
    <row r="1547" spans="1:12" x14ac:dyDescent="0.2">
      <c r="A1547" t="s">
        <v>35</v>
      </c>
      <c r="B1547" t="s">
        <v>12</v>
      </c>
      <c r="C1547">
        <v>27.92</v>
      </c>
      <c r="D1547" t="s">
        <v>26</v>
      </c>
      <c r="E1547" t="s">
        <v>14</v>
      </c>
      <c r="F1547" t="s">
        <v>38</v>
      </c>
      <c r="G1547" t="s">
        <v>239</v>
      </c>
      <c r="H1547" t="s">
        <v>39</v>
      </c>
      <c r="I1547" t="s">
        <v>46</v>
      </c>
      <c r="J1547" t="s">
        <v>261</v>
      </c>
      <c r="K1547" s="1">
        <v>0.49444314814814816</v>
      </c>
      <c r="L1547">
        <f>YEAR(Coffe_sales[[#This Row],[Date]])</f>
        <v>2024</v>
      </c>
    </row>
    <row r="1548" spans="1:12" x14ac:dyDescent="0.2">
      <c r="A1548" t="s">
        <v>35</v>
      </c>
      <c r="B1548" t="s">
        <v>12</v>
      </c>
      <c r="C1548">
        <v>23.02</v>
      </c>
      <c r="D1548" t="s">
        <v>24</v>
      </c>
      <c r="E1548" t="s">
        <v>14</v>
      </c>
      <c r="F1548" t="s">
        <v>38</v>
      </c>
      <c r="G1548" t="s">
        <v>239</v>
      </c>
      <c r="H1548" t="s">
        <v>39</v>
      </c>
      <c r="I1548" t="s">
        <v>46</v>
      </c>
      <c r="J1548" t="s">
        <v>261</v>
      </c>
      <c r="K1548" s="1">
        <v>0.49667734953703702</v>
      </c>
      <c r="L1548">
        <f>YEAR(Coffe_sales[[#This Row],[Date]])</f>
        <v>2024</v>
      </c>
    </row>
    <row r="1549" spans="1:12" x14ac:dyDescent="0.2">
      <c r="A1549" t="s">
        <v>20</v>
      </c>
      <c r="B1549" t="s">
        <v>12</v>
      </c>
      <c r="C1549">
        <v>27.92</v>
      </c>
      <c r="D1549" t="s">
        <v>26</v>
      </c>
      <c r="E1549" t="s">
        <v>22</v>
      </c>
      <c r="F1549" t="s">
        <v>38</v>
      </c>
      <c r="G1549" t="s">
        <v>239</v>
      </c>
      <c r="H1549" t="s">
        <v>39</v>
      </c>
      <c r="I1549" t="s">
        <v>46</v>
      </c>
      <c r="J1549" t="s">
        <v>261</v>
      </c>
      <c r="K1549" s="1">
        <v>0.50510146990740745</v>
      </c>
      <c r="L1549">
        <f>YEAR(Coffe_sales[[#This Row],[Date]])</f>
        <v>2024</v>
      </c>
    </row>
    <row r="1550" spans="1:12" x14ac:dyDescent="0.2">
      <c r="A1550" t="s">
        <v>23</v>
      </c>
      <c r="B1550" t="s">
        <v>12</v>
      </c>
      <c r="C1550">
        <v>27.92</v>
      </c>
      <c r="D1550" t="s">
        <v>26</v>
      </c>
      <c r="E1550" t="s">
        <v>22</v>
      </c>
      <c r="F1550" t="s">
        <v>38</v>
      </c>
      <c r="G1550" t="s">
        <v>239</v>
      </c>
      <c r="H1550" t="s">
        <v>39</v>
      </c>
      <c r="I1550" t="s">
        <v>46</v>
      </c>
      <c r="J1550" t="s">
        <v>261</v>
      </c>
      <c r="K1550" s="1">
        <v>0.56128082175925931</v>
      </c>
      <c r="L1550">
        <f>YEAR(Coffe_sales[[#This Row],[Date]])</f>
        <v>2024</v>
      </c>
    </row>
    <row r="1551" spans="1:12" x14ac:dyDescent="0.2">
      <c r="A1551" t="s">
        <v>23</v>
      </c>
      <c r="B1551" t="s">
        <v>12</v>
      </c>
      <c r="C1551">
        <v>27.92</v>
      </c>
      <c r="D1551" t="s">
        <v>26</v>
      </c>
      <c r="E1551" t="s">
        <v>22</v>
      </c>
      <c r="F1551" t="s">
        <v>38</v>
      </c>
      <c r="G1551" t="s">
        <v>239</v>
      </c>
      <c r="H1551" t="s">
        <v>39</v>
      </c>
      <c r="I1551" t="s">
        <v>46</v>
      </c>
      <c r="J1551" t="s">
        <v>261</v>
      </c>
      <c r="K1551" s="1">
        <v>0.56222126157407404</v>
      </c>
      <c r="L1551">
        <f>YEAR(Coffe_sales[[#This Row],[Date]])</f>
        <v>2024</v>
      </c>
    </row>
    <row r="1552" spans="1:12" x14ac:dyDescent="0.2">
      <c r="A1552" t="s">
        <v>23</v>
      </c>
      <c r="B1552" t="s">
        <v>12</v>
      </c>
      <c r="C1552">
        <v>27.92</v>
      </c>
      <c r="D1552" t="s">
        <v>26</v>
      </c>
      <c r="E1552" t="s">
        <v>22</v>
      </c>
      <c r="F1552" t="s">
        <v>38</v>
      </c>
      <c r="G1552" t="s">
        <v>239</v>
      </c>
      <c r="H1552" t="s">
        <v>39</v>
      </c>
      <c r="I1552" t="s">
        <v>46</v>
      </c>
      <c r="J1552" t="s">
        <v>261</v>
      </c>
      <c r="K1552" s="1">
        <v>0.56498334490740743</v>
      </c>
      <c r="L1552">
        <f>YEAR(Coffe_sales[[#This Row],[Date]])</f>
        <v>2024</v>
      </c>
    </row>
    <row r="1553" spans="1:12" x14ac:dyDescent="0.2">
      <c r="A1553" t="s">
        <v>25</v>
      </c>
      <c r="B1553" t="s">
        <v>12</v>
      </c>
      <c r="C1553">
        <v>32.82</v>
      </c>
      <c r="D1553" t="s">
        <v>13</v>
      </c>
      <c r="E1553" t="s">
        <v>22</v>
      </c>
      <c r="F1553" t="s">
        <v>38</v>
      </c>
      <c r="G1553" t="s">
        <v>239</v>
      </c>
      <c r="H1553" t="s">
        <v>39</v>
      </c>
      <c r="I1553" t="s">
        <v>46</v>
      </c>
      <c r="J1553" t="s">
        <v>261</v>
      </c>
      <c r="K1553" s="1">
        <v>0.64872799768518519</v>
      </c>
      <c r="L1553">
        <f>YEAR(Coffe_sales[[#This Row],[Date]])</f>
        <v>2024</v>
      </c>
    </row>
    <row r="1554" spans="1:12" x14ac:dyDescent="0.2">
      <c r="A1554" t="s">
        <v>25</v>
      </c>
      <c r="B1554" t="s">
        <v>12</v>
      </c>
      <c r="C1554">
        <v>27.92</v>
      </c>
      <c r="D1554" t="s">
        <v>26</v>
      </c>
      <c r="E1554" t="s">
        <v>22</v>
      </c>
      <c r="F1554" t="s">
        <v>38</v>
      </c>
      <c r="G1554" t="s">
        <v>239</v>
      </c>
      <c r="H1554" t="s">
        <v>39</v>
      </c>
      <c r="I1554" t="s">
        <v>46</v>
      </c>
      <c r="J1554" t="s">
        <v>261</v>
      </c>
      <c r="K1554" s="1">
        <v>0.64958604166666667</v>
      </c>
      <c r="L1554">
        <f>YEAR(Coffe_sales[[#This Row],[Date]])</f>
        <v>2024</v>
      </c>
    </row>
    <row r="1555" spans="1:12" x14ac:dyDescent="0.2">
      <c r="A1555" t="s">
        <v>27</v>
      </c>
      <c r="B1555" t="s">
        <v>12</v>
      </c>
      <c r="C1555">
        <v>32.82</v>
      </c>
      <c r="D1555" t="s">
        <v>31</v>
      </c>
      <c r="E1555" t="s">
        <v>22</v>
      </c>
      <c r="F1555" t="s">
        <v>38</v>
      </c>
      <c r="G1555" t="s">
        <v>239</v>
      </c>
      <c r="H1555" t="s">
        <v>39</v>
      </c>
      <c r="I1555" t="s">
        <v>46</v>
      </c>
      <c r="J1555" t="s">
        <v>261</v>
      </c>
      <c r="K1555" s="1">
        <v>0.68406791666666666</v>
      </c>
      <c r="L1555">
        <f>YEAR(Coffe_sales[[#This Row],[Date]])</f>
        <v>2024</v>
      </c>
    </row>
    <row r="1556" spans="1:12" x14ac:dyDescent="0.2">
      <c r="A1556" t="s">
        <v>91</v>
      </c>
      <c r="B1556" t="s">
        <v>12</v>
      </c>
      <c r="C1556">
        <v>32.82</v>
      </c>
      <c r="D1556" t="s">
        <v>13</v>
      </c>
      <c r="E1556" t="s">
        <v>29</v>
      </c>
      <c r="F1556" t="s">
        <v>38</v>
      </c>
      <c r="G1556" t="s">
        <v>239</v>
      </c>
      <c r="H1556" t="s">
        <v>39</v>
      </c>
      <c r="I1556" t="s">
        <v>46</v>
      </c>
      <c r="J1556" t="s">
        <v>261</v>
      </c>
      <c r="K1556" s="1">
        <v>0.8466444675925926</v>
      </c>
      <c r="L1556">
        <f>YEAR(Coffe_sales[[#This Row],[Date]])</f>
        <v>2024</v>
      </c>
    </row>
    <row r="1557" spans="1:12" x14ac:dyDescent="0.2">
      <c r="A1557" t="s">
        <v>91</v>
      </c>
      <c r="B1557" t="s">
        <v>12</v>
      </c>
      <c r="C1557">
        <v>32.82</v>
      </c>
      <c r="D1557" t="s">
        <v>52</v>
      </c>
      <c r="E1557" t="s">
        <v>29</v>
      </c>
      <c r="F1557" t="s">
        <v>38</v>
      </c>
      <c r="G1557" t="s">
        <v>239</v>
      </c>
      <c r="H1557" t="s">
        <v>39</v>
      </c>
      <c r="I1557" t="s">
        <v>46</v>
      </c>
      <c r="J1557" t="s">
        <v>261</v>
      </c>
      <c r="K1557" s="1">
        <v>0.84763413194444448</v>
      </c>
      <c r="L1557">
        <f>YEAR(Coffe_sales[[#This Row],[Date]])</f>
        <v>2024</v>
      </c>
    </row>
    <row r="1558" spans="1:12" x14ac:dyDescent="0.2">
      <c r="A1558" t="s">
        <v>91</v>
      </c>
      <c r="B1558" t="s">
        <v>12</v>
      </c>
      <c r="C1558">
        <v>27.92</v>
      </c>
      <c r="D1558" t="s">
        <v>26</v>
      </c>
      <c r="E1558" t="s">
        <v>29</v>
      </c>
      <c r="F1558" t="s">
        <v>38</v>
      </c>
      <c r="G1558" t="s">
        <v>239</v>
      </c>
      <c r="H1558" t="s">
        <v>39</v>
      </c>
      <c r="I1558" t="s">
        <v>46</v>
      </c>
      <c r="J1558" t="s">
        <v>261</v>
      </c>
      <c r="K1558" s="1">
        <v>0.86558111111111113</v>
      </c>
      <c r="L1558">
        <f>YEAR(Coffe_sales[[#This Row],[Date]])</f>
        <v>2024</v>
      </c>
    </row>
    <row r="1559" spans="1:12" x14ac:dyDescent="0.2">
      <c r="A1559" t="s">
        <v>91</v>
      </c>
      <c r="B1559" t="s">
        <v>12</v>
      </c>
      <c r="C1559">
        <v>27.92</v>
      </c>
      <c r="D1559" t="s">
        <v>26</v>
      </c>
      <c r="E1559" t="s">
        <v>29</v>
      </c>
      <c r="F1559" t="s">
        <v>38</v>
      </c>
      <c r="G1559" t="s">
        <v>239</v>
      </c>
      <c r="H1559" t="s">
        <v>39</v>
      </c>
      <c r="I1559" t="s">
        <v>46</v>
      </c>
      <c r="J1559" t="s">
        <v>261</v>
      </c>
      <c r="K1559" s="1">
        <v>0.86637842592592595</v>
      </c>
      <c r="L1559">
        <f>YEAR(Coffe_sales[[#This Row],[Date]])</f>
        <v>2024</v>
      </c>
    </row>
    <row r="1560" spans="1:12" x14ac:dyDescent="0.2">
      <c r="A1560" t="s">
        <v>131</v>
      </c>
      <c r="B1560" t="s">
        <v>12</v>
      </c>
      <c r="C1560">
        <v>27.92</v>
      </c>
      <c r="D1560" t="s">
        <v>26</v>
      </c>
      <c r="E1560" t="s">
        <v>29</v>
      </c>
      <c r="F1560" t="s">
        <v>38</v>
      </c>
      <c r="G1560" t="s">
        <v>239</v>
      </c>
      <c r="H1560" t="s">
        <v>39</v>
      </c>
      <c r="I1560" t="s">
        <v>46</v>
      </c>
      <c r="J1560" t="s">
        <v>261</v>
      </c>
      <c r="K1560" s="1">
        <v>0.87991659722222226</v>
      </c>
      <c r="L1560">
        <f>YEAR(Coffe_sales[[#This Row],[Date]])</f>
        <v>2024</v>
      </c>
    </row>
    <row r="1561" spans="1:12" x14ac:dyDescent="0.2">
      <c r="A1561" t="s">
        <v>131</v>
      </c>
      <c r="B1561" t="s">
        <v>12</v>
      </c>
      <c r="C1561">
        <v>27.92</v>
      </c>
      <c r="D1561" t="s">
        <v>26</v>
      </c>
      <c r="E1561" t="s">
        <v>29</v>
      </c>
      <c r="F1561" t="s">
        <v>38</v>
      </c>
      <c r="G1561" t="s">
        <v>239</v>
      </c>
      <c r="H1561" t="s">
        <v>39</v>
      </c>
      <c r="I1561" t="s">
        <v>46</v>
      </c>
      <c r="J1561" t="s">
        <v>261</v>
      </c>
      <c r="K1561" s="1">
        <v>0.88072682870370367</v>
      </c>
      <c r="L1561">
        <f>YEAR(Coffe_sales[[#This Row],[Date]])</f>
        <v>2024</v>
      </c>
    </row>
    <row r="1562" spans="1:12" x14ac:dyDescent="0.2">
      <c r="A1562" t="s">
        <v>131</v>
      </c>
      <c r="B1562" t="s">
        <v>12</v>
      </c>
      <c r="C1562">
        <v>32.82</v>
      </c>
      <c r="D1562" t="s">
        <v>21</v>
      </c>
      <c r="E1562" t="s">
        <v>29</v>
      </c>
      <c r="F1562" t="s">
        <v>38</v>
      </c>
      <c r="G1562" t="s">
        <v>239</v>
      </c>
      <c r="H1562" t="s">
        <v>39</v>
      </c>
      <c r="I1562" t="s">
        <v>46</v>
      </c>
      <c r="J1562" t="s">
        <v>261</v>
      </c>
      <c r="K1562" s="1">
        <v>0.91254743055555554</v>
      </c>
      <c r="L1562">
        <f>YEAR(Coffe_sales[[#This Row],[Date]])</f>
        <v>2024</v>
      </c>
    </row>
    <row r="1563" spans="1:12" x14ac:dyDescent="0.2">
      <c r="A1563" t="s">
        <v>131</v>
      </c>
      <c r="B1563" t="s">
        <v>12</v>
      </c>
      <c r="C1563">
        <v>32.82</v>
      </c>
      <c r="D1563" t="s">
        <v>21</v>
      </c>
      <c r="E1563" t="s">
        <v>29</v>
      </c>
      <c r="F1563" t="s">
        <v>38</v>
      </c>
      <c r="G1563" t="s">
        <v>239</v>
      </c>
      <c r="H1563" t="s">
        <v>39</v>
      </c>
      <c r="I1563" t="s">
        <v>46</v>
      </c>
      <c r="J1563" t="s">
        <v>261</v>
      </c>
      <c r="K1563" s="1">
        <v>0.91313075231481478</v>
      </c>
      <c r="L1563">
        <f>YEAR(Coffe_sales[[#This Row],[Date]])</f>
        <v>2024</v>
      </c>
    </row>
    <row r="1564" spans="1:12" x14ac:dyDescent="0.2">
      <c r="A1564" t="s">
        <v>125</v>
      </c>
      <c r="B1564" t="s">
        <v>12</v>
      </c>
      <c r="C1564">
        <v>23.02</v>
      </c>
      <c r="D1564" t="s">
        <v>24</v>
      </c>
      <c r="E1564" t="s">
        <v>29</v>
      </c>
      <c r="F1564" t="s">
        <v>38</v>
      </c>
      <c r="G1564" t="s">
        <v>239</v>
      </c>
      <c r="H1564" t="s">
        <v>39</v>
      </c>
      <c r="I1564" t="s">
        <v>46</v>
      </c>
      <c r="J1564" t="s">
        <v>261</v>
      </c>
      <c r="K1564" s="1">
        <v>0.94238870370370376</v>
      </c>
      <c r="L1564">
        <f>YEAR(Coffe_sales[[#This Row],[Date]])</f>
        <v>2024</v>
      </c>
    </row>
    <row r="1565" spans="1:12" x14ac:dyDescent="0.2">
      <c r="A1565" t="s">
        <v>125</v>
      </c>
      <c r="B1565" t="s">
        <v>12</v>
      </c>
      <c r="C1565">
        <v>27.92</v>
      </c>
      <c r="D1565" t="s">
        <v>26</v>
      </c>
      <c r="E1565" t="s">
        <v>29</v>
      </c>
      <c r="F1565" t="s">
        <v>38</v>
      </c>
      <c r="G1565" t="s">
        <v>239</v>
      </c>
      <c r="H1565" t="s">
        <v>39</v>
      </c>
      <c r="I1565" t="s">
        <v>46</v>
      </c>
      <c r="J1565" t="s">
        <v>261</v>
      </c>
      <c r="K1565" s="1">
        <v>0.94303710648148154</v>
      </c>
      <c r="L1565">
        <f>YEAR(Coffe_sales[[#This Row],[Date]])</f>
        <v>2024</v>
      </c>
    </row>
    <row r="1566" spans="1:12" x14ac:dyDescent="0.2">
      <c r="A1566" t="s">
        <v>46</v>
      </c>
      <c r="B1566" t="s">
        <v>12</v>
      </c>
      <c r="C1566">
        <v>27.92</v>
      </c>
      <c r="D1566" t="s">
        <v>26</v>
      </c>
      <c r="E1566" t="s">
        <v>14</v>
      </c>
      <c r="F1566" t="s">
        <v>42</v>
      </c>
      <c r="G1566" t="s">
        <v>239</v>
      </c>
      <c r="H1566" t="s">
        <v>43</v>
      </c>
      <c r="I1566" t="s">
        <v>46</v>
      </c>
      <c r="J1566" t="s">
        <v>262</v>
      </c>
      <c r="K1566" s="1">
        <v>0.37751104166666666</v>
      </c>
      <c r="L1566">
        <f>YEAR(Coffe_sales[[#This Row],[Date]])</f>
        <v>2024</v>
      </c>
    </row>
    <row r="1567" spans="1:12" x14ac:dyDescent="0.2">
      <c r="A1567" t="s">
        <v>11</v>
      </c>
      <c r="B1567" t="s">
        <v>12</v>
      </c>
      <c r="C1567">
        <v>23.02</v>
      </c>
      <c r="D1567" t="s">
        <v>41</v>
      </c>
      <c r="E1567" t="s">
        <v>14</v>
      </c>
      <c r="F1567" t="s">
        <v>42</v>
      </c>
      <c r="G1567" t="s">
        <v>239</v>
      </c>
      <c r="H1567" t="s">
        <v>43</v>
      </c>
      <c r="I1567" t="s">
        <v>46</v>
      </c>
      <c r="J1567" t="s">
        <v>262</v>
      </c>
      <c r="K1567" s="1">
        <v>0.41964430555555554</v>
      </c>
      <c r="L1567">
        <f>YEAR(Coffe_sales[[#This Row],[Date]])</f>
        <v>2024</v>
      </c>
    </row>
    <row r="1568" spans="1:12" x14ac:dyDescent="0.2">
      <c r="A1568" t="s">
        <v>20</v>
      </c>
      <c r="B1568" t="s">
        <v>12</v>
      </c>
      <c r="C1568">
        <v>23.02</v>
      </c>
      <c r="D1568" t="s">
        <v>24</v>
      </c>
      <c r="E1568" t="s">
        <v>22</v>
      </c>
      <c r="F1568" t="s">
        <v>42</v>
      </c>
      <c r="G1568" t="s">
        <v>239</v>
      </c>
      <c r="H1568" t="s">
        <v>43</v>
      </c>
      <c r="I1568" t="s">
        <v>46</v>
      </c>
      <c r="J1568" t="s">
        <v>262</v>
      </c>
      <c r="K1568" s="1">
        <v>0.50768925925925923</v>
      </c>
      <c r="L1568">
        <f>YEAR(Coffe_sales[[#This Row],[Date]])</f>
        <v>2024</v>
      </c>
    </row>
    <row r="1569" spans="1:12" x14ac:dyDescent="0.2">
      <c r="A1569" t="s">
        <v>36</v>
      </c>
      <c r="B1569" t="s">
        <v>12</v>
      </c>
      <c r="C1569">
        <v>27.92</v>
      </c>
      <c r="D1569" t="s">
        <v>26</v>
      </c>
      <c r="E1569" t="s">
        <v>22</v>
      </c>
      <c r="F1569" t="s">
        <v>42</v>
      </c>
      <c r="G1569" t="s">
        <v>239</v>
      </c>
      <c r="H1569" t="s">
        <v>43</v>
      </c>
      <c r="I1569" t="s">
        <v>46</v>
      </c>
      <c r="J1569" t="s">
        <v>262</v>
      </c>
      <c r="K1569" s="1">
        <v>0.58949011574074073</v>
      </c>
      <c r="L1569">
        <f>YEAR(Coffe_sales[[#This Row],[Date]])</f>
        <v>2024</v>
      </c>
    </row>
    <row r="1570" spans="1:12" x14ac:dyDescent="0.2">
      <c r="A1570" t="s">
        <v>37</v>
      </c>
      <c r="B1570" t="s">
        <v>12</v>
      </c>
      <c r="C1570">
        <v>32.82</v>
      </c>
      <c r="D1570" t="s">
        <v>52</v>
      </c>
      <c r="E1570" t="s">
        <v>29</v>
      </c>
      <c r="F1570" t="s">
        <v>42</v>
      </c>
      <c r="G1570" t="s">
        <v>239</v>
      </c>
      <c r="H1570" t="s">
        <v>43</v>
      </c>
      <c r="I1570" t="s">
        <v>46</v>
      </c>
      <c r="J1570" t="s">
        <v>262</v>
      </c>
      <c r="K1570" s="1">
        <v>0.72763415509259255</v>
      </c>
      <c r="L1570">
        <f>YEAR(Coffe_sales[[#This Row],[Date]])</f>
        <v>2024</v>
      </c>
    </row>
    <row r="1571" spans="1:12" x14ac:dyDescent="0.2">
      <c r="A1571" t="s">
        <v>28</v>
      </c>
      <c r="B1571" t="s">
        <v>12</v>
      </c>
      <c r="C1571">
        <v>23.02</v>
      </c>
      <c r="D1571" t="s">
        <v>24</v>
      </c>
      <c r="E1571" t="s">
        <v>29</v>
      </c>
      <c r="F1571" t="s">
        <v>42</v>
      </c>
      <c r="G1571" t="s">
        <v>239</v>
      </c>
      <c r="H1571" t="s">
        <v>43</v>
      </c>
      <c r="I1571" t="s">
        <v>46</v>
      </c>
      <c r="J1571" t="s">
        <v>262</v>
      </c>
      <c r="K1571" s="1">
        <v>0.78368560185185188</v>
      </c>
      <c r="L1571">
        <f>YEAR(Coffe_sales[[#This Row],[Date]])</f>
        <v>2024</v>
      </c>
    </row>
    <row r="1572" spans="1:12" x14ac:dyDescent="0.2">
      <c r="A1572" t="s">
        <v>30</v>
      </c>
      <c r="B1572" t="s">
        <v>12</v>
      </c>
      <c r="C1572">
        <v>32.82</v>
      </c>
      <c r="D1572" t="s">
        <v>13</v>
      </c>
      <c r="E1572" t="s">
        <v>29</v>
      </c>
      <c r="F1572" t="s">
        <v>42</v>
      </c>
      <c r="G1572" t="s">
        <v>239</v>
      </c>
      <c r="H1572" t="s">
        <v>43</v>
      </c>
      <c r="I1572" t="s">
        <v>46</v>
      </c>
      <c r="J1572" t="s">
        <v>262</v>
      </c>
      <c r="K1572" s="1">
        <v>0.82455960648148152</v>
      </c>
      <c r="L1572">
        <f>YEAR(Coffe_sales[[#This Row],[Date]])</f>
        <v>2024</v>
      </c>
    </row>
    <row r="1573" spans="1:12" x14ac:dyDescent="0.2">
      <c r="A1573" t="s">
        <v>91</v>
      </c>
      <c r="B1573" t="s">
        <v>12</v>
      </c>
      <c r="C1573">
        <v>32.82</v>
      </c>
      <c r="D1573" t="s">
        <v>52</v>
      </c>
      <c r="E1573" t="s">
        <v>29</v>
      </c>
      <c r="F1573" t="s">
        <v>42</v>
      </c>
      <c r="G1573" t="s">
        <v>239</v>
      </c>
      <c r="H1573" t="s">
        <v>43</v>
      </c>
      <c r="I1573" t="s">
        <v>46</v>
      </c>
      <c r="J1573" t="s">
        <v>262</v>
      </c>
      <c r="K1573" s="1">
        <v>0.84011420138888893</v>
      </c>
      <c r="L1573">
        <f>YEAR(Coffe_sales[[#This Row],[Date]])</f>
        <v>2024</v>
      </c>
    </row>
    <row r="1574" spans="1:12" x14ac:dyDescent="0.2">
      <c r="A1574" t="s">
        <v>125</v>
      </c>
      <c r="B1574" t="s">
        <v>12</v>
      </c>
      <c r="C1574">
        <v>27.92</v>
      </c>
      <c r="D1574" t="s">
        <v>26</v>
      </c>
      <c r="E1574" t="s">
        <v>29</v>
      </c>
      <c r="F1574" t="s">
        <v>42</v>
      </c>
      <c r="G1574" t="s">
        <v>239</v>
      </c>
      <c r="H1574" t="s">
        <v>43</v>
      </c>
      <c r="I1574" t="s">
        <v>46</v>
      </c>
      <c r="J1574" t="s">
        <v>262</v>
      </c>
      <c r="K1574" s="1">
        <v>0.92604760416666665</v>
      </c>
      <c r="L1574">
        <f>YEAR(Coffe_sales[[#This Row],[Date]])</f>
        <v>2024</v>
      </c>
    </row>
    <row r="1575" spans="1:12" x14ac:dyDescent="0.2">
      <c r="A1575" t="s">
        <v>125</v>
      </c>
      <c r="B1575" t="s">
        <v>12</v>
      </c>
      <c r="C1575">
        <v>27.92</v>
      </c>
      <c r="D1575" t="s">
        <v>26</v>
      </c>
      <c r="E1575" t="s">
        <v>29</v>
      </c>
      <c r="F1575" t="s">
        <v>42</v>
      </c>
      <c r="G1575" t="s">
        <v>239</v>
      </c>
      <c r="H1575" t="s">
        <v>43</v>
      </c>
      <c r="I1575" t="s">
        <v>46</v>
      </c>
      <c r="J1575" t="s">
        <v>262</v>
      </c>
      <c r="K1575" s="1">
        <v>0.92725645833333337</v>
      </c>
      <c r="L1575">
        <f>YEAR(Coffe_sales[[#This Row],[Date]])</f>
        <v>2024</v>
      </c>
    </row>
    <row r="1576" spans="1:12" x14ac:dyDescent="0.2">
      <c r="A1576" t="s">
        <v>123</v>
      </c>
      <c r="B1576" t="s">
        <v>12</v>
      </c>
      <c r="C1576">
        <v>27.92</v>
      </c>
      <c r="D1576" t="s">
        <v>26</v>
      </c>
      <c r="E1576" t="s">
        <v>14</v>
      </c>
      <c r="F1576" t="s">
        <v>47</v>
      </c>
      <c r="G1576" t="s">
        <v>239</v>
      </c>
      <c r="H1576" t="s">
        <v>48</v>
      </c>
      <c r="I1576" t="s">
        <v>46</v>
      </c>
      <c r="J1576" t="s">
        <v>263</v>
      </c>
      <c r="K1576" s="1">
        <v>0.35662746527777778</v>
      </c>
      <c r="L1576">
        <f>YEAR(Coffe_sales[[#This Row],[Date]])</f>
        <v>2024</v>
      </c>
    </row>
    <row r="1577" spans="1:12" x14ac:dyDescent="0.2">
      <c r="A1577" t="s">
        <v>20</v>
      </c>
      <c r="B1577" t="s">
        <v>12</v>
      </c>
      <c r="C1577">
        <v>32.82</v>
      </c>
      <c r="D1577" t="s">
        <v>13</v>
      </c>
      <c r="E1577" t="s">
        <v>22</v>
      </c>
      <c r="F1577" t="s">
        <v>47</v>
      </c>
      <c r="G1577" t="s">
        <v>239</v>
      </c>
      <c r="H1577" t="s">
        <v>48</v>
      </c>
      <c r="I1577" t="s">
        <v>46</v>
      </c>
      <c r="J1577" t="s">
        <v>263</v>
      </c>
      <c r="K1577" s="1">
        <v>0.51663151620370373</v>
      </c>
      <c r="L1577">
        <f>YEAR(Coffe_sales[[#This Row],[Date]])</f>
        <v>2024</v>
      </c>
    </row>
    <row r="1578" spans="1:12" x14ac:dyDescent="0.2">
      <c r="A1578" t="s">
        <v>20</v>
      </c>
      <c r="B1578" t="s">
        <v>12</v>
      </c>
      <c r="C1578">
        <v>32.82</v>
      </c>
      <c r="D1578" t="s">
        <v>13</v>
      </c>
      <c r="E1578" t="s">
        <v>22</v>
      </c>
      <c r="F1578" t="s">
        <v>47</v>
      </c>
      <c r="G1578" t="s">
        <v>239</v>
      </c>
      <c r="H1578" t="s">
        <v>48</v>
      </c>
      <c r="I1578" t="s">
        <v>46</v>
      </c>
      <c r="J1578" t="s">
        <v>263</v>
      </c>
      <c r="K1578" s="1">
        <v>0.51730034722222218</v>
      </c>
      <c r="L1578">
        <f>YEAR(Coffe_sales[[#This Row],[Date]])</f>
        <v>2024</v>
      </c>
    </row>
    <row r="1579" spans="1:12" x14ac:dyDescent="0.2">
      <c r="A1579" t="s">
        <v>20</v>
      </c>
      <c r="B1579" t="s">
        <v>12</v>
      </c>
      <c r="C1579">
        <v>32.82</v>
      </c>
      <c r="D1579" t="s">
        <v>13</v>
      </c>
      <c r="E1579" t="s">
        <v>22</v>
      </c>
      <c r="F1579" t="s">
        <v>47</v>
      </c>
      <c r="G1579" t="s">
        <v>239</v>
      </c>
      <c r="H1579" t="s">
        <v>48</v>
      </c>
      <c r="I1579" t="s">
        <v>46</v>
      </c>
      <c r="J1579" t="s">
        <v>263</v>
      </c>
      <c r="K1579" s="1">
        <v>0.53245836805555558</v>
      </c>
      <c r="L1579">
        <f>YEAR(Coffe_sales[[#This Row],[Date]])</f>
        <v>2024</v>
      </c>
    </row>
    <row r="1580" spans="1:12" x14ac:dyDescent="0.2">
      <c r="A1580" t="s">
        <v>20</v>
      </c>
      <c r="B1580" t="s">
        <v>12</v>
      </c>
      <c r="C1580">
        <v>32.82</v>
      </c>
      <c r="D1580" t="s">
        <v>13</v>
      </c>
      <c r="E1580" t="s">
        <v>22</v>
      </c>
      <c r="F1580" t="s">
        <v>47</v>
      </c>
      <c r="G1580" t="s">
        <v>239</v>
      </c>
      <c r="H1580" t="s">
        <v>48</v>
      </c>
      <c r="I1580" t="s">
        <v>46</v>
      </c>
      <c r="J1580" t="s">
        <v>263</v>
      </c>
      <c r="K1580" s="1">
        <v>0.53321092592592589</v>
      </c>
      <c r="L1580">
        <f>YEAR(Coffe_sales[[#This Row],[Date]])</f>
        <v>2024</v>
      </c>
    </row>
    <row r="1581" spans="1:12" x14ac:dyDescent="0.2">
      <c r="A1581" t="s">
        <v>36</v>
      </c>
      <c r="B1581" t="s">
        <v>12</v>
      </c>
      <c r="C1581">
        <v>32.82</v>
      </c>
      <c r="D1581" t="s">
        <v>13</v>
      </c>
      <c r="E1581" t="s">
        <v>22</v>
      </c>
      <c r="F1581" t="s">
        <v>47</v>
      </c>
      <c r="G1581" t="s">
        <v>239</v>
      </c>
      <c r="H1581" t="s">
        <v>48</v>
      </c>
      <c r="I1581" t="s">
        <v>46</v>
      </c>
      <c r="J1581" t="s">
        <v>263</v>
      </c>
      <c r="K1581" s="1">
        <v>0.5914275347222222</v>
      </c>
      <c r="L1581">
        <f>YEAR(Coffe_sales[[#This Row],[Date]])</f>
        <v>2024</v>
      </c>
    </row>
    <row r="1582" spans="1:12" x14ac:dyDescent="0.2">
      <c r="A1582" t="s">
        <v>36</v>
      </c>
      <c r="B1582" t="s">
        <v>12</v>
      </c>
      <c r="C1582">
        <v>23.02</v>
      </c>
      <c r="D1582" t="s">
        <v>41</v>
      </c>
      <c r="E1582" t="s">
        <v>22</v>
      </c>
      <c r="F1582" t="s">
        <v>47</v>
      </c>
      <c r="G1582" t="s">
        <v>239</v>
      </c>
      <c r="H1582" t="s">
        <v>48</v>
      </c>
      <c r="I1582" t="s">
        <v>46</v>
      </c>
      <c r="J1582" t="s">
        <v>263</v>
      </c>
      <c r="K1582" s="1">
        <v>0.60519376157407412</v>
      </c>
      <c r="L1582">
        <f>YEAR(Coffe_sales[[#This Row],[Date]])</f>
        <v>2024</v>
      </c>
    </row>
    <row r="1583" spans="1:12" x14ac:dyDescent="0.2">
      <c r="A1583" t="s">
        <v>25</v>
      </c>
      <c r="B1583" t="s">
        <v>12</v>
      </c>
      <c r="C1583">
        <v>32.82</v>
      </c>
      <c r="D1583" t="s">
        <v>52</v>
      </c>
      <c r="E1583" t="s">
        <v>22</v>
      </c>
      <c r="F1583" t="s">
        <v>47</v>
      </c>
      <c r="G1583" t="s">
        <v>239</v>
      </c>
      <c r="H1583" t="s">
        <v>48</v>
      </c>
      <c r="I1583" t="s">
        <v>46</v>
      </c>
      <c r="J1583" t="s">
        <v>263</v>
      </c>
      <c r="K1583" s="1">
        <v>0.65096872685185181</v>
      </c>
      <c r="L1583">
        <f>YEAR(Coffe_sales[[#This Row],[Date]])</f>
        <v>2024</v>
      </c>
    </row>
    <row r="1584" spans="1:12" x14ac:dyDescent="0.2">
      <c r="A1584" t="s">
        <v>27</v>
      </c>
      <c r="B1584" t="s">
        <v>12</v>
      </c>
      <c r="C1584">
        <v>32.82</v>
      </c>
      <c r="D1584" t="s">
        <v>13</v>
      </c>
      <c r="E1584" t="s">
        <v>22</v>
      </c>
      <c r="F1584" t="s">
        <v>47</v>
      </c>
      <c r="G1584" t="s">
        <v>239</v>
      </c>
      <c r="H1584" t="s">
        <v>48</v>
      </c>
      <c r="I1584" t="s">
        <v>46</v>
      </c>
      <c r="J1584" t="s">
        <v>263</v>
      </c>
      <c r="K1584" s="1">
        <v>0.69361453703703702</v>
      </c>
      <c r="L1584">
        <f>YEAR(Coffe_sales[[#This Row],[Date]])</f>
        <v>2024</v>
      </c>
    </row>
    <row r="1585" spans="1:12" x14ac:dyDescent="0.2">
      <c r="A1585" t="s">
        <v>28</v>
      </c>
      <c r="B1585" t="s">
        <v>12</v>
      </c>
      <c r="C1585">
        <v>23.02</v>
      </c>
      <c r="D1585" t="s">
        <v>24</v>
      </c>
      <c r="E1585" t="s">
        <v>29</v>
      </c>
      <c r="F1585" t="s">
        <v>47</v>
      </c>
      <c r="G1585" t="s">
        <v>239</v>
      </c>
      <c r="H1585" t="s">
        <v>48</v>
      </c>
      <c r="I1585" t="s">
        <v>46</v>
      </c>
      <c r="J1585" t="s">
        <v>263</v>
      </c>
      <c r="K1585" s="1">
        <v>0.77989508101851857</v>
      </c>
      <c r="L1585">
        <f>YEAR(Coffe_sales[[#This Row],[Date]])</f>
        <v>2024</v>
      </c>
    </row>
    <row r="1586" spans="1:12" x14ac:dyDescent="0.2">
      <c r="A1586" t="s">
        <v>28</v>
      </c>
      <c r="B1586" t="s">
        <v>12</v>
      </c>
      <c r="C1586">
        <v>23.02</v>
      </c>
      <c r="D1586" t="s">
        <v>24</v>
      </c>
      <c r="E1586" t="s">
        <v>29</v>
      </c>
      <c r="F1586" t="s">
        <v>47</v>
      </c>
      <c r="G1586" t="s">
        <v>239</v>
      </c>
      <c r="H1586" t="s">
        <v>48</v>
      </c>
      <c r="I1586" t="s">
        <v>46</v>
      </c>
      <c r="J1586" t="s">
        <v>263</v>
      </c>
      <c r="K1586" s="1">
        <v>0.78048706018518521</v>
      </c>
      <c r="L1586">
        <f>YEAR(Coffe_sales[[#This Row],[Date]])</f>
        <v>2024</v>
      </c>
    </row>
    <row r="1587" spans="1:12" x14ac:dyDescent="0.2">
      <c r="A1587" t="s">
        <v>91</v>
      </c>
      <c r="B1587" t="s">
        <v>12</v>
      </c>
      <c r="C1587">
        <v>32.82</v>
      </c>
      <c r="D1587" t="s">
        <v>21</v>
      </c>
      <c r="E1587" t="s">
        <v>29</v>
      </c>
      <c r="F1587" t="s">
        <v>47</v>
      </c>
      <c r="G1587" t="s">
        <v>239</v>
      </c>
      <c r="H1587" t="s">
        <v>48</v>
      </c>
      <c r="I1587" t="s">
        <v>46</v>
      </c>
      <c r="J1587" t="s">
        <v>263</v>
      </c>
      <c r="K1587" s="1">
        <v>0.84433328703703703</v>
      </c>
      <c r="L1587">
        <f>YEAR(Coffe_sales[[#This Row],[Date]])</f>
        <v>2024</v>
      </c>
    </row>
    <row r="1588" spans="1:12" x14ac:dyDescent="0.2">
      <c r="A1588" t="s">
        <v>131</v>
      </c>
      <c r="B1588" t="s">
        <v>12</v>
      </c>
      <c r="C1588">
        <v>32.82</v>
      </c>
      <c r="D1588" t="s">
        <v>13</v>
      </c>
      <c r="E1588" t="s">
        <v>29</v>
      </c>
      <c r="F1588" t="s">
        <v>47</v>
      </c>
      <c r="G1588" t="s">
        <v>239</v>
      </c>
      <c r="H1588" t="s">
        <v>48</v>
      </c>
      <c r="I1588" t="s">
        <v>46</v>
      </c>
      <c r="J1588" t="s">
        <v>263</v>
      </c>
      <c r="K1588" s="1">
        <v>0.87863645833333337</v>
      </c>
      <c r="L1588">
        <f>YEAR(Coffe_sales[[#This Row],[Date]])</f>
        <v>2024</v>
      </c>
    </row>
    <row r="1589" spans="1:12" x14ac:dyDescent="0.2">
      <c r="A1589" t="s">
        <v>131</v>
      </c>
      <c r="B1589" t="s">
        <v>12</v>
      </c>
      <c r="C1589">
        <v>27.92</v>
      </c>
      <c r="D1589" t="s">
        <v>26</v>
      </c>
      <c r="E1589" t="s">
        <v>29</v>
      </c>
      <c r="F1589" t="s">
        <v>47</v>
      </c>
      <c r="G1589" t="s">
        <v>239</v>
      </c>
      <c r="H1589" t="s">
        <v>48</v>
      </c>
      <c r="I1589" t="s">
        <v>46</v>
      </c>
      <c r="J1589" t="s">
        <v>263</v>
      </c>
      <c r="K1589" s="1">
        <v>0.87954168981481484</v>
      </c>
      <c r="L1589">
        <f>YEAR(Coffe_sales[[#This Row],[Date]])</f>
        <v>2024</v>
      </c>
    </row>
    <row r="1590" spans="1:12" x14ac:dyDescent="0.2">
      <c r="A1590" t="s">
        <v>131</v>
      </c>
      <c r="B1590" t="s">
        <v>12</v>
      </c>
      <c r="C1590">
        <v>27.92</v>
      </c>
      <c r="D1590" t="s">
        <v>26</v>
      </c>
      <c r="E1590" t="s">
        <v>29</v>
      </c>
      <c r="F1590" t="s">
        <v>47</v>
      </c>
      <c r="G1590" t="s">
        <v>239</v>
      </c>
      <c r="H1590" t="s">
        <v>48</v>
      </c>
      <c r="I1590" t="s">
        <v>46</v>
      </c>
      <c r="J1590" t="s">
        <v>263</v>
      </c>
      <c r="K1590" s="1">
        <v>0.88026579861111109</v>
      </c>
      <c r="L1590">
        <f>YEAR(Coffe_sales[[#This Row],[Date]])</f>
        <v>2024</v>
      </c>
    </row>
    <row r="1591" spans="1:12" x14ac:dyDescent="0.2">
      <c r="A1591" t="s">
        <v>39</v>
      </c>
      <c r="B1591" t="s">
        <v>12</v>
      </c>
      <c r="C1591">
        <v>32.82</v>
      </c>
      <c r="D1591" t="s">
        <v>52</v>
      </c>
      <c r="E1591" t="s">
        <v>14</v>
      </c>
      <c r="F1591" t="s">
        <v>50</v>
      </c>
      <c r="G1591" t="s">
        <v>239</v>
      </c>
      <c r="H1591" t="s">
        <v>18</v>
      </c>
      <c r="I1591" t="s">
        <v>46</v>
      </c>
      <c r="J1591" t="s">
        <v>264</v>
      </c>
      <c r="K1591" s="1">
        <v>0.32732754629629629</v>
      </c>
      <c r="L1591">
        <f>YEAR(Coffe_sales[[#This Row],[Date]])</f>
        <v>2024</v>
      </c>
    </row>
    <row r="1592" spans="1:12" x14ac:dyDescent="0.2">
      <c r="A1592" t="s">
        <v>35</v>
      </c>
      <c r="B1592" t="s">
        <v>12</v>
      </c>
      <c r="C1592">
        <v>23.02</v>
      </c>
      <c r="D1592" t="s">
        <v>41</v>
      </c>
      <c r="E1592" t="s">
        <v>14</v>
      </c>
      <c r="F1592" t="s">
        <v>50</v>
      </c>
      <c r="G1592" t="s">
        <v>239</v>
      </c>
      <c r="H1592" t="s">
        <v>18</v>
      </c>
      <c r="I1592" t="s">
        <v>46</v>
      </c>
      <c r="J1592" t="s">
        <v>264</v>
      </c>
      <c r="K1592" s="1">
        <v>0.48301542824074073</v>
      </c>
      <c r="L1592">
        <f>YEAR(Coffe_sales[[#This Row],[Date]])</f>
        <v>2024</v>
      </c>
    </row>
    <row r="1593" spans="1:12" x14ac:dyDescent="0.2">
      <c r="A1593" t="s">
        <v>35</v>
      </c>
      <c r="B1593" t="s">
        <v>12</v>
      </c>
      <c r="C1593">
        <v>27.92</v>
      </c>
      <c r="D1593" t="s">
        <v>26</v>
      </c>
      <c r="E1593" t="s">
        <v>14</v>
      </c>
      <c r="F1593" t="s">
        <v>50</v>
      </c>
      <c r="G1593" t="s">
        <v>239</v>
      </c>
      <c r="H1593" t="s">
        <v>18</v>
      </c>
      <c r="I1593" t="s">
        <v>46</v>
      </c>
      <c r="J1593" t="s">
        <v>264</v>
      </c>
      <c r="K1593" s="1">
        <v>0.49392606481481482</v>
      </c>
      <c r="L1593">
        <f>YEAR(Coffe_sales[[#This Row],[Date]])</f>
        <v>2024</v>
      </c>
    </row>
    <row r="1594" spans="1:12" x14ac:dyDescent="0.2">
      <c r="A1594" t="s">
        <v>35</v>
      </c>
      <c r="B1594" t="s">
        <v>12</v>
      </c>
      <c r="C1594">
        <v>32.82</v>
      </c>
      <c r="D1594" t="s">
        <v>13</v>
      </c>
      <c r="E1594" t="s">
        <v>14</v>
      </c>
      <c r="F1594" t="s">
        <v>50</v>
      </c>
      <c r="G1594" t="s">
        <v>239</v>
      </c>
      <c r="H1594" t="s">
        <v>18</v>
      </c>
      <c r="I1594" t="s">
        <v>46</v>
      </c>
      <c r="J1594" t="s">
        <v>264</v>
      </c>
      <c r="K1594" s="1">
        <v>0.49506216435185185</v>
      </c>
      <c r="L1594">
        <f>YEAR(Coffe_sales[[#This Row],[Date]])</f>
        <v>2024</v>
      </c>
    </row>
    <row r="1595" spans="1:12" x14ac:dyDescent="0.2">
      <c r="A1595" t="s">
        <v>23</v>
      </c>
      <c r="B1595" t="s">
        <v>12</v>
      </c>
      <c r="C1595">
        <v>27.92</v>
      </c>
      <c r="D1595" t="s">
        <v>26</v>
      </c>
      <c r="E1595" t="s">
        <v>22</v>
      </c>
      <c r="F1595" t="s">
        <v>50</v>
      </c>
      <c r="G1595" t="s">
        <v>239</v>
      </c>
      <c r="H1595" t="s">
        <v>18</v>
      </c>
      <c r="I1595" t="s">
        <v>46</v>
      </c>
      <c r="J1595" t="s">
        <v>264</v>
      </c>
      <c r="K1595" s="1">
        <v>0.57976219907407411</v>
      </c>
      <c r="L1595">
        <f>YEAR(Coffe_sales[[#This Row],[Date]])</f>
        <v>2024</v>
      </c>
    </row>
    <row r="1596" spans="1:12" x14ac:dyDescent="0.2">
      <c r="A1596" t="s">
        <v>23</v>
      </c>
      <c r="B1596" t="s">
        <v>12</v>
      </c>
      <c r="C1596">
        <v>27.92</v>
      </c>
      <c r="D1596" t="s">
        <v>26</v>
      </c>
      <c r="E1596" t="s">
        <v>22</v>
      </c>
      <c r="F1596" t="s">
        <v>50</v>
      </c>
      <c r="G1596" t="s">
        <v>239</v>
      </c>
      <c r="H1596" t="s">
        <v>18</v>
      </c>
      <c r="I1596" t="s">
        <v>46</v>
      </c>
      <c r="J1596" t="s">
        <v>264</v>
      </c>
      <c r="K1596" s="1">
        <v>0.58054696759259261</v>
      </c>
      <c r="L1596">
        <f>YEAR(Coffe_sales[[#This Row],[Date]])</f>
        <v>2024</v>
      </c>
    </row>
    <row r="1597" spans="1:12" x14ac:dyDescent="0.2">
      <c r="A1597" t="s">
        <v>37</v>
      </c>
      <c r="B1597" t="s">
        <v>12</v>
      </c>
      <c r="C1597">
        <v>27.92</v>
      </c>
      <c r="D1597" t="s">
        <v>26</v>
      </c>
      <c r="E1597" t="s">
        <v>29</v>
      </c>
      <c r="F1597" t="s">
        <v>50</v>
      </c>
      <c r="G1597" t="s">
        <v>239</v>
      </c>
      <c r="H1597" t="s">
        <v>18</v>
      </c>
      <c r="I1597" t="s">
        <v>46</v>
      </c>
      <c r="J1597" t="s">
        <v>264</v>
      </c>
      <c r="K1597" s="1">
        <v>0.73376368055555552</v>
      </c>
      <c r="L1597">
        <f>YEAR(Coffe_sales[[#This Row],[Date]])</f>
        <v>2024</v>
      </c>
    </row>
    <row r="1598" spans="1:12" x14ac:dyDescent="0.2">
      <c r="A1598" t="s">
        <v>37</v>
      </c>
      <c r="B1598" t="s">
        <v>12</v>
      </c>
      <c r="C1598">
        <v>27.92</v>
      </c>
      <c r="D1598" t="s">
        <v>26</v>
      </c>
      <c r="E1598" t="s">
        <v>29</v>
      </c>
      <c r="F1598" t="s">
        <v>50</v>
      </c>
      <c r="G1598" t="s">
        <v>239</v>
      </c>
      <c r="H1598" t="s">
        <v>18</v>
      </c>
      <c r="I1598" t="s">
        <v>46</v>
      </c>
      <c r="J1598" t="s">
        <v>264</v>
      </c>
      <c r="K1598" s="1">
        <v>0.73439629629629632</v>
      </c>
      <c r="L1598">
        <f>YEAR(Coffe_sales[[#This Row],[Date]])</f>
        <v>2024</v>
      </c>
    </row>
    <row r="1599" spans="1:12" x14ac:dyDescent="0.2">
      <c r="A1599" t="s">
        <v>131</v>
      </c>
      <c r="B1599" t="s">
        <v>12</v>
      </c>
      <c r="C1599">
        <v>23.02</v>
      </c>
      <c r="D1599" t="s">
        <v>24</v>
      </c>
      <c r="E1599" t="s">
        <v>29</v>
      </c>
      <c r="F1599" t="s">
        <v>50</v>
      </c>
      <c r="G1599" t="s">
        <v>239</v>
      </c>
      <c r="H1599" t="s">
        <v>18</v>
      </c>
      <c r="I1599" t="s">
        <v>46</v>
      </c>
      <c r="J1599" t="s">
        <v>264</v>
      </c>
      <c r="K1599" s="1">
        <v>0.89908899305555556</v>
      </c>
      <c r="L1599">
        <f>YEAR(Coffe_sales[[#This Row],[Date]])</f>
        <v>2024</v>
      </c>
    </row>
    <row r="1600" spans="1:12" x14ac:dyDescent="0.2">
      <c r="A1600" t="s">
        <v>125</v>
      </c>
      <c r="B1600" t="s">
        <v>12</v>
      </c>
      <c r="C1600">
        <v>27.92</v>
      </c>
      <c r="D1600" t="s">
        <v>26</v>
      </c>
      <c r="E1600" t="s">
        <v>29</v>
      </c>
      <c r="F1600" t="s">
        <v>50</v>
      </c>
      <c r="G1600" t="s">
        <v>239</v>
      </c>
      <c r="H1600" t="s">
        <v>18</v>
      </c>
      <c r="I1600" t="s">
        <v>46</v>
      </c>
      <c r="J1600" t="s">
        <v>264</v>
      </c>
      <c r="K1600" s="1">
        <v>0.92976567129629628</v>
      </c>
      <c r="L1600">
        <f>YEAR(Coffe_sales[[#This Row],[Date]])</f>
        <v>2024</v>
      </c>
    </row>
    <row r="1601" spans="1:12" x14ac:dyDescent="0.2">
      <c r="A1601" t="s">
        <v>123</v>
      </c>
      <c r="B1601" t="s">
        <v>12</v>
      </c>
      <c r="C1601">
        <v>32.82</v>
      </c>
      <c r="D1601" t="s">
        <v>13</v>
      </c>
      <c r="E1601" t="s">
        <v>14</v>
      </c>
      <c r="F1601" t="s">
        <v>53</v>
      </c>
      <c r="G1601" t="s">
        <v>239</v>
      </c>
      <c r="H1601" t="s">
        <v>54</v>
      </c>
      <c r="I1601" t="s">
        <v>46</v>
      </c>
      <c r="J1601" t="s">
        <v>265</v>
      </c>
      <c r="K1601" s="1">
        <v>0.36360010416666666</v>
      </c>
      <c r="L1601">
        <f>YEAR(Coffe_sales[[#This Row],[Date]])</f>
        <v>2024</v>
      </c>
    </row>
    <row r="1602" spans="1:12" x14ac:dyDescent="0.2">
      <c r="A1602" t="s">
        <v>11</v>
      </c>
      <c r="B1602" t="s">
        <v>12</v>
      </c>
      <c r="C1602">
        <v>27.92</v>
      </c>
      <c r="D1602" t="s">
        <v>26</v>
      </c>
      <c r="E1602" t="s">
        <v>14</v>
      </c>
      <c r="F1602" t="s">
        <v>53</v>
      </c>
      <c r="G1602" t="s">
        <v>239</v>
      </c>
      <c r="H1602" t="s">
        <v>54</v>
      </c>
      <c r="I1602" t="s">
        <v>46</v>
      </c>
      <c r="J1602" t="s">
        <v>265</v>
      </c>
      <c r="K1602" s="1">
        <v>0.44243616898148147</v>
      </c>
      <c r="L1602">
        <f>YEAR(Coffe_sales[[#This Row],[Date]])</f>
        <v>2024</v>
      </c>
    </row>
    <row r="1603" spans="1:12" x14ac:dyDescent="0.2">
      <c r="A1603" t="s">
        <v>11</v>
      </c>
      <c r="B1603" t="s">
        <v>12</v>
      </c>
      <c r="C1603">
        <v>18.12</v>
      </c>
      <c r="D1603" t="s">
        <v>45</v>
      </c>
      <c r="E1603" t="s">
        <v>14</v>
      </c>
      <c r="F1603" t="s">
        <v>53</v>
      </c>
      <c r="G1603" t="s">
        <v>239</v>
      </c>
      <c r="H1603" t="s">
        <v>54</v>
      </c>
      <c r="I1603" t="s">
        <v>46</v>
      </c>
      <c r="J1603" t="s">
        <v>265</v>
      </c>
      <c r="K1603" s="1">
        <v>0.45546767361111112</v>
      </c>
      <c r="L1603">
        <f>YEAR(Coffe_sales[[#This Row],[Date]])</f>
        <v>2024</v>
      </c>
    </row>
    <row r="1604" spans="1:12" x14ac:dyDescent="0.2">
      <c r="A1604" t="s">
        <v>35</v>
      </c>
      <c r="B1604" t="s">
        <v>12</v>
      </c>
      <c r="C1604">
        <v>32.82</v>
      </c>
      <c r="D1604" t="s">
        <v>52</v>
      </c>
      <c r="E1604" t="s">
        <v>14</v>
      </c>
      <c r="F1604" t="s">
        <v>53</v>
      </c>
      <c r="G1604" t="s">
        <v>239</v>
      </c>
      <c r="H1604" t="s">
        <v>54</v>
      </c>
      <c r="I1604" t="s">
        <v>46</v>
      </c>
      <c r="J1604" t="s">
        <v>265</v>
      </c>
      <c r="K1604" s="1">
        <v>0.48250660879629631</v>
      </c>
      <c r="L1604">
        <f>YEAR(Coffe_sales[[#This Row],[Date]])</f>
        <v>2024</v>
      </c>
    </row>
    <row r="1605" spans="1:12" x14ac:dyDescent="0.2">
      <c r="A1605" t="s">
        <v>20</v>
      </c>
      <c r="B1605" t="s">
        <v>12</v>
      </c>
      <c r="C1605">
        <v>32.82</v>
      </c>
      <c r="D1605" t="s">
        <v>13</v>
      </c>
      <c r="E1605" t="s">
        <v>22</v>
      </c>
      <c r="F1605" t="s">
        <v>53</v>
      </c>
      <c r="G1605" t="s">
        <v>239</v>
      </c>
      <c r="H1605" t="s">
        <v>54</v>
      </c>
      <c r="I1605" t="s">
        <v>46</v>
      </c>
      <c r="J1605" t="s">
        <v>265</v>
      </c>
      <c r="K1605" s="1">
        <v>0.53334916666666665</v>
      </c>
      <c r="L1605">
        <f>YEAR(Coffe_sales[[#This Row],[Date]])</f>
        <v>2024</v>
      </c>
    </row>
    <row r="1606" spans="1:12" x14ac:dyDescent="0.2">
      <c r="A1606" t="s">
        <v>28</v>
      </c>
      <c r="B1606" t="s">
        <v>12</v>
      </c>
      <c r="C1606">
        <v>32.82</v>
      </c>
      <c r="D1606" t="s">
        <v>13</v>
      </c>
      <c r="E1606" t="s">
        <v>29</v>
      </c>
      <c r="F1606" t="s">
        <v>53</v>
      </c>
      <c r="G1606" t="s">
        <v>239</v>
      </c>
      <c r="H1606" t="s">
        <v>54</v>
      </c>
      <c r="I1606" t="s">
        <v>46</v>
      </c>
      <c r="J1606" t="s">
        <v>265</v>
      </c>
      <c r="K1606" s="1">
        <v>0.76522839120370367</v>
      </c>
      <c r="L1606">
        <f>YEAR(Coffe_sales[[#This Row],[Date]])</f>
        <v>2024</v>
      </c>
    </row>
    <row r="1607" spans="1:12" x14ac:dyDescent="0.2">
      <c r="A1607" t="s">
        <v>125</v>
      </c>
      <c r="B1607" t="s">
        <v>12</v>
      </c>
      <c r="C1607">
        <v>32.82</v>
      </c>
      <c r="D1607" t="s">
        <v>13</v>
      </c>
      <c r="E1607" t="s">
        <v>29</v>
      </c>
      <c r="F1607" t="s">
        <v>53</v>
      </c>
      <c r="G1607" t="s">
        <v>239</v>
      </c>
      <c r="H1607" t="s">
        <v>54</v>
      </c>
      <c r="I1607" t="s">
        <v>46</v>
      </c>
      <c r="J1607" t="s">
        <v>265</v>
      </c>
      <c r="K1607" s="1">
        <v>0.94809121527777773</v>
      </c>
      <c r="L1607">
        <f>YEAR(Coffe_sales[[#This Row],[Date]])</f>
        <v>2024</v>
      </c>
    </row>
    <row r="1608" spans="1:12" x14ac:dyDescent="0.2">
      <c r="A1608" t="s">
        <v>125</v>
      </c>
      <c r="B1608" t="s">
        <v>12</v>
      </c>
      <c r="C1608">
        <v>23.02</v>
      </c>
      <c r="D1608" t="s">
        <v>41</v>
      </c>
      <c r="E1608" t="s">
        <v>29</v>
      </c>
      <c r="F1608" t="s">
        <v>53</v>
      </c>
      <c r="G1608" t="s">
        <v>239</v>
      </c>
      <c r="H1608" t="s">
        <v>54</v>
      </c>
      <c r="I1608" t="s">
        <v>46</v>
      </c>
      <c r="J1608" t="s">
        <v>265</v>
      </c>
      <c r="K1608" s="1">
        <v>0.94881524305555554</v>
      </c>
      <c r="L1608">
        <f>YEAR(Coffe_sales[[#This Row],[Date]])</f>
        <v>2024</v>
      </c>
    </row>
    <row r="1609" spans="1:12" x14ac:dyDescent="0.2">
      <c r="A1609" t="s">
        <v>125</v>
      </c>
      <c r="B1609" t="s">
        <v>12</v>
      </c>
      <c r="C1609">
        <v>27.92</v>
      </c>
      <c r="D1609" t="s">
        <v>26</v>
      </c>
      <c r="E1609" t="s">
        <v>29</v>
      </c>
      <c r="F1609" t="s">
        <v>53</v>
      </c>
      <c r="G1609" t="s">
        <v>239</v>
      </c>
      <c r="H1609" t="s">
        <v>54</v>
      </c>
      <c r="I1609" t="s">
        <v>46</v>
      </c>
      <c r="J1609" t="s">
        <v>265</v>
      </c>
      <c r="K1609" s="1">
        <v>0.94959336805555561</v>
      </c>
      <c r="L1609">
        <f>YEAR(Coffe_sales[[#This Row],[Date]])</f>
        <v>2024</v>
      </c>
    </row>
    <row r="1610" spans="1:12" x14ac:dyDescent="0.2">
      <c r="A1610" t="s">
        <v>46</v>
      </c>
      <c r="B1610" t="s">
        <v>12</v>
      </c>
      <c r="C1610">
        <v>27.92</v>
      </c>
      <c r="D1610" t="s">
        <v>26</v>
      </c>
      <c r="E1610" t="s">
        <v>14</v>
      </c>
      <c r="F1610" t="s">
        <v>15</v>
      </c>
      <c r="G1610" t="s">
        <v>239</v>
      </c>
      <c r="H1610" t="s">
        <v>17</v>
      </c>
      <c r="I1610" t="s">
        <v>46</v>
      </c>
      <c r="J1610" t="s">
        <v>266</v>
      </c>
      <c r="K1610" s="1">
        <v>0.39566719907407405</v>
      </c>
      <c r="L1610">
        <f>YEAR(Coffe_sales[[#This Row],[Date]])</f>
        <v>2024</v>
      </c>
    </row>
    <row r="1611" spans="1:12" x14ac:dyDescent="0.2">
      <c r="A1611" t="s">
        <v>46</v>
      </c>
      <c r="B1611" t="s">
        <v>12</v>
      </c>
      <c r="C1611">
        <v>23.02</v>
      </c>
      <c r="D1611" t="s">
        <v>41</v>
      </c>
      <c r="E1611" t="s">
        <v>14</v>
      </c>
      <c r="F1611" t="s">
        <v>15</v>
      </c>
      <c r="G1611" t="s">
        <v>239</v>
      </c>
      <c r="H1611" t="s">
        <v>17</v>
      </c>
      <c r="I1611" t="s">
        <v>46</v>
      </c>
      <c r="J1611" t="s">
        <v>266</v>
      </c>
      <c r="K1611" s="1">
        <v>0.39842565972222221</v>
      </c>
      <c r="L1611">
        <f>YEAR(Coffe_sales[[#This Row],[Date]])</f>
        <v>2024</v>
      </c>
    </row>
    <row r="1612" spans="1:12" x14ac:dyDescent="0.2">
      <c r="A1612" t="s">
        <v>46</v>
      </c>
      <c r="B1612" t="s">
        <v>12</v>
      </c>
      <c r="C1612">
        <v>32.82</v>
      </c>
      <c r="D1612" t="s">
        <v>52</v>
      </c>
      <c r="E1612" t="s">
        <v>14</v>
      </c>
      <c r="F1612" t="s">
        <v>15</v>
      </c>
      <c r="G1612" t="s">
        <v>239</v>
      </c>
      <c r="H1612" t="s">
        <v>17</v>
      </c>
      <c r="I1612" t="s">
        <v>46</v>
      </c>
      <c r="J1612" t="s">
        <v>266</v>
      </c>
      <c r="K1612" s="1">
        <v>0.40352699074074072</v>
      </c>
      <c r="L1612">
        <f>YEAR(Coffe_sales[[#This Row],[Date]])</f>
        <v>2024</v>
      </c>
    </row>
    <row r="1613" spans="1:12" x14ac:dyDescent="0.2">
      <c r="A1613" t="s">
        <v>11</v>
      </c>
      <c r="B1613" t="s">
        <v>12</v>
      </c>
      <c r="C1613">
        <v>27.92</v>
      </c>
      <c r="D1613" t="s">
        <v>26</v>
      </c>
      <c r="E1613" t="s">
        <v>14</v>
      </c>
      <c r="F1613" t="s">
        <v>15</v>
      </c>
      <c r="G1613" t="s">
        <v>239</v>
      </c>
      <c r="H1613" t="s">
        <v>17</v>
      </c>
      <c r="I1613" t="s">
        <v>46</v>
      </c>
      <c r="J1613" t="s">
        <v>266</v>
      </c>
      <c r="K1613" s="1">
        <v>0.44926643518518516</v>
      </c>
      <c r="L1613">
        <f>YEAR(Coffe_sales[[#This Row],[Date]])</f>
        <v>2024</v>
      </c>
    </row>
    <row r="1614" spans="1:12" x14ac:dyDescent="0.2">
      <c r="A1614" t="s">
        <v>35</v>
      </c>
      <c r="B1614" t="s">
        <v>12</v>
      </c>
      <c r="C1614">
        <v>27.92</v>
      </c>
      <c r="D1614" t="s">
        <v>26</v>
      </c>
      <c r="E1614" t="s">
        <v>14</v>
      </c>
      <c r="F1614" t="s">
        <v>15</v>
      </c>
      <c r="G1614" t="s">
        <v>239</v>
      </c>
      <c r="H1614" t="s">
        <v>17</v>
      </c>
      <c r="I1614" t="s">
        <v>46</v>
      </c>
      <c r="J1614" t="s">
        <v>266</v>
      </c>
      <c r="K1614" s="1">
        <v>0.48264215277777778</v>
      </c>
      <c r="L1614">
        <f>YEAR(Coffe_sales[[#This Row],[Date]])</f>
        <v>2024</v>
      </c>
    </row>
    <row r="1615" spans="1:12" x14ac:dyDescent="0.2">
      <c r="A1615" t="s">
        <v>23</v>
      </c>
      <c r="B1615" t="s">
        <v>12</v>
      </c>
      <c r="C1615">
        <v>32.82</v>
      </c>
      <c r="D1615" t="s">
        <v>52</v>
      </c>
      <c r="E1615" t="s">
        <v>22</v>
      </c>
      <c r="F1615" t="s">
        <v>15</v>
      </c>
      <c r="G1615" t="s">
        <v>239</v>
      </c>
      <c r="H1615" t="s">
        <v>17</v>
      </c>
      <c r="I1615" t="s">
        <v>46</v>
      </c>
      <c r="J1615" t="s">
        <v>266</v>
      </c>
      <c r="K1615" s="1">
        <v>0.5559149884259259</v>
      </c>
      <c r="L1615">
        <f>YEAR(Coffe_sales[[#This Row],[Date]])</f>
        <v>2024</v>
      </c>
    </row>
    <row r="1616" spans="1:12" x14ac:dyDescent="0.2">
      <c r="A1616" t="s">
        <v>23</v>
      </c>
      <c r="B1616" t="s">
        <v>12</v>
      </c>
      <c r="C1616">
        <v>32.82</v>
      </c>
      <c r="D1616" t="s">
        <v>52</v>
      </c>
      <c r="E1616" t="s">
        <v>22</v>
      </c>
      <c r="F1616" t="s">
        <v>15</v>
      </c>
      <c r="G1616" t="s">
        <v>239</v>
      </c>
      <c r="H1616" t="s">
        <v>17</v>
      </c>
      <c r="I1616" t="s">
        <v>46</v>
      </c>
      <c r="J1616" t="s">
        <v>266</v>
      </c>
      <c r="K1616" s="1">
        <v>0.55908879629629626</v>
      </c>
      <c r="L1616">
        <f>YEAR(Coffe_sales[[#This Row],[Date]])</f>
        <v>2024</v>
      </c>
    </row>
    <row r="1617" spans="1:12" x14ac:dyDescent="0.2">
      <c r="A1617" t="s">
        <v>23</v>
      </c>
      <c r="B1617" t="s">
        <v>12</v>
      </c>
      <c r="C1617">
        <v>23.02</v>
      </c>
      <c r="D1617" t="s">
        <v>24</v>
      </c>
      <c r="E1617" t="s">
        <v>22</v>
      </c>
      <c r="F1617" t="s">
        <v>15</v>
      </c>
      <c r="G1617" t="s">
        <v>239</v>
      </c>
      <c r="H1617" t="s">
        <v>17</v>
      </c>
      <c r="I1617" t="s">
        <v>46</v>
      </c>
      <c r="J1617" t="s">
        <v>266</v>
      </c>
      <c r="K1617" s="1">
        <v>0.56149429398148143</v>
      </c>
      <c r="L1617">
        <f>YEAR(Coffe_sales[[#This Row],[Date]])</f>
        <v>2024</v>
      </c>
    </row>
    <row r="1618" spans="1:12" x14ac:dyDescent="0.2">
      <c r="A1618" t="s">
        <v>23</v>
      </c>
      <c r="B1618" t="s">
        <v>12</v>
      </c>
      <c r="C1618">
        <v>27.92</v>
      </c>
      <c r="D1618" t="s">
        <v>26</v>
      </c>
      <c r="E1618" t="s">
        <v>22</v>
      </c>
      <c r="F1618" t="s">
        <v>15</v>
      </c>
      <c r="G1618" t="s">
        <v>239</v>
      </c>
      <c r="H1618" t="s">
        <v>17</v>
      </c>
      <c r="I1618" t="s">
        <v>46</v>
      </c>
      <c r="J1618" t="s">
        <v>266</v>
      </c>
      <c r="K1618" s="1">
        <v>0.5651904513888889</v>
      </c>
      <c r="L1618">
        <f>YEAR(Coffe_sales[[#This Row],[Date]])</f>
        <v>2024</v>
      </c>
    </row>
    <row r="1619" spans="1:12" x14ac:dyDescent="0.2">
      <c r="A1619" t="s">
        <v>28</v>
      </c>
      <c r="B1619" t="s">
        <v>12</v>
      </c>
      <c r="C1619">
        <v>32.82</v>
      </c>
      <c r="D1619" t="s">
        <v>13</v>
      </c>
      <c r="E1619" t="s">
        <v>29</v>
      </c>
      <c r="F1619" t="s">
        <v>15</v>
      </c>
      <c r="G1619" t="s">
        <v>239</v>
      </c>
      <c r="H1619" t="s">
        <v>17</v>
      </c>
      <c r="I1619" t="s">
        <v>46</v>
      </c>
      <c r="J1619" t="s">
        <v>266</v>
      </c>
      <c r="K1619" s="1">
        <v>0.75536695601851855</v>
      </c>
      <c r="L1619">
        <f>YEAR(Coffe_sales[[#This Row],[Date]])</f>
        <v>2024</v>
      </c>
    </row>
    <row r="1620" spans="1:12" x14ac:dyDescent="0.2">
      <c r="A1620" t="s">
        <v>28</v>
      </c>
      <c r="B1620" t="s">
        <v>12</v>
      </c>
      <c r="C1620">
        <v>32.82</v>
      </c>
      <c r="D1620" t="s">
        <v>13</v>
      </c>
      <c r="E1620" t="s">
        <v>29</v>
      </c>
      <c r="F1620" t="s">
        <v>15</v>
      </c>
      <c r="G1620" t="s">
        <v>239</v>
      </c>
      <c r="H1620" t="s">
        <v>17</v>
      </c>
      <c r="I1620" t="s">
        <v>46</v>
      </c>
      <c r="J1620" t="s">
        <v>266</v>
      </c>
      <c r="K1620" s="1">
        <v>0.75622961805555555</v>
      </c>
      <c r="L1620">
        <f>YEAR(Coffe_sales[[#This Row],[Date]])</f>
        <v>2024</v>
      </c>
    </row>
    <row r="1621" spans="1:12" x14ac:dyDescent="0.2">
      <c r="A1621" t="s">
        <v>28</v>
      </c>
      <c r="B1621" t="s">
        <v>12</v>
      </c>
      <c r="C1621">
        <v>32.82</v>
      </c>
      <c r="D1621" t="s">
        <v>52</v>
      </c>
      <c r="E1621" t="s">
        <v>29</v>
      </c>
      <c r="F1621" t="s">
        <v>15</v>
      </c>
      <c r="G1621" t="s">
        <v>239</v>
      </c>
      <c r="H1621" t="s">
        <v>17</v>
      </c>
      <c r="I1621" t="s">
        <v>46</v>
      </c>
      <c r="J1621" t="s">
        <v>266</v>
      </c>
      <c r="K1621" s="1">
        <v>0.77622559027777782</v>
      </c>
      <c r="L1621">
        <f>YEAR(Coffe_sales[[#This Row],[Date]])</f>
        <v>2024</v>
      </c>
    </row>
    <row r="1622" spans="1:12" x14ac:dyDescent="0.2">
      <c r="A1622" t="s">
        <v>28</v>
      </c>
      <c r="B1622" t="s">
        <v>12</v>
      </c>
      <c r="C1622">
        <v>32.82</v>
      </c>
      <c r="D1622" t="s">
        <v>52</v>
      </c>
      <c r="E1622" t="s">
        <v>29</v>
      </c>
      <c r="F1622" t="s">
        <v>15</v>
      </c>
      <c r="G1622" t="s">
        <v>239</v>
      </c>
      <c r="H1622" t="s">
        <v>17</v>
      </c>
      <c r="I1622" t="s">
        <v>46</v>
      </c>
      <c r="J1622" t="s">
        <v>266</v>
      </c>
      <c r="K1622" s="1">
        <v>0.77839996527777777</v>
      </c>
      <c r="L1622">
        <f>YEAR(Coffe_sales[[#This Row],[Date]])</f>
        <v>2024</v>
      </c>
    </row>
    <row r="1623" spans="1:12" x14ac:dyDescent="0.2">
      <c r="A1623" t="s">
        <v>91</v>
      </c>
      <c r="B1623" t="s">
        <v>12</v>
      </c>
      <c r="C1623">
        <v>32.82</v>
      </c>
      <c r="D1623" t="s">
        <v>52</v>
      </c>
      <c r="E1623" t="s">
        <v>29</v>
      </c>
      <c r="F1623" t="s">
        <v>15</v>
      </c>
      <c r="G1623" t="s">
        <v>239</v>
      </c>
      <c r="H1623" t="s">
        <v>17</v>
      </c>
      <c r="I1623" t="s">
        <v>46</v>
      </c>
      <c r="J1623" t="s">
        <v>266</v>
      </c>
      <c r="K1623" s="1">
        <v>0.8459871180555556</v>
      </c>
      <c r="L1623">
        <f>YEAR(Coffe_sales[[#This Row],[Date]])</f>
        <v>2024</v>
      </c>
    </row>
    <row r="1624" spans="1:12" x14ac:dyDescent="0.2">
      <c r="A1624" t="s">
        <v>91</v>
      </c>
      <c r="B1624" t="s">
        <v>12</v>
      </c>
      <c r="C1624">
        <v>32.82</v>
      </c>
      <c r="D1624" t="s">
        <v>52</v>
      </c>
      <c r="E1624" t="s">
        <v>29</v>
      </c>
      <c r="F1624" t="s">
        <v>15</v>
      </c>
      <c r="G1624" t="s">
        <v>239</v>
      </c>
      <c r="H1624" t="s">
        <v>17</v>
      </c>
      <c r="I1624" t="s">
        <v>46</v>
      </c>
      <c r="J1624" t="s">
        <v>266</v>
      </c>
      <c r="K1624" s="1">
        <v>0.84669350694444445</v>
      </c>
      <c r="L1624">
        <f>YEAR(Coffe_sales[[#This Row],[Date]])</f>
        <v>2024</v>
      </c>
    </row>
    <row r="1625" spans="1:12" x14ac:dyDescent="0.2">
      <c r="A1625" t="s">
        <v>91</v>
      </c>
      <c r="B1625" t="s">
        <v>12</v>
      </c>
      <c r="C1625">
        <v>27.92</v>
      </c>
      <c r="D1625" t="s">
        <v>26</v>
      </c>
      <c r="E1625" t="s">
        <v>29</v>
      </c>
      <c r="F1625" t="s">
        <v>15</v>
      </c>
      <c r="G1625" t="s">
        <v>239</v>
      </c>
      <c r="H1625" t="s">
        <v>17</v>
      </c>
      <c r="I1625" t="s">
        <v>46</v>
      </c>
      <c r="J1625" t="s">
        <v>266</v>
      </c>
      <c r="K1625" s="1">
        <v>0.87378434027777774</v>
      </c>
      <c r="L1625">
        <f>YEAR(Coffe_sales[[#This Row],[Date]])</f>
        <v>2024</v>
      </c>
    </row>
    <row r="1626" spans="1:12" x14ac:dyDescent="0.2">
      <c r="A1626" t="s">
        <v>123</v>
      </c>
      <c r="B1626" t="s">
        <v>12</v>
      </c>
      <c r="C1626">
        <v>27.92</v>
      </c>
      <c r="D1626" t="s">
        <v>26</v>
      </c>
      <c r="E1626" t="s">
        <v>14</v>
      </c>
      <c r="F1626" t="s">
        <v>32</v>
      </c>
      <c r="G1626" t="s">
        <v>239</v>
      </c>
      <c r="H1626" t="s">
        <v>33</v>
      </c>
      <c r="I1626" t="s">
        <v>46</v>
      </c>
      <c r="J1626" t="s">
        <v>267</v>
      </c>
      <c r="K1626" s="1">
        <v>0.33802626157407406</v>
      </c>
      <c r="L1626">
        <f>YEAR(Coffe_sales[[#This Row],[Date]])</f>
        <v>2024</v>
      </c>
    </row>
    <row r="1627" spans="1:12" x14ac:dyDescent="0.2">
      <c r="A1627" t="s">
        <v>46</v>
      </c>
      <c r="B1627" t="s">
        <v>12</v>
      </c>
      <c r="C1627">
        <v>27.92</v>
      </c>
      <c r="D1627" t="s">
        <v>26</v>
      </c>
      <c r="E1627" t="s">
        <v>14</v>
      </c>
      <c r="F1627" t="s">
        <v>32</v>
      </c>
      <c r="G1627" t="s">
        <v>239</v>
      </c>
      <c r="H1627" t="s">
        <v>33</v>
      </c>
      <c r="I1627" t="s">
        <v>46</v>
      </c>
      <c r="J1627" t="s">
        <v>267</v>
      </c>
      <c r="K1627" s="1">
        <v>0.39669859953703701</v>
      </c>
      <c r="L1627">
        <f>YEAR(Coffe_sales[[#This Row],[Date]])</f>
        <v>2024</v>
      </c>
    </row>
    <row r="1628" spans="1:12" x14ac:dyDescent="0.2">
      <c r="A1628" t="s">
        <v>36</v>
      </c>
      <c r="B1628" t="s">
        <v>12</v>
      </c>
      <c r="C1628">
        <v>35.76</v>
      </c>
      <c r="D1628" t="s">
        <v>13</v>
      </c>
      <c r="E1628" t="s">
        <v>22</v>
      </c>
      <c r="F1628" t="s">
        <v>32</v>
      </c>
      <c r="G1628" t="s">
        <v>239</v>
      </c>
      <c r="H1628" t="s">
        <v>33</v>
      </c>
      <c r="I1628" t="s">
        <v>46</v>
      </c>
      <c r="J1628" t="s">
        <v>267</v>
      </c>
      <c r="K1628" s="1">
        <v>0.60124232638888886</v>
      </c>
      <c r="L1628">
        <f>YEAR(Coffe_sales[[#This Row],[Date]])</f>
        <v>2024</v>
      </c>
    </row>
    <row r="1629" spans="1:12" x14ac:dyDescent="0.2">
      <c r="A1629" t="s">
        <v>27</v>
      </c>
      <c r="B1629" t="s">
        <v>12</v>
      </c>
      <c r="C1629">
        <v>35.76</v>
      </c>
      <c r="D1629" t="s">
        <v>13</v>
      </c>
      <c r="E1629" t="s">
        <v>22</v>
      </c>
      <c r="F1629" t="s">
        <v>32</v>
      </c>
      <c r="G1629" t="s">
        <v>239</v>
      </c>
      <c r="H1629" t="s">
        <v>33</v>
      </c>
      <c r="I1629" t="s">
        <v>46</v>
      </c>
      <c r="J1629" t="s">
        <v>267</v>
      </c>
      <c r="K1629" s="1">
        <v>0.70648284722222221</v>
      </c>
      <c r="L1629">
        <f>YEAR(Coffe_sales[[#This Row],[Date]])</f>
        <v>2024</v>
      </c>
    </row>
    <row r="1630" spans="1:12" x14ac:dyDescent="0.2">
      <c r="A1630" t="s">
        <v>37</v>
      </c>
      <c r="B1630" t="s">
        <v>12</v>
      </c>
      <c r="C1630">
        <v>30.86</v>
      </c>
      <c r="D1630" t="s">
        <v>26</v>
      </c>
      <c r="E1630" t="s">
        <v>29</v>
      </c>
      <c r="F1630" t="s">
        <v>32</v>
      </c>
      <c r="G1630" t="s">
        <v>239</v>
      </c>
      <c r="H1630" t="s">
        <v>33</v>
      </c>
      <c r="I1630" t="s">
        <v>46</v>
      </c>
      <c r="J1630" t="s">
        <v>267</v>
      </c>
      <c r="K1630" s="1">
        <v>0.72658222222222224</v>
      </c>
      <c r="L1630">
        <f>YEAR(Coffe_sales[[#This Row],[Date]])</f>
        <v>2024</v>
      </c>
    </row>
    <row r="1631" spans="1:12" x14ac:dyDescent="0.2">
      <c r="A1631" t="s">
        <v>91</v>
      </c>
      <c r="B1631" t="s">
        <v>12</v>
      </c>
      <c r="C1631">
        <v>35.76</v>
      </c>
      <c r="D1631" t="s">
        <v>13</v>
      </c>
      <c r="E1631" t="s">
        <v>29</v>
      </c>
      <c r="F1631" t="s">
        <v>32</v>
      </c>
      <c r="G1631" t="s">
        <v>239</v>
      </c>
      <c r="H1631" t="s">
        <v>33</v>
      </c>
      <c r="I1631" t="s">
        <v>46</v>
      </c>
      <c r="J1631" t="s">
        <v>267</v>
      </c>
      <c r="K1631" s="1">
        <v>0.85730451388888884</v>
      </c>
      <c r="L1631">
        <f>YEAR(Coffe_sales[[#This Row],[Date]])</f>
        <v>2024</v>
      </c>
    </row>
    <row r="1632" spans="1:12" x14ac:dyDescent="0.2">
      <c r="A1632" t="s">
        <v>91</v>
      </c>
      <c r="B1632" t="s">
        <v>12</v>
      </c>
      <c r="C1632">
        <v>35.76</v>
      </c>
      <c r="D1632" t="s">
        <v>13</v>
      </c>
      <c r="E1632" t="s">
        <v>29</v>
      </c>
      <c r="F1632" t="s">
        <v>32</v>
      </c>
      <c r="G1632" t="s">
        <v>239</v>
      </c>
      <c r="H1632" t="s">
        <v>33</v>
      </c>
      <c r="I1632" t="s">
        <v>46</v>
      </c>
      <c r="J1632" t="s">
        <v>267</v>
      </c>
      <c r="K1632" s="1">
        <v>0.86014469907407409</v>
      </c>
      <c r="L1632">
        <f>YEAR(Coffe_sales[[#This Row],[Date]])</f>
        <v>2024</v>
      </c>
    </row>
    <row r="1633" spans="1:12" x14ac:dyDescent="0.2">
      <c r="A1633" t="s">
        <v>125</v>
      </c>
      <c r="B1633" t="s">
        <v>12</v>
      </c>
      <c r="C1633">
        <v>35.76</v>
      </c>
      <c r="D1633" t="s">
        <v>52</v>
      </c>
      <c r="E1633" t="s">
        <v>29</v>
      </c>
      <c r="F1633" t="s">
        <v>32</v>
      </c>
      <c r="G1633" t="s">
        <v>239</v>
      </c>
      <c r="H1633" t="s">
        <v>33</v>
      </c>
      <c r="I1633" t="s">
        <v>46</v>
      </c>
      <c r="J1633" t="s">
        <v>267</v>
      </c>
      <c r="K1633" s="1">
        <v>0.92820343750000001</v>
      </c>
      <c r="L1633">
        <f>YEAR(Coffe_sales[[#This Row],[Date]])</f>
        <v>2024</v>
      </c>
    </row>
    <row r="1634" spans="1:12" x14ac:dyDescent="0.2">
      <c r="A1634" t="s">
        <v>125</v>
      </c>
      <c r="B1634" t="s">
        <v>12</v>
      </c>
      <c r="C1634">
        <v>35.76</v>
      </c>
      <c r="D1634" t="s">
        <v>31</v>
      </c>
      <c r="E1634" t="s">
        <v>29</v>
      </c>
      <c r="F1634" t="s">
        <v>32</v>
      </c>
      <c r="G1634" t="s">
        <v>239</v>
      </c>
      <c r="H1634" t="s">
        <v>33</v>
      </c>
      <c r="I1634" t="s">
        <v>46</v>
      </c>
      <c r="J1634" t="s">
        <v>267</v>
      </c>
      <c r="K1634" s="1">
        <v>0.92881466435185189</v>
      </c>
      <c r="L1634">
        <f>YEAR(Coffe_sales[[#This Row],[Date]])</f>
        <v>2024</v>
      </c>
    </row>
    <row r="1635" spans="1:12" x14ac:dyDescent="0.2">
      <c r="A1635" t="s">
        <v>125</v>
      </c>
      <c r="B1635" t="s">
        <v>12</v>
      </c>
      <c r="C1635">
        <v>25.96</v>
      </c>
      <c r="D1635" t="s">
        <v>41</v>
      </c>
      <c r="E1635" t="s">
        <v>29</v>
      </c>
      <c r="F1635" t="s">
        <v>32</v>
      </c>
      <c r="G1635" t="s">
        <v>239</v>
      </c>
      <c r="H1635" t="s">
        <v>33</v>
      </c>
      <c r="I1635" t="s">
        <v>46</v>
      </c>
      <c r="J1635" t="s">
        <v>267</v>
      </c>
      <c r="K1635" s="1">
        <v>0.92935268518518521</v>
      </c>
      <c r="L1635">
        <f>YEAR(Coffe_sales[[#This Row],[Date]])</f>
        <v>2024</v>
      </c>
    </row>
    <row r="1636" spans="1:12" x14ac:dyDescent="0.2">
      <c r="A1636" t="s">
        <v>125</v>
      </c>
      <c r="B1636" t="s">
        <v>12</v>
      </c>
      <c r="C1636">
        <v>35.76</v>
      </c>
      <c r="D1636" t="s">
        <v>21</v>
      </c>
      <c r="E1636" t="s">
        <v>29</v>
      </c>
      <c r="F1636" t="s">
        <v>32</v>
      </c>
      <c r="G1636" t="s">
        <v>239</v>
      </c>
      <c r="H1636" t="s">
        <v>33</v>
      </c>
      <c r="I1636" t="s">
        <v>46</v>
      </c>
      <c r="J1636" t="s">
        <v>267</v>
      </c>
      <c r="K1636" s="1">
        <v>0.93001190972222225</v>
      </c>
      <c r="L1636">
        <f>YEAR(Coffe_sales[[#This Row],[Date]])</f>
        <v>2024</v>
      </c>
    </row>
    <row r="1637" spans="1:12" x14ac:dyDescent="0.2">
      <c r="A1637" t="s">
        <v>11</v>
      </c>
      <c r="B1637" t="s">
        <v>12</v>
      </c>
      <c r="C1637">
        <v>25.96</v>
      </c>
      <c r="D1637" t="s">
        <v>24</v>
      </c>
      <c r="E1637" t="s">
        <v>14</v>
      </c>
      <c r="F1637" t="s">
        <v>38</v>
      </c>
      <c r="G1637" t="s">
        <v>239</v>
      </c>
      <c r="H1637" t="s">
        <v>39</v>
      </c>
      <c r="I1637" t="s">
        <v>46</v>
      </c>
      <c r="J1637" t="s">
        <v>268</v>
      </c>
      <c r="K1637" s="1">
        <v>0.45052141203703705</v>
      </c>
      <c r="L1637">
        <f>YEAR(Coffe_sales[[#This Row],[Date]])</f>
        <v>2024</v>
      </c>
    </row>
    <row r="1638" spans="1:12" x14ac:dyDescent="0.2">
      <c r="A1638" t="s">
        <v>11</v>
      </c>
      <c r="B1638" t="s">
        <v>12</v>
      </c>
      <c r="C1638">
        <v>35.76</v>
      </c>
      <c r="D1638" t="s">
        <v>52</v>
      </c>
      <c r="E1638" t="s">
        <v>14</v>
      </c>
      <c r="F1638" t="s">
        <v>38</v>
      </c>
      <c r="G1638" t="s">
        <v>239</v>
      </c>
      <c r="H1638" t="s">
        <v>39</v>
      </c>
      <c r="I1638" t="s">
        <v>46</v>
      </c>
      <c r="J1638" t="s">
        <v>268</v>
      </c>
      <c r="K1638" s="1">
        <v>0.45144974537037036</v>
      </c>
      <c r="L1638">
        <f>YEAR(Coffe_sales[[#This Row],[Date]])</f>
        <v>2024</v>
      </c>
    </row>
    <row r="1639" spans="1:12" x14ac:dyDescent="0.2">
      <c r="A1639" t="s">
        <v>11</v>
      </c>
      <c r="B1639" t="s">
        <v>12</v>
      </c>
      <c r="C1639">
        <v>35.76</v>
      </c>
      <c r="D1639" t="s">
        <v>52</v>
      </c>
      <c r="E1639" t="s">
        <v>14</v>
      </c>
      <c r="F1639" t="s">
        <v>38</v>
      </c>
      <c r="G1639" t="s">
        <v>239</v>
      </c>
      <c r="H1639" t="s">
        <v>39</v>
      </c>
      <c r="I1639" t="s">
        <v>46</v>
      </c>
      <c r="J1639" t="s">
        <v>268</v>
      </c>
      <c r="K1639" s="1">
        <v>0.45212098379629628</v>
      </c>
      <c r="L1639">
        <f>YEAR(Coffe_sales[[#This Row],[Date]])</f>
        <v>2024</v>
      </c>
    </row>
    <row r="1640" spans="1:12" x14ac:dyDescent="0.2">
      <c r="A1640" t="s">
        <v>11</v>
      </c>
      <c r="B1640" t="s">
        <v>12</v>
      </c>
      <c r="C1640">
        <v>35.76</v>
      </c>
      <c r="D1640" t="s">
        <v>52</v>
      </c>
      <c r="E1640" t="s">
        <v>14</v>
      </c>
      <c r="F1640" t="s">
        <v>38</v>
      </c>
      <c r="G1640" t="s">
        <v>239</v>
      </c>
      <c r="H1640" t="s">
        <v>39</v>
      </c>
      <c r="I1640" t="s">
        <v>46</v>
      </c>
      <c r="J1640" t="s">
        <v>268</v>
      </c>
      <c r="K1640" s="1">
        <v>0.45304422453703702</v>
      </c>
      <c r="L1640">
        <f>YEAR(Coffe_sales[[#This Row],[Date]])</f>
        <v>2024</v>
      </c>
    </row>
    <row r="1641" spans="1:12" x14ac:dyDescent="0.2">
      <c r="A1641" t="s">
        <v>11</v>
      </c>
      <c r="B1641" t="s">
        <v>12</v>
      </c>
      <c r="C1641">
        <v>30.86</v>
      </c>
      <c r="D1641" t="s">
        <v>26</v>
      </c>
      <c r="E1641" t="s">
        <v>14</v>
      </c>
      <c r="F1641" t="s">
        <v>38</v>
      </c>
      <c r="G1641" t="s">
        <v>239</v>
      </c>
      <c r="H1641" t="s">
        <v>39</v>
      </c>
      <c r="I1641" t="s">
        <v>46</v>
      </c>
      <c r="J1641" t="s">
        <v>268</v>
      </c>
      <c r="K1641" s="1">
        <v>0.45396216435185183</v>
      </c>
      <c r="L1641">
        <f>YEAR(Coffe_sales[[#This Row],[Date]])</f>
        <v>2024</v>
      </c>
    </row>
    <row r="1642" spans="1:12" x14ac:dyDescent="0.2">
      <c r="A1642" t="s">
        <v>20</v>
      </c>
      <c r="B1642" t="s">
        <v>12</v>
      </c>
      <c r="C1642">
        <v>35.76</v>
      </c>
      <c r="D1642" t="s">
        <v>13</v>
      </c>
      <c r="E1642" t="s">
        <v>22</v>
      </c>
      <c r="F1642" t="s">
        <v>38</v>
      </c>
      <c r="G1642" t="s">
        <v>239</v>
      </c>
      <c r="H1642" t="s">
        <v>39</v>
      </c>
      <c r="I1642" t="s">
        <v>46</v>
      </c>
      <c r="J1642" t="s">
        <v>268</v>
      </c>
      <c r="K1642" s="1">
        <v>0.5248083564814815</v>
      </c>
      <c r="L1642">
        <f>YEAR(Coffe_sales[[#This Row],[Date]])</f>
        <v>2024</v>
      </c>
    </row>
    <row r="1643" spans="1:12" x14ac:dyDescent="0.2">
      <c r="A1643" t="s">
        <v>20</v>
      </c>
      <c r="B1643" t="s">
        <v>12</v>
      </c>
      <c r="C1643">
        <v>25.96</v>
      </c>
      <c r="D1643" t="s">
        <v>41</v>
      </c>
      <c r="E1643" t="s">
        <v>22</v>
      </c>
      <c r="F1643" t="s">
        <v>38</v>
      </c>
      <c r="G1643" t="s">
        <v>239</v>
      </c>
      <c r="H1643" t="s">
        <v>39</v>
      </c>
      <c r="I1643" t="s">
        <v>46</v>
      </c>
      <c r="J1643" t="s">
        <v>268</v>
      </c>
      <c r="K1643" s="1">
        <v>0.53539865740740744</v>
      </c>
      <c r="L1643">
        <f>YEAR(Coffe_sales[[#This Row],[Date]])</f>
        <v>2024</v>
      </c>
    </row>
    <row r="1644" spans="1:12" x14ac:dyDescent="0.2">
      <c r="A1644" t="s">
        <v>20</v>
      </c>
      <c r="B1644" t="s">
        <v>12</v>
      </c>
      <c r="C1644">
        <v>35.76</v>
      </c>
      <c r="D1644" t="s">
        <v>13</v>
      </c>
      <c r="E1644" t="s">
        <v>22</v>
      </c>
      <c r="F1644" t="s">
        <v>38</v>
      </c>
      <c r="G1644" t="s">
        <v>239</v>
      </c>
      <c r="H1644" t="s">
        <v>39</v>
      </c>
      <c r="I1644" t="s">
        <v>46</v>
      </c>
      <c r="J1644" t="s">
        <v>268</v>
      </c>
      <c r="K1644" s="1">
        <v>0.53767806712962962</v>
      </c>
      <c r="L1644">
        <f>YEAR(Coffe_sales[[#This Row],[Date]])</f>
        <v>2024</v>
      </c>
    </row>
    <row r="1645" spans="1:12" x14ac:dyDescent="0.2">
      <c r="A1645" t="s">
        <v>20</v>
      </c>
      <c r="B1645" t="s">
        <v>12</v>
      </c>
      <c r="C1645">
        <v>35.76</v>
      </c>
      <c r="D1645" t="s">
        <v>13</v>
      </c>
      <c r="E1645" t="s">
        <v>22</v>
      </c>
      <c r="F1645" t="s">
        <v>38</v>
      </c>
      <c r="G1645" t="s">
        <v>239</v>
      </c>
      <c r="H1645" t="s">
        <v>39</v>
      </c>
      <c r="I1645" t="s">
        <v>46</v>
      </c>
      <c r="J1645" t="s">
        <v>268</v>
      </c>
      <c r="K1645" s="1">
        <v>0.53844487268518515</v>
      </c>
      <c r="L1645">
        <f>YEAR(Coffe_sales[[#This Row],[Date]])</f>
        <v>2024</v>
      </c>
    </row>
    <row r="1646" spans="1:12" x14ac:dyDescent="0.2">
      <c r="A1646" t="s">
        <v>28</v>
      </c>
      <c r="B1646" t="s">
        <v>12</v>
      </c>
      <c r="C1646">
        <v>35.76</v>
      </c>
      <c r="D1646" t="s">
        <v>52</v>
      </c>
      <c r="E1646" t="s">
        <v>29</v>
      </c>
      <c r="F1646" t="s">
        <v>38</v>
      </c>
      <c r="G1646" t="s">
        <v>239</v>
      </c>
      <c r="H1646" t="s">
        <v>39</v>
      </c>
      <c r="I1646" t="s">
        <v>46</v>
      </c>
      <c r="J1646" t="s">
        <v>268</v>
      </c>
      <c r="K1646" s="1">
        <v>0.75170481481481477</v>
      </c>
      <c r="L1646">
        <f>YEAR(Coffe_sales[[#This Row],[Date]])</f>
        <v>2024</v>
      </c>
    </row>
    <row r="1647" spans="1:12" x14ac:dyDescent="0.2">
      <c r="A1647" t="s">
        <v>125</v>
      </c>
      <c r="B1647" t="s">
        <v>12</v>
      </c>
      <c r="C1647">
        <v>35.76</v>
      </c>
      <c r="D1647" t="s">
        <v>13</v>
      </c>
      <c r="E1647" t="s">
        <v>29</v>
      </c>
      <c r="F1647" t="s">
        <v>38</v>
      </c>
      <c r="G1647" t="s">
        <v>239</v>
      </c>
      <c r="H1647" t="s">
        <v>39</v>
      </c>
      <c r="I1647" t="s">
        <v>46</v>
      </c>
      <c r="J1647" t="s">
        <v>268</v>
      </c>
      <c r="K1647" s="1">
        <v>0.93822702546296299</v>
      </c>
      <c r="L1647">
        <f>YEAR(Coffe_sales[[#This Row],[Date]])</f>
        <v>2024</v>
      </c>
    </row>
    <row r="1648" spans="1:12" x14ac:dyDescent="0.2">
      <c r="A1648" t="s">
        <v>123</v>
      </c>
      <c r="B1648" t="s">
        <v>12</v>
      </c>
      <c r="C1648">
        <v>25.96</v>
      </c>
      <c r="D1648" t="s">
        <v>41</v>
      </c>
      <c r="E1648" t="s">
        <v>14</v>
      </c>
      <c r="F1648" t="s">
        <v>42</v>
      </c>
      <c r="G1648" t="s">
        <v>239</v>
      </c>
      <c r="H1648" t="s">
        <v>43</v>
      </c>
      <c r="I1648" t="s">
        <v>46</v>
      </c>
      <c r="J1648" t="s">
        <v>269</v>
      </c>
      <c r="K1648" s="1">
        <v>0.3394388425925926</v>
      </c>
      <c r="L1648">
        <f>YEAR(Coffe_sales[[#This Row],[Date]])</f>
        <v>2024</v>
      </c>
    </row>
    <row r="1649" spans="1:12" x14ac:dyDescent="0.2">
      <c r="A1649" t="s">
        <v>123</v>
      </c>
      <c r="B1649" t="s">
        <v>12</v>
      </c>
      <c r="C1649">
        <v>25.96</v>
      </c>
      <c r="D1649" t="s">
        <v>41</v>
      </c>
      <c r="E1649" t="s">
        <v>14</v>
      </c>
      <c r="F1649" t="s">
        <v>42</v>
      </c>
      <c r="G1649" t="s">
        <v>239</v>
      </c>
      <c r="H1649" t="s">
        <v>43</v>
      </c>
      <c r="I1649" t="s">
        <v>46</v>
      </c>
      <c r="J1649" t="s">
        <v>269</v>
      </c>
      <c r="K1649" s="1">
        <v>0.37424385416666667</v>
      </c>
      <c r="L1649">
        <f>YEAR(Coffe_sales[[#This Row],[Date]])</f>
        <v>2024</v>
      </c>
    </row>
    <row r="1650" spans="1:12" x14ac:dyDescent="0.2">
      <c r="A1650" t="s">
        <v>46</v>
      </c>
      <c r="B1650" t="s">
        <v>12</v>
      </c>
      <c r="C1650">
        <v>35.76</v>
      </c>
      <c r="D1650" t="s">
        <v>21</v>
      </c>
      <c r="E1650" t="s">
        <v>14</v>
      </c>
      <c r="F1650" t="s">
        <v>42</v>
      </c>
      <c r="G1650" t="s">
        <v>239</v>
      </c>
      <c r="H1650" t="s">
        <v>43</v>
      </c>
      <c r="I1650" t="s">
        <v>46</v>
      </c>
      <c r="J1650" t="s">
        <v>269</v>
      </c>
      <c r="K1650" s="1">
        <v>0.37505690972222222</v>
      </c>
      <c r="L1650">
        <f>YEAR(Coffe_sales[[#This Row],[Date]])</f>
        <v>2024</v>
      </c>
    </row>
    <row r="1651" spans="1:12" x14ac:dyDescent="0.2">
      <c r="A1651" t="s">
        <v>11</v>
      </c>
      <c r="B1651" t="s">
        <v>12</v>
      </c>
      <c r="C1651">
        <v>30.86</v>
      </c>
      <c r="D1651" t="s">
        <v>26</v>
      </c>
      <c r="E1651" t="s">
        <v>14</v>
      </c>
      <c r="F1651" t="s">
        <v>42</v>
      </c>
      <c r="G1651" t="s">
        <v>239</v>
      </c>
      <c r="H1651" t="s">
        <v>43</v>
      </c>
      <c r="I1651" t="s">
        <v>46</v>
      </c>
      <c r="J1651" t="s">
        <v>269</v>
      </c>
      <c r="K1651" s="1">
        <v>0.41746722222222221</v>
      </c>
      <c r="L1651">
        <f>YEAR(Coffe_sales[[#This Row],[Date]])</f>
        <v>2024</v>
      </c>
    </row>
    <row r="1652" spans="1:12" x14ac:dyDescent="0.2">
      <c r="A1652" t="s">
        <v>11</v>
      </c>
      <c r="B1652" t="s">
        <v>12</v>
      </c>
      <c r="C1652">
        <v>25.96</v>
      </c>
      <c r="D1652" t="s">
        <v>41</v>
      </c>
      <c r="E1652" t="s">
        <v>14</v>
      </c>
      <c r="F1652" t="s">
        <v>42</v>
      </c>
      <c r="G1652" t="s">
        <v>239</v>
      </c>
      <c r="H1652" t="s">
        <v>43</v>
      </c>
      <c r="I1652" t="s">
        <v>46</v>
      </c>
      <c r="J1652" t="s">
        <v>269</v>
      </c>
      <c r="K1652" s="1">
        <v>0.42035128472222222</v>
      </c>
      <c r="L1652">
        <f>YEAR(Coffe_sales[[#This Row],[Date]])</f>
        <v>2024</v>
      </c>
    </row>
    <row r="1653" spans="1:12" x14ac:dyDescent="0.2">
      <c r="A1653" t="s">
        <v>35</v>
      </c>
      <c r="B1653" t="s">
        <v>12</v>
      </c>
      <c r="C1653">
        <v>30.86</v>
      </c>
      <c r="D1653" t="s">
        <v>26</v>
      </c>
      <c r="E1653" t="s">
        <v>14</v>
      </c>
      <c r="F1653" t="s">
        <v>42</v>
      </c>
      <c r="G1653" t="s">
        <v>239</v>
      </c>
      <c r="H1653" t="s">
        <v>43</v>
      </c>
      <c r="I1653" t="s">
        <v>46</v>
      </c>
      <c r="J1653" t="s">
        <v>269</v>
      </c>
      <c r="K1653" s="1">
        <v>0.4811870138888889</v>
      </c>
      <c r="L1653">
        <f>YEAR(Coffe_sales[[#This Row],[Date]])</f>
        <v>2024</v>
      </c>
    </row>
    <row r="1654" spans="1:12" x14ac:dyDescent="0.2">
      <c r="A1654" t="s">
        <v>27</v>
      </c>
      <c r="B1654" t="s">
        <v>12</v>
      </c>
      <c r="C1654">
        <v>30.86</v>
      </c>
      <c r="D1654" t="s">
        <v>26</v>
      </c>
      <c r="E1654" t="s">
        <v>22</v>
      </c>
      <c r="F1654" t="s">
        <v>42</v>
      </c>
      <c r="G1654" t="s">
        <v>239</v>
      </c>
      <c r="H1654" t="s">
        <v>43</v>
      </c>
      <c r="I1654" t="s">
        <v>46</v>
      </c>
      <c r="J1654" t="s">
        <v>269</v>
      </c>
      <c r="K1654" s="1">
        <v>0.69843124999999995</v>
      </c>
      <c r="L1654">
        <f>YEAR(Coffe_sales[[#This Row],[Date]])</f>
        <v>2024</v>
      </c>
    </row>
    <row r="1655" spans="1:12" x14ac:dyDescent="0.2">
      <c r="A1655" t="s">
        <v>30</v>
      </c>
      <c r="B1655" t="s">
        <v>12</v>
      </c>
      <c r="C1655">
        <v>35.76</v>
      </c>
      <c r="D1655" t="s">
        <v>13</v>
      </c>
      <c r="E1655" t="s">
        <v>29</v>
      </c>
      <c r="F1655" t="s">
        <v>42</v>
      </c>
      <c r="G1655" t="s">
        <v>239</v>
      </c>
      <c r="H1655" t="s">
        <v>43</v>
      </c>
      <c r="I1655" t="s">
        <v>46</v>
      </c>
      <c r="J1655" t="s">
        <v>269</v>
      </c>
      <c r="K1655" s="1">
        <v>0.81409953703703708</v>
      </c>
      <c r="L1655">
        <f>YEAR(Coffe_sales[[#This Row],[Date]])</f>
        <v>2024</v>
      </c>
    </row>
    <row r="1656" spans="1:12" x14ac:dyDescent="0.2">
      <c r="A1656" t="s">
        <v>30</v>
      </c>
      <c r="B1656" t="s">
        <v>12</v>
      </c>
      <c r="C1656">
        <v>30.86</v>
      </c>
      <c r="D1656" t="s">
        <v>26</v>
      </c>
      <c r="E1656" t="s">
        <v>29</v>
      </c>
      <c r="F1656" t="s">
        <v>42</v>
      </c>
      <c r="G1656" t="s">
        <v>239</v>
      </c>
      <c r="H1656" t="s">
        <v>43</v>
      </c>
      <c r="I1656" t="s">
        <v>46</v>
      </c>
      <c r="J1656" t="s">
        <v>269</v>
      </c>
      <c r="K1656" s="1">
        <v>0.82863532407407403</v>
      </c>
      <c r="L1656">
        <f>YEAR(Coffe_sales[[#This Row],[Date]])</f>
        <v>2024</v>
      </c>
    </row>
    <row r="1657" spans="1:12" x14ac:dyDescent="0.2">
      <c r="A1657" t="s">
        <v>30</v>
      </c>
      <c r="B1657" t="s">
        <v>12</v>
      </c>
      <c r="C1657">
        <v>25.96</v>
      </c>
      <c r="D1657" t="s">
        <v>41</v>
      </c>
      <c r="E1657" t="s">
        <v>29</v>
      </c>
      <c r="F1657" t="s">
        <v>42</v>
      </c>
      <c r="G1657" t="s">
        <v>239</v>
      </c>
      <c r="H1657" t="s">
        <v>43</v>
      </c>
      <c r="I1657" t="s">
        <v>46</v>
      </c>
      <c r="J1657" t="s">
        <v>269</v>
      </c>
      <c r="K1657" s="1">
        <v>0.82937060185185185</v>
      </c>
      <c r="L1657">
        <f>YEAR(Coffe_sales[[#This Row],[Date]])</f>
        <v>2024</v>
      </c>
    </row>
    <row r="1658" spans="1:12" x14ac:dyDescent="0.2">
      <c r="A1658" t="s">
        <v>30</v>
      </c>
      <c r="B1658" t="s">
        <v>12</v>
      </c>
      <c r="C1658">
        <v>35.76</v>
      </c>
      <c r="D1658" t="s">
        <v>13</v>
      </c>
      <c r="E1658" t="s">
        <v>29</v>
      </c>
      <c r="F1658" t="s">
        <v>42</v>
      </c>
      <c r="G1658" t="s">
        <v>239</v>
      </c>
      <c r="H1658" t="s">
        <v>43</v>
      </c>
      <c r="I1658" t="s">
        <v>46</v>
      </c>
      <c r="J1658" t="s">
        <v>269</v>
      </c>
      <c r="K1658" s="1">
        <v>0.83285871527777777</v>
      </c>
      <c r="L1658">
        <f>YEAR(Coffe_sales[[#This Row],[Date]])</f>
        <v>2024</v>
      </c>
    </row>
    <row r="1659" spans="1:12" x14ac:dyDescent="0.2">
      <c r="A1659" t="s">
        <v>91</v>
      </c>
      <c r="B1659" t="s">
        <v>12</v>
      </c>
      <c r="C1659">
        <v>30.86</v>
      </c>
      <c r="D1659" t="s">
        <v>26</v>
      </c>
      <c r="E1659" t="s">
        <v>29</v>
      </c>
      <c r="F1659" t="s">
        <v>42</v>
      </c>
      <c r="G1659" t="s">
        <v>239</v>
      </c>
      <c r="H1659" t="s">
        <v>43</v>
      </c>
      <c r="I1659" t="s">
        <v>46</v>
      </c>
      <c r="J1659" t="s">
        <v>269</v>
      </c>
      <c r="K1659" s="1">
        <v>0.8338210069444445</v>
      </c>
      <c r="L1659">
        <f>YEAR(Coffe_sales[[#This Row],[Date]])</f>
        <v>2024</v>
      </c>
    </row>
    <row r="1660" spans="1:12" x14ac:dyDescent="0.2">
      <c r="A1660" t="s">
        <v>91</v>
      </c>
      <c r="B1660" t="s">
        <v>12</v>
      </c>
      <c r="C1660">
        <v>30.86</v>
      </c>
      <c r="D1660" t="s">
        <v>26</v>
      </c>
      <c r="E1660" t="s">
        <v>29</v>
      </c>
      <c r="F1660" t="s">
        <v>42</v>
      </c>
      <c r="G1660" t="s">
        <v>239</v>
      </c>
      <c r="H1660" t="s">
        <v>43</v>
      </c>
      <c r="I1660" t="s">
        <v>46</v>
      </c>
      <c r="J1660" t="s">
        <v>269</v>
      </c>
      <c r="K1660" s="1">
        <v>0.83451609953703698</v>
      </c>
      <c r="L1660">
        <f>YEAR(Coffe_sales[[#This Row],[Date]])</f>
        <v>2024</v>
      </c>
    </row>
    <row r="1661" spans="1:12" x14ac:dyDescent="0.2">
      <c r="A1661" t="s">
        <v>131</v>
      </c>
      <c r="B1661" t="s">
        <v>12</v>
      </c>
      <c r="C1661">
        <v>30.86</v>
      </c>
      <c r="D1661" t="s">
        <v>26</v>
      </c>
      <c r="E1661" t="s">
        <v>29</v>
      </c>
      <c r="F1661" t="s">
        <v>42</v>
      </c>
      <c r="G1661" t="s">
        <v>239</v>
      </c>
      <c r="H1661" t="s">
        <v>43</v>
      </c>
      <c r="I1661" t="s">
        <v>46</v>
      </c>
      <c r="J1661" t="s">
        <v>269</v>
      </c>
      <c r="K1661" s="1">
        <v>0.90355934027777773</v>
      </c>
      <c r="L1661">
        <f>YEAR(Coffe_sales[[#This Row],[Date]])</f>
        <v>2024</v>
      </c>
    </row>
    <row r="1662" spans="1:12" x14ac:dyDescent="0.2">
      <c r="A1662" t="s">
        <v>39</v>
      </c>
      <c r="B1662" t="s">
        <v>12</v>
      </c>
      <c r="C1662">
        <v>35.76</v>
      </c>
      <c r="D1662" t="s">
        <v>13</v>
      </c>
      <c r="E1662" t="s">
        <v>14</v>
      </c>
      <c r="F1662" t="s">
        <v>47</v>
      </c>
      <c r="G1662" t="s">
        <v>270</v>
      </c>
      <c r="H1662" t="s">
        <v>48</v>
      </c>
      <c r="I1662" t="s">
        <v>11</v>
      </c>
      <c r="J1662" t="s">
        <v>271</v>
      </c>
      <c r="K1662" s="1">
        <v>0.32440334490740741</v>
      </c>
      <c r="L1662">
        <f>YEAR(Coffe_sales[[#This Row],[Date]])</f>
        <v>2024</v>
      </c>
    </row>
    <row r="1663" spans="1:12" x14ac:dyDescent="0.2">
      <c r="A1663" t="s">
        <v>46</v>
      </c>
      <c r="B1663" t="s">
        <v>12</v>
      </c>
      <c r="C1663">
        <v>30.86</v>
      </c>
      <c r="D1663" t="s">
        <v>26</v>
      </c>
      <c r="E1663" t="s">
        <v>14</v>
      </c>
      <c r="F1663" t="s">
        <v>47</v>
      </c>
      <c r="G1663" t="s">
        <v>270</v>
      </c>
      <c r="H1663" t="s">
        <v>48</v>
      </c>
      <c r="I1663" t="s">
        <v>11</v>
      </c>
      <c r="J1663" t="s">
        <v>271</v>
      </c>
      <c r="K1663" s="1">
        <v>0.40868954861111112</v>
      </c>
      <c r="L1663">
        <f>YEAR(Coffe_sales[[#This Row],[Date]])</f>
        <v>2024</v>
      </c>
    </row>
    <row r="1664" spans="1:12" x14ac:dyDescent="0.2">
      <c r="A1664" t="s">
        <v>11</v>
      </c>
      <c r="B1664" t="s">
        <v>12</v>
      </c>
      <c r="C1664">
        <v>30.86</v>
      </c>
      <c r="D1664" t="s">
        <v>26</v>
      </c>
      <c r="E1664" t="s">
        <v>14</v>
      </c>
      <c r="F1664" t="s">
        <v>47</v>
      </c>
      <c r="G1664" t="s">
        <v>270</v>
      </c>
      <c r="H1664" t="s">
        <v>48</v>
      </c>
      <c r="I1664" t="s">
        <v>11</v>
      </c>
      <c r="J1664" t="s">
        <v>271</v>
      </c>
      <c r="K1664" s="1">
        <v>0.41836548611111113</v>
      </c>
      <c r="L1664">
        <f>YEAR(Coffe_sales[[#This Row],[Date]])</f>
        <v>2024</v>
      </c>
    </row>
    <row r="1665" spans="1:12" x14ac:dyDescent="0.2">
      <c r="A1665" t="s">
        <v>11</v>
      </c>
      <c r="B1665" t="s">
        <v>12</v>
      </c>
      <c r="C1665">
        <v>30.86</v>
      </c>
      <c r="D1665" t="s">
        <v>26</v>
      </c>
      <c r="E1665" t="s">
        <v>14</v>
      </c>
      <c r="F1665" t="s">
        <v>47</v>
      </c>
      <c r="G1665" t="s">
        <v>270</v>
      </c>
      <c r="H1665" t="s">
        <v>48</v>
      </c>
      <c r="I1665" t="s">
        <v>11</v>
      </c>
      <c r="J1665" t="s">
        <v>271</v>
      </c>
      <c r="K1665" s="1">
        <v>0.41929531250000002</v>
      </c>
      <c r="L1665">
        <f>YEAR(Coffe_sales[[#This Row],[Date]])</f>
        <v>2024</v>
      </c>
    </row>
    <row r="1666" spans="1:12" x14ac:dyDescent="0.2">
      <c r="A1666" t="s">
        <v>35</v>
      </c>
      <c r="B1666" t="s">
        <v>12</v>
      </c>
      <c r="C1666">
        <v>30.86</v>
      </c>
      <c r="D1666" t="s">
        <v>26</v>
      </c>
      <c r="E1666" t="s">
        <v>14</v>
      </c>
      <c r="F1666" t="s">
        <v>47</v>
      </c>
      <c r="G1666" t="s">
        <v>270</v>
      </c>
      <c r="H1666" t="s">
        <v>48</v>
      </c>
      <c r="I1666" t="s">
        <v>11</v>
      </c>
      <c r="J1666" t="s">
        <v>271</v>
      </c>
      <c r="K1666" s="1">
        <v>0.49689644675925926</v>
      </c>
      <c r="L1666">
        <f>YEAR(Coffe_sales[[#This Row],[Date]])</f>
        <v>2024</v>
      </c>
    </row>
    <row r="1667" spans="1:12" x14ac:dyDescent="0.2">
      <c r="A1667" t="s">
        <v>20</v>
      </c>
      <c r="B1667" t="s">
        <v>12</v>
      </c>
      <c r="C1667">
        <v>30.86</v>
      </c>
      <c r="D1667" t="s">
        <v>26</v>
      </c>
      <c r="E1667" t="s">
        <v>22</v>
      </c>
      <c r="F1667" t="s">
        <v>47</v>
      </c>
      <c r="G1667" t="s">
        <v>270</v>
      </c>
      <c r="H1667" t="s">
        <v>48</v>
      </c>
      <c r="I1667" t="s">
        <v>11</v>
      </c>
      <c r="J1667" t="s">
        <v>271</v>
      </c>
      <c r="K1667" s="1">
        <v>0.50889405092592588</v>
      </c>
      <c r="L1667">
        <f>YEAR(Coffe_sales[[#This Row],[Date]])</f>
        <v>2024</v>
      </c>
    </row>
    <row r="1668" spans="1:12" x14ac:dyDescent="0.2">
      <c r="A1668" t="s">
        <v>20</v>
      </c>
      <c r="B1668" t="s">
        <v>12</v>
      </c>
      <c r="C1668">
        <v>30.86</v>
      </c>
      <c r="D1668" t="s">
        <v>26</v>
      </c>
      <c r="E1668" t="s">
        <v>22</v>
      </c>
      <c r="F1668" t="s">
        <v>47</v>
      </c>
      <c r="G1668" t="s">
        <v>270</v>
      </c>
      <c r="H1668" t="s">
        <v>48</v>
      </c>
      <c r="I1668" t="s">
        <v>11</v>
      </c>
      <c r="J1668" t="s">
        <v>271</v>
      </c>
      <c r="K1668" s="1">
        <v>0.50999284722222227</v>
      </c>
      <c r="L1668">
        <f>YEAR(Coffe_sales[[#This Row],[Date]])</f>
        <v>2024</v>
      </c>
    </row>
    <row r="1669" spans="1:12" x14ac:dyDescent="0.2">
      <c r="A1669" t="s">
        <v>36</v>
      </c>
      <c r="B1669" t="s">
        <v>12</v>
      </c>
      <c r="C1669">
        <v>25.96</v>
      </c>
      <c r="D1669" t="s">
        <v>24</v>
      </c>
      <c r="E1669" t="s">
        <v>22</v>
      </c>
      <c r="F1669" t="s">
        <v>47</v>
      </c>
      <c r="G1669" t="s">
        <v>270</v>
      </c>
      <c r="H1669" t="s">
        <v>48</v>
      </c>
      <c r="I1669" t="s">
        <v>11</v>
      </c>
      <c r="J1669" t="s">
        <v>271</v>
      </c>
      <c r="K1669" s="1">
        <v>0.59554348379629629</v>
      </c>
      <c r="L1669">
        <f>YEAR(Coffe_sales[[#This Row],[Date]])</f>
        <v>2024</v>
      </c>
    </row>
    <row r="1670" spans="1:12" x14ac:dyDescent="0.2">
      <c r="A1670" t="s">
        <v>36</v>
      </c>
      <c r="B1670" t="s">
        <v>12</v>
      </c>
      <c r="C1670">
        <v>30.86</v>
      </c>
      <c r="D1670" t="s">
        <v>26</v>
      </c>
      <c r="E1670" t="s">
        <v>22</v>
      </c>
      <c r="F1670" t="s">
        <v>47</v>
      </c>
      <c r="G1670" t="s">
        <v>270</v>
      </c>
      <c r="H1670" t="s">
        <v>48</v>
      </c>
      <c r="I1670" t="s">
        <v>11</v>
      </c>
      <c r="J1670" t="s">
        <v>271</v>
      </c>
      <c r="K1670" s="1">
        <v>0.59644164351851847</v>
      </c>
      <c r="L1670">
        <f>YEAR(Coffe_sales[[#This Row],[Date]])</f>
        <v>2024</v>
      </c>
    </row>
    <row r="1671" spans="1:12" x14ac:dyDescent="0.2">
      <c r="A1671" t="s">
        <v>27</v>
      </c>
      <c r="B1671" t="s">
        <v>12</v>
      </c>
      <c r="C1671">
        <v>35.76</v>
      </c>
      <c r="D1671" t="s">
        <v>21</v>
      </c>
      <c r="E1671" t="s">
        <v>22</v>
      </c>
      <c r="F1671" t="s">
        <v>47</v>
      </c>
      <c r="G1671" t="s">
        <v>270</v>
      </c>
      <c r="H1671" t="s">
        <v>48</v>
      </c>
      <c r="I1671" t="s">
        <v>11</v>
      </c>
      <c r="J1671" t="s">
        <v>271</v>
      </c>
      <c r="K1671" s="1">
        <v>0.67267359953703709</v>
      </c>
      <c r="L1671">
        <f>YEAR(Coffe_sales[[#This Row],[Date]])</f>
        <v>2024</v>
      </c>
    </row>
    <row r="1672" spans="1:12" x14ac:dyDescent="0.2">
      <c r="A1672" t="s">
        <v>27</v>
      </c>
      <c r="B1672" t="s">
        <v>12</v>
      </c>
      <c r="C1672">
        <v>25.96</v>
      </c>
      <c r="D1672" t="s">
        <v>24</v>
      </c>
      <c r="E1672" t="s">
        <v>22</v>
      </c>
      <c r="F1672" t="s">
        <v>47</v>
      </c>
      <c r="G1672" t="s">
        <v>270</v>
      </c>
      <c r="H1672" t="s">
        <v>48</v>
      </c>
      <c r="I1672" t="s">
        <v>11</v>
      </c>
      <c r="J1672" t="s">
        <v>271</v>
      </c>
      <c r="K1672" s="1">
        <v>0.69576945601851847</v>
      </c>
      <c r="L1672">
        <f>YEAR(Coffe_sales[[#This Row],[Date]])</f>
        <v>2024</v>
      </c>
    </row>
    <row r="1673" spans="1:12" x14ac:dyDescent="0.2">
      <c r="A1673" t="s">
        <v>28</v>
      </c>
      <c r="B1673" t="s">
        <v>12</v>
      </c>
      <c r="C1673">
        <v>35.76</v>
      </c>
      <c r="D1673" t="s">
        <v>13</v>
      </c>
      <c r="E1673" t="s">
        <v>29</v>
      </c>
      <c r="F1673" t="s">
        <v>47</v>
      </c>
      <c r="G1673" t="s">
        <v>270</v>
      </c>
      <c r="H1673" t="s">
        <v>48</v>
      </c>
      <c r="I1673" t="s">
        <v>11</v>
      </c>
      <c r="J1673" t="s">
        <v>271</v>
      </c>
      <c r="K1673" s="1">
        <v>0.7558627893518518</v>
      </c>
      <c r="L1673">
        <f>YEAR(Coffe_sales[[#This Row],[Date]])</f>
        <v>2024</v>
      </c>
    </row>
    <row r="1674" spans="1:12" x14ac:dyDescent="0.2">
      <c r="A1674" t="s">
        <v>28</v>
      </c>
      <c r="B1674" t="s">
        <v>12</v>
      </c>
      <c r="C1674">
        <v>35.76</v>
      </c>
      <c r="D1674" t="s">
        <v>13</v>
      </c>
      <c r="E1674" t="s">
        <v>29</v>
      </c>
      <c r="F1674" t="s">
        <v>47</v>
      </c>
      <c r="G1674" t="s">
        <v>270</v>
      </c>
      <c r="H1674" t="s">
        <v>48</v>
      </c>
      <c r="I1674" t="s">
        <v>11</v>
      </c>
      <c r="J1674" t="s">
        <v>271</v>
      </c>
      <c r="K1674" s="1">
        <v>0.76610486111111109</v>
      </c>
      <c r="L1674">
        <f>YEAR(Coffe_sales[[#This Row],[Date]])</f>
        <v>2024</v>
      </c>
    </row>
    <row r="1675" spans="1:12" x14ac:dyDescent="0.2">
      <c r="A1675" t="s">
        <v>28</v>
      </c>
      <c r="B1675" t="s">
        <v>12</v>
      </c>
      <c r="C1675">
        <v>35.76</v>
      </c>
      <c r="D1675" t="s">
        <v>21</v>
      </c>
      <c r="E1675" t="s">
        <v>29</v>
      </c>
      <c r="F1675" t="s">
        <v>47</v>
      </c>
      <c r="G1675" t="s">
        <v>270</v>
      </c>
      <c r="H1675" t="s">
        <v>48</v>
      </c>
      <c r="I1675" t="s">
        <v>11</v>
      </c>
      <c r="J1675" t="s">
        <v>271</v>
      </c>
      <c r="K1675" s="1">
        <v>0.76683162037037034</v>
      </c>
      <c r="L1675">
        <f>YEAR(Coffe_sales[[#This Row],[Date]])</f>
        <v>2024</v>
      </c>
    </row>
    <row r="1676" spans="1:12" x14ac:dyDescent="0.2">
      <c r="A1676" t="s">
        <v>91</v>
      </c>
      <c r="B1676" t="s">
        <v>12</v>
      </c>
      <c r="C1676">
        <v>35.76</v>
      </c>
      <c r="D1676" t="s">
        <v>21</v>
      </c>
      <c r="E1676" t="s">
        <v>29</v>
      </c>
      <c r="F1676" t="s">
        <v>47</v>
      </c>
      <c r="G1676" t="s">
        <v>270</v>
      </c>
      <c r="H1676" t="s">
        <v>48</v>
      </c>
      <c r="I1676" t="s">
        <v>11</v>
      </c>
      <c r="J1676" t="s">
        <v>271</v>
      </c>
      <c r="K1676" s="1">
        <v>0.83567295138888886</v>
      </c>
      <c r="L1676">
        <f>YEAR(Coffe_sales[[#This Row],[Date]])</f>
        <v>2024</v>
      </c>
    </row>
    <row r="1677" spans="1:12" x14ac:dyDescent="0.2">
      <c r="A1677" t="s">
        <v>39</v>
      </c>
      <c r="B1677" t="s">
        <v>12</v>
      </c>
      <c r="C1677">
        <v>35.76</v>
      </c>
      <c r="D1677" t="s">
        <v>13</v>
      </c>
      <c r="E1677" t="s">
        <v>14</v>
      </c>
      <c r="F1677" t="s">
        <v>50</v>
      </c>
      <c r="G1677" t="s">
        <v>270</v>
      </c>
      <c r="H1677" t="s">
        <v>18</v>
      </c>
      <c r="I1677" t="s">
        <v>11</v>
      </c>
      <c r="J1677" t="s">
        <v>272</v>
      </c>
      <c r="K1677" s="1">
        <v>0.33146751157407406</v>
      </c>
      <c r="L1677">
        <f>YEAR(Coffe_sales[[#This Row],[Date]])</f>
        <v>2024</v>
      </c>
    </row>
    <row r="1678" spans="1:12" x14ac:dyDescent="0.2">
      <c r="A1678" t="s">
        <v>123</v>
      </c>
      <c r="B1678" t="s">
        <v>12</v>
      </c>
      <c r="C1678">
        <v>25.96</v>
      </c>
      <c r="D1678" t="s">
        <v>41</v>
      </c>
      <c r="E1678" t="s">
        <v>14</v>
      </c>
      <c r="F1678" t="s">
        <v>50</v>
      </c>
      <c r="G1678" t="s">
        <v>270</v>
      </c>
      <c r="H1678" t="s">
        <v>18</v>
      </c>
      <c r="I1678" t="s">
        <v>11</v>
      </c>
      <c r="J1678" t="s">
        <v>272</v>
      </c>
      <c r="K1678" s="1">
        <v>0.36301668981481483</v>
      </c>
      <c r="L1678">
        <f>YEAR(Coffe_sales[[#This Row],[Date]])</f>
        <v>2024</v>
      </c>
    </row>
    <row r="1679" spans="1:12" x14ac:dyDescent="0.2">
      <c r="A1679" t="s">
        <v>46</v>
      </c>
      <c r="B1679" t="s">
        <v>12</v>
      </c>
      <c r="C1679">
        <v>30.86</v>
      </c>
      <c r="D1679" t="s">
        <v>26</v>
      </c>
      <c r="E1679" t="s">
        <v>14</v>
      </c>
      <c r="F1679" t="s">
        <v>50</v>
      </c>
      <c r="G1679" t="s">
        <v>270</v>
      </c>
      <c r="H1679" t="s">
        <v>18</v>
      </c>
      <c r="I1679" t="s">
        <v>11</v>
      </c>
      <c r="J1679" t="s">
        <v>272</v>
      </c>
      <c r="K1679" s="1">
        <v>0.38839181712962961</v>
      </c>
      <c r="L1679">
        <f>YEAR(Coffe_sales[[#This Row],[Date]])</f>
        <v>2024</v>
      </c>
    </row>
    <row r="1680" spans="1:12" x14ac:dyDescent="0.2">
      <c r="A1680" t="s">
        <v>11</v>
      </c>
      <c r="B1680" t="s">
        <v>12</v>
      </c>
      <c r="C1680">
        <v>35.76</v>
      </c>
      <c r="D1680" t="s">
        <v>13</v>
      </c>
      <c r="E1680" t="s">
        <v>14</v>
      </c>
      <c r="F1680" t="s">
        <v>50</v>
      </c>
      <c r="G1680" t="s">
        <v>270</v>
      </c>
      <c r="H1680" t="s">
        <v>18</v>
      </c>
      <c r="I1680" t="s">
        <v>11</v>
      </c>
      <c r="J1680" t="s">
        <v>272</v>
      </c>
      <c r="K1680" s="1">
        <v>0.43196207175925927</v>
      </c>
      <c r="L1680">
        <f>YEAR(Coffe_sales[[#This Row],[Date]])</f>
        <v>2024</v>
      </c>
    </row>
    <row r="1681" spans="1:12" x14ac:dyDescent="0.2">
      <c r="A1681" t="s">
        <v>11</v>
      </c>
      <c r="B1681" t="s">
        <v>12</v>
      </c>
      <c r="C1681">
        <v>30.86</v>
      </c>
      <c r="D1681" t="s">
        <v>26</v>
      </c>
      <c r="E1681" t="s">
        <v>14</v>
      </c>
      <c r="F1681" t="s">
        <v>50</v>
      </c>
      <c r="G1681" t="s">
        <v>270</v>
      </c>
      <c r="H1681" t="s">
        <v>18</v>
      </c>
      <c r="I1681" t="s">
        <v>11</v>
      </c>
      <c r="J1681" t="s">
        <v>272</v>
      </c>
      <c r="K1681" s="1">
        <v>0.4332786111111111</v>
      </c>
      <c r="L1681">
        <f>YEAR(Coffe_sales[[#This Row],[Date]])</f>
        <v>2024</v>
      </c>
    </row>
    <row r="1682" spans="1:12" x14ac:dyDescent="0.2">
      <c r="A1682" t="s">
        <v>35</v>
      </c>
      <c r="B1682" t="s">
        <v>12</v>
      </c>
      <c r="C1682">
        <v>35.76</v>
      </c>
      <c r="D1682" t="s">
        <v>52</v>
      </c>
      <c r="E1682" t="s">
        <v>14</v>
      </c>
      <c r="F1682" t="s">
        <v>50</v>
      </c>
      <c r="G1682" t="s">
        <v>270</v>
      </c>
      <c r="H1682" t="s">
        <v>18</v>
      </c>
      <c r="I1682" t="s">
        <v>11</v>
      </c>
      <c r="J1682" t="s">
        <v>272</v>
      </c>
      <c r="K1682" s="1">
        <v>0.47840153935185187</v>
      </c>
      <c r="L1682">
        <f>YEAR(Coffe_sales[[#This Row],[Date]])</f>
        <v>2024</v>
      </c>
    </row>
    <row r="1683" spans="1:12" x14ac:dyDescent="0.2">
      <c r="A1683" t="s">
        <v>25</v>
      </c>
      <c r="B1683" t="s">
        <v>12</v>
      </c>
      <c r="C1683">
        <v>35.76</v>
      </c>
      <c r="D1683" t="s">
        <v>52</v>
      </c>
      <c r="E1683" t="s">
        <v>22</v>
      </c>
      <c r="F1683" t="s">
        <v>50</v>
      </c>
      <c r="G1683" t="s">
        <v>270</v>
      </c>
      <c r="H1683" t="s">
        <v>18</v>
      </c>
      <c r="I1683" t="s">
        <v>11</v>
      </c>
      <c r="J1683" t="s">
        <v>272</v>
      </c>
      <c r="K1683" s="1">
        <v>0.63451553240740743</v>
      </c>
      <c r="L1683">
        <f>YEAR(Coffe_sales[[#This Row],[Date]])</f>
        <v>2024</v>
      </c>
    </row>
    <row r="1684" spans="1:12" x14ac:dyDescent="0.2">
      <c r="A1684" t="s">
        <v>28</v>
      </c>
      <c r="B1684" t="s">
        <v>12</v>
      </c>
      <c r="C1684">
        <v>35.76</v>
      </c>
      <c r="D1684" t="s">
        <v>21</v>
      </c>
      <c r="E1684" t="s">
        <v>29</v>
      </c>
      <c r="F1684" t="s">
        <v>50</v>
      </c>
      <c r="G1684" t="s">
        <v>270</v>
      </c>
      <c r="H1684" t="s">
        <v>18</v>
      </c>
      <c r="I1684" t="s">
        <v>11</v>
      </c>
      <c r="J1684" t="s">
        <v>272</v>
      </c>
      <c r="K1684" s="1">
        <v>0.77161056712962961</v>
      </c>
      <c r="L1684">
        <f>YEAR(Coffe_sales[[#This Row],[Date]])</f>
        <v>2024</v>
      </c>
    </row>
    <row r="1685" spans="1:12" x14ac:dyDescent="0.2">
      <c r="A1685" t="s">
        <v>125</v>
      </c>
      <c r="B1685" t="s">
        <v>12</v>
      </c>
      <c r="C1685">
        <v>35.76</v>
      </c>
      <c r="D1685" t="s">
        <v>21</v>
      </c>
      <c r="E1685" t="s">
        <v>29</v>
      </c>
      <c r="F1685" t="s">
        <v>50</v>
      </c>
      <c r="G1685" t="s">
        <v>270</v>
      </c>
      <c r="H1685" t="s">
        <v>18</v>
      </c>
      <c r="I1685" t="s">
        <v>11</v>
      </c>
      <c r="J1685" t="s">
        <v>272</v>
      </c>
      <c r="K1685" s="1">
        <v>0.92980762731481481</v>
      </c>
      <c r="L1685">
        <f>YEAR(Coffe_sales[[#This Row],[Date]])</f>
        <v>2024</v>
      </c>
    </row>
    <row r="1686" spans="1:12" x14ac:dyDescent="0.2">
      <c r="A1686" t="s">
        <v>125</v>
      </c>
      <c r="B1686" t="s">
        <v>12</v>
      </c>
      <c r="C1686">
        <v>35.76</v>
      </c>
      <c r="D1686" t="s">
        <v>21</v>
      </c>
      <c r="E1686" t="s">
        <v>29</v>
      </c>
      <c r="F1686" t="s">
        <v>50</v>
      </c>
      <c r="G1686" t="s">
        <v>270</v>
      </c>
      <c r="H1686" t="s">
        <v>18</v>
      </c>
      <c r="I1686" t="s">
        <v>11</v>
      </c>
      <c r="J1686" t="s">
        <v>272</v>
      </c>
      <c r="K1686" s="1">
        <v>0.93033210648148146</v>
      </c>
      <c r="L1686">
        <f>YEAR(Coffe_sales[[#This Row],[Date]])</f>
        <v>2024</v>
      </c>
    </row>
    <row r="1687" spans="1:12" x14ac:dyDescent="0.2">
      <c r="A1687" t="s">
        <v>125</v>
      </c>
      <c r="B1687" t="s">
        <v>12</v>
      </c>
      <c r="C1687">
        <v>35.76</v>
      </c>
      <c r="D1687" t="s">
        <v>21</v>
      </c>
      <c r="E1687" t="s">
        <v>29</v>
      </c>
      <c r="F1687" t="s">
        <v>50</v>
      </c>
      <c r="G1687" t="s">
        <v>270</v>
      </c>
      <c r="H1687" t="s">
        <v>18</v>
      </c>
      <c r="I1687" t="s">
        <v>11</v>
      </c>
      <c r="J1687" t="s">
        <v>272</v>
      </c>
      <c r="K1687" s="1">
        <v>0.93082929398148151</v>
      </c>
      <c r="L1687">
        <f>YEAR(Coffe_sales[[#This Row],[Date]])</f>
        <v>2024</v>
      </c>
    </row>
    <row r="1688" spans="1:12" x14ac:dyDescent="0.2">
      <c r="A1688" t="s">
        <v>23</v>
      </c>
      <c r="B1688" t="s">
        <v>12</v>
      </c>
      <c r="C1688">
        <v>35.76</v>
      </c>
      <c r="D1688" t="s">
        <v>31</v>
      </c>
      <c r="E1688" t="s">
        <v>22</v>
      </c>
      <c r="F1688" t="s">
        <v>53</v>
      </c>
      <c r="G1688" t="s">
        <v>270</v>
      </c>
      <c r="H1688" t="s">
        <v>54</v>
      </c>
      <c r="I1688" t="s">
        <v>11</v>
      </c>
      <c r="J1688" t="s">
        <v>273</v>
      </c>
      <c r="K1688" s="1">
        <v>0.57472131944444449</v>
      </c>
      <c r="L1688">
        <f>YEAR(Coffe_sales[[#This Row],[Date]])</f>
        <v>2024</v>
      </c>
    </row>
    <row r="1689" spans="1:12" x14ac:dyDescent="0.2">
      <c r="A1689" t="s">
        <v>25</v>
      </c>
      <c r="B1689" t="s">
        <v>12</v>
      </c>
      <c r="C1689">
        <v>30.86</v>
      </c>
      <c r="D1689" t="s">
        <v>26</v>
      </c>
      <c r="E1689" t="s">
        <v>22</v>
      </c>
      <c r="F1689" t="s">
        <v>53</v>
      </c>
      <c r="G1689" t="s">
        <v>270</v>
      </c>
      <c r="H1689" t="s">
        <v>54</v>
      </c>
      <c r="I1689" t="s">
        <v>11</v>
      </c>
      <c r="J1689" t="s">
        <v>273</v>
      </c>
      <c r="K1689" s="1">
        <v>0.63339305555555558</v>
      </c>
      <c r="L1689">
        <f>YEAR(Coffe_sales[[#This Row],[Date]])</f>
        <v>2024</v>
      </c>
    </row>
    <row r="1690" spans="1:12" x14ac:dyDescent="0.2">
      <c r="A1690" t="s">
        <v>91</v>
      </c>
      <c r="B1690" t="s">
        <v>12</v>
      </c>
      <c r="C1690">
        <v>25.96</v>
      </c>
      <c r="D1690" t="s">
        <v>41</v>
      </c>
      <c r="E1690" t="s">
        <v>29</v>
      </c>
      <c r="F1690" t="s">
        <v>53</v>
      </c>
      <c r="G1690" t="s">
        <v>270</v>
      </c>
      <c r="H1690" t="s">
        <v>54</v>
      </c>
      <c r="I1690" t="s">
        <v>11</v>
      </c>
      <c r="J1690" t="s">
        <v>273</v>
      </c>
      <c r="K1690" s="1">
        <v>0.84233519675925927</v>
      </c>
      <c r="L1690">
        <f>YEAR(Coffe_sales[[#This Row],[Date]])</f>
        <v>2024</v>
      </c>
    </row>
    <row r="1691" spans="1:12" x14ac:dyDescent="0.2">
      <c r="A1691" t="s">
        <v>91</v>
      </c>
      <c r="B1691" t="s">
        <v>12</v>
      </c>
      <c r="C1691">
        <v>35.76</v>
      </c>
      <c r="D1691" t="s">
        <v>21</v>
      </c>
      <c r="E1691" t="s">
        <v>29</v>
      </c>
      <c r="F1691" t="s">
        <v>53</v>
      </c>
      <c r="G1691" t="s">
        <v>270</v>
      </c>
      <c r="H1691" t="s">
        <v>54</v>
      </c>
      <c r="I1691" t="s">
        <v>11</v>
      </c>
      <c r="J1691" t="s">
        <v>273</v>
      </c>
      <c r="K1691" s="1">
        <v>0.84311089120370375</v>
      </c>
      <c r="L1691">
        <f>YEAR(Coffe_sales[[#This Row],[Date]])</f>
        <v>2024</v>
      </c>
    </row>
    <row r="1692" spans="1:12" x14ac:dyDescent="0.2">
      <c r="A1692" t="s">
        <v>131</v>
      </c>
      <c r="B1692" t="s">
        <v>12</v>
      </c>
      <c r="C1692">
        <v>35.76</v>
      </c>
      <c r="D1692" t="s">
        <v>21</v>
      </c>
      <c r="E1692" t="s">
        <v>29</v>
      </c>
      <c r="F1692" t="s">
        <v>53</v>
      </c>
      <c r="G1692" t="s">
        <v>270</v>
      </c>
      <c r="H1692" t="s">
        <v>54</v>
      </c>
      <c r="I1692" t="s">
        <v>11</v>
      </c>
      <c r="J1692" t="s">
        <v>273</v>
      </c>
      <c r="K1692" s="1">
        <v>0.88965620370370369</v>
      </c>
      <c r="L1692">
        <f>YEAR(Coffe_sales[[#This Row],[Date]])</f>
        <v>2024</v>
      </c>
    </row>
    <row r="1693" spans="1:12" x14ac:dyDescent="0.2">
      <c r="A1693" t="s">
        <v>131</v>
      </c>
      <c r="B1693" t="s">
        <v>12</v>
      </c>
      <c r="C1693">
        <v>35.76</v>
      </c>
      <c r="D1693" t="s">
        <v>21</v>
      </c>
      <c r="E1693" t="s">
        <v>29</v>
      </c>
      <c r="F1693" t="s">
        <v>53</v>
      </c>
      <c r="G1693" t="s">
        <v>270</v>
      </c>
      <c r="H1693" t="s">
        <v>54</v>
      </c>
      <c r="I1693" t="s">
        <v>11</v>
      </c>
      <c r="J1693" t="s">
        <v>273</v>
      </c>
      <c r="K1693" s="1">
        <v>0.89012474537037034</v>
      </c>
      <c r="L1693">
        <f>YEAR(Coffe_sales[[#This Row],[Date]])</f>
        <v>2024</v>
      </c>
    </row>
    <row r="1694" spans="1:12" x14ac:dyDescent="0.2">
      <c r="A1694" t="s">
        <v>131</v>
      </c>
      <c r="B1694" t="s">
        <v>12</v>
      </c>
      <c r="C1694">
        <v>35.76</v>
      </c>
      <c r="D1694" t="s">
        <v>52</v>
      </c>
      <c r="E1694" t="s">
        <v>29</v>
      </c>
      <c r="F1694" t="s">
        <v>53</v>
      </c>
      <c r="G1694" t="s">
        <v>270</v>
      </c>
      <c r="H1694" t="s">
        <v>54</v>
      </c>
      <c r="I1694" t="s">
        <v>11</v>
      </c>
      <c r="J1694" t="s">
        <v>273</v>
      </c>
      <c r="K1694" s="1">
        <v>0.89517812500000005</v>
      </c>
      <c r="L1694">
        <f>YEAR(Coffe_sales[[#This Row],[Date]])</f>
        <v>2024</v>
      </c>
    </row>
    <row r="1695" spans="1:12" x14ac:dyDescent="0.2">
      <c r="A1695" t="s">
        <v>131</v>
      </c>
      <c r="B1695" t="s">
        <v>12</v>
      </c>
      <c r="C1695">
        <v>35.76</v>
      </c>
      <c r="D1695" t="s">
        <v>21</v>
      </c>
      <c r="E1695" t="s">
        <v>29</v>
      </c>
      <c r="F1695" t="s">
        <v>53</v>
      </c>
      <c r="G1695" t="s">
        <v>270</v>
      </c>
      <c r="H1695" t="s">
        <v>54</v>
      </c>
      <c r="I1695" t="s">
        <v>11</v>
      </c>
      <c r="J1695" t="s">
        <v>273</v>
      </c>
      <c r="K1695" s="1">
        <v>0.89653299768518524</v>
      </c>
      <c r="L1695">
        <f>YEAR(Coffe_sales[[#This Row],[Date]])</f>
        <v>2024</v>
      </c>
    </row>
    <row r="1696" spans="1:12" x14ac:dyDescent="0.2">
      <c r="A1696" t="s">
        <v>123</v>
      </c>
      <c r="B1696" t="s">
        <v>12</v>
      </c>
      <c r="C1696">
        <v>25.96</v>
      </c>
      <c r="D1696" t="s">
        <v>24</v>
      </c>
      <c r="E1696" t="s">
        <v>14</v>
      </c>
      <c r="F1696" t="s">
        <v>15</v>
      </c>
      <c r="G1696" t="s">
        <v>270</v>
      </c>
      <c r="H1696" t="s">
        <v>17</v>
      </c>
      <c r="I1696" t="s">
        <v>11</v>
      </c>
      <c r="J1696" t="s">
        <v>274</v>
      </c>
      <c r="K1696" s="1">
        <v>0.36389899305555556</v>
      </c>
      <c r="L1696">
        <f>YEAR(Coffe_sales[[#This Row],[Date]])</f>
        <v>2024</v>
      </c>
    </row>
    <row r="1697" spans="1:12" x14ac:dyDescent="0.2">
      <c r="A1697" t="s">
        <v>123</v>
      </c>
      <c r="B1697" t="s">
        <v>12</v>
      </c>
      <c r="C1697">
        <v>25.96</v>
      </c>
      <c r="D1697" t="s">
        <v>24</v>
      </c>
      <c r="E1697" t="s">
        <v>14</v>
      </c>
      <c r="F1697" t="s">
        <v>15</v>
      </c>
      <c r="G1697" t="s">
        <v>270</v>
      </c>
      <c r="H1697" t="s">
        <v>17</v>
      </c>
      <c r="I1697" t="s">
        <v>11</v>
      </c>
      <c r="J1697" t="s">
        <v>274</v>
      </c>
      <c r="K1697" s="1">
        <v>0.36503416666666666</v>
      </c>
      <c r="L1697">
        <f>YEAR(Coffe_sales[[#This Row],[Date]])</f>
        <v>2024</v>
      </c>
    </row>
    <row r="1698" spans="1:12" x14ac:dyDescent="0.2">
      <c r="A1698" t="s">
        <v>46</v>
      </c>
      <c r="B1698" t="s">
        <v>12</v>
      </c>
      <c r="C1698">
        <v>30.86</v>
      </c>
      <c r="D1698" t="s">
        <v>26</v>
      </c>
      <c r="E1698" t="s">
        <v>14</v>
      </c>
      <c r="F1698" t="s">
        <v>15</v>
      </c>
      <c r="G1698" t="s">
        <v>270</v>
      </c>
      <c r="H1698" t="s">
        <v>17</v>
      </c>
      <c r="I1698" t="s">
        <v>11</v>
      </c>
      <c r="J1698" t="s">
        <v>274</v>
      </c>
      <c r="K1698" s="1">
        <v>0.39608840277777779</v>
      </c>
      <c r="L1698">
        <f>YEAR(Coffe_sales[[#This Row],[Date]])</f>
        <v>2024</v>
      </c>
    </row>
    <row r="1699" spans="1:12" x14ac:dyDescent="0.2">
      <c r="A1699" t="s">
        <v>46</v>
      </c>
      <c r="B1699" t="s">
        <v>12</v>
      </c>
      <c r="C1699">
        <v>25.96</v>
      </c>
      <c r="D1699" t="s">
        <v>24</v>
      </c>
      <c r="E1699" t="s">
        <v>14</v>
      </c>
      <c r="F1699" t="s">
        <v>15</v>
      </c>
      <c r="G1699" t="s">
        <v>270</v>
      </c>
      <c r="H1699" t="s">
        <v>17</v>
      </c>
      <c r="I1699" t="s">
        <v>11</v>
      </c>
      <c r="J1699" t="s">
        <v>274</v>
      </c>
      <c r="K1699" s="1">
        <v>0.39684109953703706</v>
      </c>
      <c r="L1699">
        <f>YEAR(Coffe_sales[[#This Row],[Date]])</f>
        <v>2024</v>
      </c>
    </row>
    <row r="1700" spans="1:12" x14ac:dyDescent="0.2">
      <c r="A1700" t="s">
        <v>46</v>
      </c>
      <c r="B1700" t="s">
        <v>12</v>
      </c>
      <c r="C1700">
        <v>25.96</v>
      </c>
      <c r="D1700" t="s">
        <v>41</v>
      </c>
      <c r="E1700" t="s">
        <v>14</v>
      </c>
      <c r="F1700" t="s">
        <v>15</v>
      </c>
      <c r="G1700" t="s">
        <v>270</v>
      </c>
      <c r="H1700" t="s">
        <v>17</v>
      </c>
      <c r="I1700" t="s">
        <v>11</v>
      </c>
      <c r="J1700" t="s">
        <v>274</v>
      </c>
      <c r="K1700" s="1">
        <v>0.41248353009259259</v>
      </c>
      <c r="L1700">
        <f>YEAR(Coffe_sales[[#This Row],[Date]])</f>
        <v>2024</v>
      </c>
    </row>
    <row r="1701" spans="1:12" x14ac:dyDescent="0.2">
      <c r="A1701" t="s">
        <v>46</v>
      </c>
      <c r="B1701" t="s">
        <v>12</v>
      </c>
      <c r="C1701">
        <v>25.96</v>
      </c>
      <c r="D1701" t="s">
        <v>41</v>
      </c>
      <c r="E1701" t="s">
        <v>14</v>
      </c>
      <c r="F1701" t="s">
        <v>15</v>
      </c>
      <c r="G1701" t="s">
        <v>270</v>
      </c>
      <c r="H1701" t="s">
        <v>17</v>
      </c>
      <c r="I1701" t="s">
        <v>11</v>
      </c>
      <c r="J1701" t="s">
        <v>274</v>
      </c>
      <c r="K1701" s="1">
        <v>0.4132471875</v>
      </c>
      <c r="L1701">
        <f>YEAR(Coffe_sales[[#This Row],[Date]])</f>
        <v>2024</v>
      </c>
    </row>
    <row r="1702" spans="1:12" x14ac:dyDescent="0.2">
      <c r="A1702" t="s">
        <v>37</v>
      </c>
      <c r="B1702" t="s">
        <v>12</v>
      </c>
      <c r="C1702">
        <v>35.76</v>
      </c>
      <c r="D1702" t="s">
        <v>13</v>
      </c>
      <c r="E1702" t="s">
        <v>29</v>
      </c>
      <c r="F1702" t="s">
        <v>15</v>
      </c>
      <c r="G1702" t="s">
        <v>270</v>
      </c>
      <c r="H1702" t="s">
        <v>17</v>
      </c>
      <c r="I1702" t="s">
        <v>11</v>
      </c>
      <c r="J1702" t="s">
        <v>274</v>
      </c>
      <c r="K1702" s="1">
        <v>0.73281028935185188</v>
      </c>
      <c r="L1702">
        <f>YEAR(Coffe_sales[[#This Row],[Date]])</f>
        <v>2024</v>
      </c>
    </row>
    <row r="1703" spans="1:12" x14ac:dyDescent="0.2">
      <c r="A1703" t="s">
        <v>37</v>
      </c>
      <c r="B1703" t="s">
        <v>12</v>
      </c>
      <c r="C1703">
        <v>35.76</v>
      </c>
      <c r="D1703" t="s">
        <v>21</v>
      </c>
      <c r="E1703" t="s">
        <v>29</v>
      </c>
      <c r="F1703" t="s">
        <v>15</v>
      </c>
      <c r="G1703" t="s">
        <v>270</v>
      </c>
      <c r="H1703" t="s">
        <v>17</v>
      </c>
      <c r="I1703" t="s">
        <v>11</v>
      </c>
      <c r="J1703" t="s">
        <v>274</v>
      </c>
      <c r="K1703" s="1">
        <v>0.737756724537037</v>
      </c>
      <c r="L1703">
        <f>YEAR(Coffe_sales[[#This Row],[Date]])</f>
        <v>2024</v>
      </c>
    </row>
    <row r="1704" spans="1:12" x14ac:dyDescent="0.2">
      <c r="A1704" t="s">
        <v>37</v>
      </c>
      <c r="B1704" t="s">
        <v>12</v>
      </c>
      <c r="C1704">
        <v>35.76</v>
      </c>
      <c r="D1704" t="s">
        <v>31</v>
      </c>
      <c r="E1704" t="s">
        <v>29</v>
      </c>
      <c r="F1704" t="s">
        <v>15</v>
      </c>
      <c r="G1704" t="s">
        <v>270</v>
      </c>
      <c r="H1704" t="s">
        <v>17</v>
      </c>
      <c r="I1704" t="s">
        <v>11</v>
      </c>
      <c r="J1704" t="s">
        <v>274</v>
      </c>
      <c r="K1704" s="1">
        <v>0.73930983796296301</v>
      </c>
      <c r="L1704">
        <f>YEAR(Coffe_sales[[#This Row],[Date]])</f>
        <v>2024</v>
      </c>
    </row>
    <row r="1705" spans="1:12" x14ac:dyDescent="0.2">
      <c r="A1705" t="s">
        <v>46</v>
      </c>
      <c r="B1705" t="s">
        <v>12</v>
      </c>
      <c r="C1705">
        <v>25.96</v>
      </c>
      <c r="D1705" t="s">
        <v>41</v>
      </c>
      <c r="E1705" t="s">
        <v>14</v>
      </c>
      <c r="F1705" t="s">
        <v>32</v>
      </c>
      <c r="G1705" t="s">
        <v>270</v>
      </c>
      <c r="H1705" t="s">
        <v>33</v>
      </c>
      <c r="I1705" t="s">
        <v>11</v>
      </c>
      <c r="J1705" t="s">
        <v>275</v>
      </c>
      <c r="K1705" s="1">
        <v>0.3755423726851852</v>
      </c>
      <c r="L1705">
        <f>YEAR(Coffe_sales[[#This Row],[Date]])</f>
        <v>2024</v>
      </c>
    </row>
    <row r="1706" spans="1:12" x14ac:dyDescent="0.2">
      <c r="A1706" t="s">
        <v>46</v>
      </c>
      <c r="B1706" t="s">
        <v>12</v>
      </c>
      <c r="C1706">
        <v>25.96</v>
      </c>
      <c r="D1706" t="s">
        <v>41</v>
      </c>
      <c r="E1706" t="s">
        <v>14</v>
      </c>
      <c r="F1706" t="s">
        <v>32</v>
      </c>
      <c r="G1706" t="s">
        <v>270</v>
      </c>
      <c r="H1706" t="s">
        <v>33</v>
      </c>
      <c r="I1706" t="s">
        <v>11</v>
      </c>
      <c r="J1706" t="s">
        <v>275</v>
      </c>
      <c r="K1706" s="1">
        <v>0.37618829861111114</v>
      </c>
      <c r="L1706">
        <f>YEAR(Coffe_sales[[#This Row],[Date]])</f>
        <v>2024</v>
      </c>
    </row>
    <row r="1707" spans="1:12" x14ac:dyDescent="0.2">
      <c r="A1707" t="s">
        <v>46</v>
      </c>
      <c r="B1707" t="s">
        <v>12</v>
      </c>
      <c r="C1707">
        <v>35.76</v>
      </c>
      <c r="D1707" t="s">
        <v>31</v>
      </c>
      <c r="E1707" t="s">
        <v>14</v>
      </c>
      <c r="F1707" t="s">
        <v>32</v>
      </c>
      <c r="G1707" t="s">
        <v>270</v>
      </c>
      <c r="H1707" t="s">
        <v>33</v>
      </c>
      <c r="I1707" t="s">
        <v>11</v>
      </c>
      <c r="J1707" t="s">
        <v>275</v>
      </c>
      <c r="K1707" s="1">
        <v>0.39982526620370368</v>
      </c>
      <c r="L1707">
        <f>YEAR(Coffe_sales[[#This Row],[Date]])</f>
        <v>2024</v>
      </c>
    </row>
    <row r="1708" spans="1:12" x14ac:dyDescent="0.2">
      <c r="A1708" t="s">
        <v>23</v>
      </c>
      <c r="B1708" t="s">
        <v>12</v>
      </c>
      <c r="C1708">
        <v>35.76</v>
      </c>
      <c r="D1708" t="s">
        <v>52</v>
      </c>
      <c r="E1708" t="s">
        <v>22</v>
      </c>
      <c r="F1708" t="s">
        <v>32</v>
      </c>
      <c r="G1708" t="s">
        <v>270</v>
      </c>
      <c r="H1708" t="s">
        <v>33</v>
      </c>
      <c r="I1708" t="s">
        <v>11</v>
      </c>
      <c r="J1708" t="s">
        <v>275</v>
      </c>
      <c r="K1708" s="1">
        <v>0.55015376157407403</v>
      </c>
      <c r="L1708">
        <f>YEAR(Coffe_sales[[#This Row],[Date]])</f>
        <v>2024</v>
      </c>
    </row>
    <row r="1709" spans="1:12" x14ac:dyDescent="0.2">
      <c r="A1709" t="s">
        <v>91</v>
      </c>
      <c r="B1709" t="s">
        <v>12</v>
      </c>
      <c r="C1709">
        <v>25.96</v>
      </c>
      <c r="D1709" t="s">
        <v>24</v>
      </c>
      <c r="E1709" t="s">
        <v>29</v>
      </c>
      <c r="F1709" t="s">
        <v>32</v>
      </c>
      <c r="G1709" t="s">
        <v>270</v>
      </c>
      <c r="H1709" t="s">
        <v>33</v>
      </c>
      <c r="I1709" t="s">
        <v>11</v>
      </c>
      <c r="J1709" t="s">
        <v>275</v>
      </c>
      <c r="K1709" s="1">
        <v>0.83932937500000004</v>
      </c>
      <c r="L1709">
        <f>YEAR(Coffe_sales[[#This Row],[Date]])</f>
        <v>2024</v>
      </c>
    </row>
    <row r="1710" spans="1:12" x14ac:dyDescent="0.2">
      <c r="A1710" t="s">
        <v>91</v>
      </c>
      <c r="B1710" t="s">
        <v>12</v>
      </c>
      <c r="C1710">
        <v>25.96</v>
      </c>
      <c r="D1710" t="s">
        <v>24</v>
      </c>
      <c r="E1710" t="s">
        <v>29</v>
      </c>
      <c r="F1710" t="s">
        <v>32</v>
      </c>
      <c r="G1710" t="s">
        <v>270</v>
      </c>
      <c r="H1710" t="s">
        <v>33</v>
      </c>
      <c r="I1710" t="s">
        <v>11</v>
      </c>
      <c r="J1710" t="s">
        <v>275</v>
      </c>
      <c r="K1710" s="1">
        <v>0.83997276620370376</v>
      </c>
      <c r="L1710">
        <f>YEAR(Coffe_sales[[#This Row],[Date]])</f>
        <v>2024</v>
      </c>
    </row>
    <row r="1711" spans="1:12" x14ac:dyDescent="0.2">
      <c r="A1711" t="s">
        <v>123</v>
      </c>
      <c r="B1711" t="s">
        <v>12</v>
      </c>
      <c r="C1711">
        <v>25.96</v>
      </c>
      <c r="D1711" t="s">
        <v>41</v>
      </c>
      <c r="E1711" t="s">
        <v>14</v>
      </c>
      <c r="F1711" t="s">
        <v>38</v>
      </c>
      <c r="G1711" t="s">
        <v>270</v>
      </c>
      <c r="H1711" t="s">
        <v>39</v>
      </c>
      <c r="I1711" t="s">
        <v>11</v>
      </c>
      <c r="J1711" t="s">
        <v>276</v>
      </c>
      <c r="K1711" s="1">
        <v>0.34926760416666669</v>
      </c>
      <c r="L1711">
        <f>YEAR(Coffe_sales[[#This Row],[Date]])</f>
        <v>2024</v>
      </c>
    </row>
    <row r="1712" spans="1:12" x14ac:dyDescent="0.2">
      <c r="A1712" t="s">
        <v>11</v>
      </c>
      <c r="B1712" t="s">
        <v>12</v>
      </c>
      <c r="C1712">
        <v>35.76</v>
      </c>
      <c r="D1712" t="s">
        <v>52</v>
      </c>
      <c r="E1712" t="s">
        <v>14</v>
      </c>
      <c r="F1712" t="s">
        <v>38</v>
      </c>
      <c r="G1712" t="s">
        <v>270</v>
      </c>
      <c r="H1712" t="s">
        <v>39</v>
      </c>
      <c r="I1712" t="s">
        <v>11</v>
      </c>
      <c r="J1712" t="s">
        <v>276</v>
      </c>
      <c r="K1712" s="1">
        <v>0.42064400462962964</v>
      </c>
      <c r="L1712">
        <f>YEAR(Coffe_sales[[#This Row],[Date]])</f>
        <v>2024</v>
      </c>
    </row>
    <row r="1713" spans="1:12" x14ac:dyDescent="0.2">
      <c r="A1713" t="s">
        <v>11</v>
      </c>
      <c r="B1713" t="s">
        <v>12</v>
      </c>
      <c r="C1713">
        <v>25.96</v>
      </c>
      <c r="D1713" t="s">
        <v>41</v>
      </c>
      <c r="E1713" t="s">
        <v>14</v>
      </c>
      <c r="F1713" t="s">
        <v>38</v>
      </c>
      <c r="G1713" t="s">
        <v>270</v>
      </c>
      <c r="H1713" t="s">
        <v>39</v>
      </c>
      <c r="I1713" t="s">
        <v>11</v>
      </c>
      <c r="J1713" t="s">
        <v>276</v>
      </c>
      <c r="K1713" s="1">
        <v>0.42137888888888891</v>
      </c>
      <c r="L1713">
        <f>YEAR(Coffe_sales[[#This Row],[Date]])</f>
        <v>2024</v>
      </c>
    </row>
    <row r="1714" spans="1:12" x14ac:dyDescent="0.2">
      <c r="A1714" t="s">
        <v>35</v>
      </c>
      <c r="B1714" t="s">
        <v>12</v>
      </c>
      <c r="C1714">
        <v>35.76</v>
      </c>
      <c r="D1714" t="s">
        <v>13</v>
      </c>
      <c r="E1714" t="s">
        <v>14</v>
      </c>
      <c r="F1714" t="s">
        <v>38</v>
      </c>
      <c r="G1714" t="s">
        <v>270</v>
      </c>
      <c r="H1714" t="s">
        <v>39</v>
      </c>
      <c r="I1714" t="s">
        <v>11</v>
      </c>
      <c r="J1714" t="s">
        <v>276</v>
      </c>
      <c r="K1714" s="1">
        <v>0.49686164351851853</v>
      </c>
      <c r="L1714">
        <f>YEAR(Coffe_sales[[#This Row],[Date]])</f>
        <v>2024</v>
      </c>
    </row>
    <row r="1715" spans="1:12" x14ac:dyDescent="0.2">
      <c r="A1715" t="s">
        <v>20</v>
      </c>
      <c r="B1715" t="s">
        <v>12</v>
      </c>
      <c r="C1715">
        <v>35.76</v>
      </c>
      <c r="D1715" t="s">
        <v>13</v>
      </c>
      <c r="E1715" t="s">
        <v>22</v>
      </c>
      <c r="F1715" t="s">
        <v>38</v>
      </c>
      <c r="G1715" t="s">
        <v>270</v>
      </c>
      <c r="H1715" t="s">
        <v>39</v>
      </c>
      <c r="I1715" t="s">
        <v>11</v>
      </c>
      <c r="J1715" t="s">
        <v>276</v>
      </c>
      <c r="K1715" s="1">
        <v>0.50629458333333333</v>
      </c>
      <c r="L1715">
        <f>YEAR(Coffe_sales[[#This Row],[Date]])</f>
        <v>2024</v>
      </c>
    </row>
    <row r="1716" spans="1:12" x14ac:dyDescent="0.2">
      <c r="A1716" t="s">
        <v>20</v>
      </c>
      <c r="B1716" t="s">
        <v>12</v>
      </c>
      <c r="C1716">
        <v>35.76</v>
      </c>
      <c r="D1716" t="s">
        <v>52</v>
      </c>
      <c r="E1716" t="s">
        <v>22</v>
      </c>
      <c r="F1716" t="s">
        <v>38</v>
      </c>
      <c r="G1716" t="s">
        <v>270</v>
      </c>
      <c r="H1716" t="s">
        <v>39</v>
      </c>
      <c r="I1716" t="s">
        <v>11</v>
      </c>
      <c r="J1716" t="s">
        <v>276</v>
      </c>
      <c r="K1716" s="1">
        <v>0.50714517361111111</v>
      </c>
      <c r="L1716">
        <f>YEAR(Coffe_sales[[#This Row],[Date]])</f>
        <v>2024</v>
      </c>
    </row>
    <row r="1717" spans="1:12" x14ac:dyDescent="0.2">
      <c r="A1717" t="s">
        <v>20</v>
      </c>
      <c r="B1717" t="s">
        <v>12</v>
      </c>
      <c r="C1717">
        <v>30.86</v>
      </c>
      <c r="D1717" t="s">
        <v>26</v>
      </c>
      <c r="E1717" t="s">
        <v>22</v>
      </c>
      <c r="F1717" t="s">
        <v>38</v>
      </c>
      <c r="G1717" t="s">
        <v>270</v>
      </c>
      <c r="H1717" t="s">
        <v>39</v>
      </c>
      <c r="I1717" t="s">
        <v>11</v>
      </c>
      <c r="J1717" t="s">
        <v>276</v>
      </c>
      <c r="K1717" s="1">
        <v>0.50814074074074078</v>
      </c>
      <c r="L1717">
        <f>YEAR(Coffe_sales[[#This Row],[Date]])</f>
        <v>2024</v>
      </c>
    </row>
    <row r="1718" spans="1:12" x14ac:dyDescent="0.2">
      <c r="A1718" t="s">
        <v>23</v>
      </c>
      <c r="B1718" t="s">
        <v>12</v>
      </c>
      <c r="C1718">
        <v>25.96</v>
      </c>
      <c r="D1718" t="s">
        <v>24</v>
      </c>
      <c r="E1718" t="s">
        <v>22</v>
      </c>
      <c r="F1718" t="s">
        <v>38</v>
      </c>
      <c r="G1718" t="s">
        <v>270</v>
      </c>
      <c r="H1718" t="s">
        <v>39</v>
      </c>
      <c r="I1718" t="s">
        <v>11</v>
      </c>
      <c r="J1718" t="s">
        <v>276</v>
      </c>
      <c r="K1718" s="1">
        <v>0.57365364583333334</v>
      </c>
      <c r="L1718">
        <f>YEAR(Coffe_sales[[#This Row],[Date]])</f>
        <v>2024</v>
      </c>
    </row>
    <row r="1719" spans="1:12" x14ac:dyDescent="0.2">
      <c r="A1719" t="s">
        <v>23</v>
      </c>
      <c r="B1719" t="s">
        <v>12</v>
      </c>
      <c r="C1719">
        <v>35.76</v>
      </c>
      <c r="D1719" t="s">
        <v>52</v>
      </c>
      <c r="E1719" t="s">
        <v>22</v>
      </c>
      <c r="F1719" t="s">
        <v>38</v>
      </c>
      <c r="G1719" t="s">
        <v>270</v>
      </c>
      <c r="H1719" t="s">
        <v>39</v>
      </c>
      <c r="I1719" t="s">
        <v>11</v>
      </c>
      <c r="J1719" t="s">
        <v>276</v>
      </c>
      <c r="K1719" s="1">
        <v>0.57432815972222218</v>
      </c>
      <c r="L1719">
        <f>YEAR(Coffe_sales[[#This Row],[Date]])</f>
        <v>2024</v>
      </c>
    </row>
    <row r="1720" spans="1:12" x14ac:dyDescent="0.2">
      <c r="A1720" t="s">
        <v>23</v>
      </c>
      <c r="B1720" t="s">
        <v>12</v>
      </c>
      <c r="C1720">
        <v>30.86</v>
      </c>
      <c r="D1720" t="s">
        <v>26</v>
      </c>
      <c r="E1720" t="s">
        <v>22</v>
      </c>
      <c r="F1720" t="s">
        <v>38</v>
      </c>
      <c r="G1720" t="s">
        <v>270</v>
      </c>
      <c r="H1720" t="s">
        <v>39</v>
      </c>
      <c r="I1720" t="s">
        <v>11</v>
      </c>
      <c r="J1720" t="s">
        <v>276</v>
      </c>
      <c r="K1720" s="1">
        <v>0.57639050925925928</v>
      </c>
      <c r="L1720">
        <f>YEAR(Coffe_sales[[#This Row],[Date]])</f>
        <v>2024</v>
      </c>
    </row>
    <row r="1721" spans="1:12" x14ac:dyDescent="0.2">
      <c r="A1721" t="s">
        <v>23</v>
      </c>
      <c r="B1721" t="s">
        <v>12</v>
      </c>
      <c r="C1721">
        <v>35.76</v>
      </c>
      <c r="D1721" t="s">
        <v>13</v>
      </c>
      <c r="E1721" t="s">
        <v>22</v>
      </c>
      <c r="F1721" t="s">
        <v>38</v>
      </c>
      <c r="G1721" t="s">
        <v>270</v>
      </c>
      <c r="H1721" t="s">
        <v>39</v>
      </c>
      <c r="I1721" t="s">
        <v>11</v>
      </c>
      <c r="J1721" t="s">
        <v>276</v>
      </c>
      <c r="K1721" s="1">
        <v>0.57713252314814811</v>
      </c>
      <c r="L1721">
        <f>YEAR(Coffe_sales[[#This Row],[Date]])</f>
        <v>2024</v>
      </c>
    </row>
    <row r="1722" spans="1:12" x14ac:dyDescent="0.2">
      <c r="A1722" t="s">
        <v>23</v>
      </c>
      <c r="B1722" t="s">
        <v>12</v>
      </c>
      <c r="C1722">
        <v>35.76</v>
      </c>
      <c r="D1722" t="s">
        <v>52</v>
      </c>
      <c r="E1722" t="s">
        <v>22</v>
      </c>
      <c r="F1722" t="s">
        <v>38</v>
      </c>
      <c r="G1722" t="s">
        <v>270</v>
      </c>
      <c r="H1722" t="s">
        <v>39</v>
      </c>
      <c r="I1722" t="s">
        <v>11</v>
      </c>
      <c r="J1722" t="s">
        <v>276</v>
      </c>
      <c r="K1722" s="1">
        <v>0.57773475694444443</v>
      </c>
      <c r="L1722">
        <f>YEAR(Coffe_sales[[#This Row],[Date]])</f>
        <v>2024</v>
      </c>
    </row>
    <row r="1723" spans="1:12" x14ac:dyDescent="0.2">
      <c r="A1723" t="s">
        <v>27</v>
      </c>
      <c r="B1723" t="s">
        <v>12</v>
      </c>
      <c r="C1723">
        <v>35.76</v>
      </c>
      <c r="D1723" t="s">
        <v>52</v>
      </c>
      <c r="E1723" t="s">
        <v>22</v>
      </c>
      <c r="F1723" t="s">
        <v>38</v>
      </c>
      <c r="G1723" t="s">
        <v>270</v>
      </c>
      <c r="H1723" t="s">
        <v>39</v>
      </c>
      <c r="I1723" t="s">
        <v>11</v>
      </c>
      <c r="J1723" t="s">
        <v>276</v>
      </c>
      <c r="K1723" s="1">
        <v>0.68858319444444449</v>
      </c>
      <c r="L1723">
        <f>YEAR(Coffe_sales[[#This Row],[Date]])</f>
        <v>2024</v>
      </c>
    </row>
    <row r="1724" spans="1:12" x14ac:dyDescent="0.2">
      <c r="A1724" t="s">
        <v>27</v>
      </c>
      <c r="B1724" t="s">
        <v>12</v>
      </c>
      <c r="C1724">
        <v>21.06</v>
      </c>
      <c r="D1724" t="s">
        <v>45</v>
      </c>
      <c r="E1724" t="s">
        <v>22</v>
      </c>
      <c r="F1724" t="s">
        <v>38</v>
      </c>
      <c r="G1724" t="s">
        <v>270</v>
      </c>
      <c r="H1724" t="s">
        <v>39</v>
      </c>
      <c r="I1724" t="s">
        <v>11</v>
      </c>
      <c r="J1724" t="s">
        <v>276</v>
      </c>
      <c r="K1724" s="1">
        <v>0.69150028935185182</v>
      </c>
      <c r="L1724">
        <f>YEAR(Coffe_sales[[#This Row],[Date]])</f>
        <v>2024</v>
      </c>
    </row>
    <row r="1725" spans="1:12" x14ac:dyDescent="0.2">
      <c r="A1725" t="s">
        <v>28</v>
      </c>
      <c r="B1725" t="s">
        <v>12</v>
      </c>
      <c r="C1725">
        <v>30.86</v>
      </c>
      <c r="D1725" t="s">
        <v>26</v>
      </c>
      <c r="E1725" t="s">
        <v>29</v>
      </c>
      <c r="F1725" t="s">
        <v>38</v>
      </c>
      <c r="G1725" t="s">
        <v>270</v>
      </c>
      <c r="H1725" t="s">
        <v>39</v>
      </c>
      <c r="I1725" t="s">
        <v>11</v>
      </c>
      <c r="J1725" t="s">
        <v>276</v>
      </c>
      <c r="K1725" s="1">
        <v>0.76232609953703701</v>
      </c>
      <c r="L1725">
        <f>YEAR(Coffe_sales[[#This Row],[Date]])</f>
        <v>2024</v>
      </c>
    </row>
    <row r="1726" spans="1:12" x14ac:dyDescent="0.2">
      <c r="A1726" t="s">
        <v>28</v>
      </c>
      <c r="B1726" t="s">
        <v>12</v>
      </c>
      <c r="C1726">
        <v>35.76</v>
      </c>
      <c r="D1726" t="s">
        <v>21</v>
      </c>
      <c r="E1726" t="s">
        <v>29</v>
      </c>
      <c r="F1726" t="s">
        <v>38</v>
      </c>
      <c r="G1726" t="s">
        <v>270</v>
      </c>
      <c r="H1726" t="s">
        <v>39</v>
      </c>
      <c r="I1726" t="s">
        <v>11</v>
      </c>
      <c r="J1726" t="s">
        <v>276</v>
      </c>
      <c r="K1726" s="1">
        <v>0.7744961574074074</v>
      </c>
      <c r="L1726">
        <f>YEAR(Coffe_sales[[#This Row],[Date]])</f>
        <v>2024</v>
      </c>
    </row>
    <row r="1727" spans="1:12" x14ac:dyDescent="0.2">
      <c r="A1727" t="s">
        <v>131</v>
      </c>
      <c r="B1727" t="s">
        <v>12</v>
      </c>
      <c r="C1727">
        <v>35.76</v>
      </c>
      <c r="D1727" t="s">
        <v>21</v>
      </c>
      <c r="E1727" t="s">
        <v>29</v>
      </c>
      <c r="F1727" t="s">
        <v>38</v>
      </c>
      <c r="G1727" t="s">
        <v>270</v>
      </c>
      <c r="H1727" t="s">
        <v>39</v>
      </c>
      <c r="I1727" t="s">
        <v>11</v>
      </c>
      <c r="J1727" t="s">
        <v>276</v>
      </c>
      <c r="K1727" s="1">
        <v>0.88139917824074077</v>
      </c>
      <c r="L1727">
        <f>YEAR(Coffe_sales[[#This Row],[Date]])</f>
        <v>2024</v>
      </c>
    </row>
    <row r="1728" spans="1:12" x14ac:dyDescent="0.2">
      <c r="A1728" t="s">
        <v>131</v>
      </c>
      <c r="B1728" t="s">
        <v>12</v>
      </c>
      <c r="C1728">
        <v>35.76</v>
      </c>
      <c r="D1728" t="s">
        <v>21</v>
      </c>
      <c r="E1728" t="s">
        <v>29</v>
      </c>
      <c r="F1728" t="s">
        <v>38</v>
      </c>
      <c r="G1728" t="s">
        <v>270</v>
      </c>
      <c r="H1728" t="s">
        <v>39</v>
      </c>
      <c r="I1728" t="s">
        <v>11</v>
      </c>
      <c r="J1728" t="s">
        <v>276</v>
      </c>
      <c r="K1728" s="1">
        <v>0.88194995370370366</v>
      </c>
      <c r="L1728">
        <f>YEAR(Coffe_sales[[#This Row],[Date]])</f>
        <v>2024</v>
      </c>
    </row>
    <row r="1729" spans="1:12" x14ac:dyDescent="0.2">
      <c r="A1729" t="s">
        <v>131</v>
      </c>
      <c r="B1729" t="s">
        <v>12</v>
      </c>
      <c r="C1729">
        <v>35.76</v>
      </c>
      <c r="D1729" t="s">
        <v>21</v>
      </c>
      <c r="E1729" t="s">
        <v>29</v>
      </c>
      <c r="F1729" t="s">
        <v>38</v>
      </c>
      <c r="G1729" t="s">
        <v>270</v>
      </c>
      <c r="H1729" t="s">
        <v>39</v>
      </c>
      <c r="I1729" t="s">
        <v>11</v>
      </c>
      <c r="J1729" t="s">
        <v>276</v>
      </c>
      <c r="K1729" s="1">
        <v>0.88246821759259264</v>
      </c>
      <c r="L1729">
        <f>YEAR(Coffe_sales[[#This Row],[Date]])</f>
        <v>2024</v>
      </c>
    </row>
    <row r="1730" spans="1:12" x14ac:dyDescent="0.2">
      <c r="A1730" t="s">
        <v>131</v>
      </c>
      <c r="B1730" t="s">
        <v>12</v>
      </c>
      <c r="C1730">
        <v>35.76</v>
      </c>
      <c r="D1730" t="s">
        <v>13</v>
      </c>
      <c r="E1730" t="s">
        <v>29</v>
      </c>
      <c r="F1730" t="s">
        <v>38</v>
      </c>
      <c r="G1730" t="s">
        <v>270</v>
      </c>
      <c r="H1730" t="s">
        <v>39</v>
      </c>
      <c r="I1730" t="s">
        <v>11</v>
      </c>
      <c r="J1730" t="s">
        <v>276</v>
      </c>
      <c r="K1730" s="1">
        <v>0.8866768055555555</v>
      </c>
      <c r="L1730">
        <f>YEAR(Coffe_sales[[#This Row],[Date]])</f>
        <v>2024</v>
      </c>
    </row>
    <row r="1731" spans="1:12" x14ac:dyDescent="0.2">
      <c r="A1731" t="s">
        <v>123</v>
      </c>
      <c r="B1731" t="s">
        <v>12</v>
      </c>
      <c r="C1731">
        <v>35.76</v>
      </c>
      <c r="D1731" t="s">
        <v>13</v>
      </c>
      <c r="E1731" t="s">
        <v>14</v>
      </c>
      <c r="F1731" t="s">
        <v>42</v>
      </c>
      <c r="G1731" t="s">
        <v>270</v>
      </c>
      <c r="H1731" t="s">
        <v>43</v>
      </c>
      <c r="I1731" t="s">
        <v>11</v>
      </c>
      <c r="J1731" t="s">
        <v>277</v>
      </c>
      <c r="K1731" s="1">
        <v>0.35667156249999998</v>
      </c>
      <c r="L1731">
        <f>YEAR(Coffe_sales[[#This Row],[Date]])</f>
        <v>2024</v>
      </c>
    </row>
    <row r="1732" spans="1:12" x14ac:dyDescent="0.2">
      <c r="A1732" t="s">
        <v>123</v>
      </c>
      <c r="B1732" t="s">
        <v>12</v>
      </c>
      <c r="C1732">
        <v>35.76</v>
      </c>
      <c r="D1732" t="s">
        <v>13</v>
      </c>
      <c r="E1732" t="s">
        <v>14</v>
      </c>
      <c r="F1732" t="s">
        <v>42</v>
      </c>
      <c r="G1732" t="s">
        <v>270</v>
      </c>
      <c r="H1732" t="s">
        <v>43</v>
      </c>
      <c r="I1732" t="s">
        <v>11</v>
      </c>
      <c r="J1732" t="s">
        <v>277</v>
      </c>
      <c r="K1732" s="1">
        <v>0.36778329861111109</v>
      </c>
      <c r="L1732">
        <f>YEAR(Coffe_sales[[#This Row],[Date]])</f>
        <v>2024</v>
      </c>
    </row>
    <row r="1733" spans="1:12" x14ac:dyDescent="0.2">
      <c r="A1733" t="s">
        <v>123</v>
      </c>
      <c r="B1733" t="s">
        <v>12</v>
      </c>
      <c r="C1733">
        <v>30.86</v>
      </c>
      <c r="D1733" t="s">
        <v>26</v>
      </c>
      <c r="E1733" t="s">
        <v>14</v>
      </c>
      <c r="F1733" t="s">
        <v>42</v>
      </c>
      <c r="G1733" t="s">
        <v>270</v>
      </c>
      <c r="H1733" t="s">
        <v>43</v>
      </c>
      <c r="I1733" t="s">
        <v>11</v>
      </c>
      <c r="J1733" t="s">
        <v>277</v>
      </c>
      <c r="K1733" s="1">
        <v>0.36853782407407409</v>
      </c>
      <c r="L1733">
        <f>YEAR(Coffe_sales[[#This Row],[Date]])</f>
        <v>2024</v>
      </c>
    </row>
    <row r="1734" spans="1:12" x14ac:dyDescent="0.2">
      <c r="A1734" t="s">
        <v>46</v>
      </c>
      <c r="B1734" t="s">
        <v>12</v>
      </c>
      <c r="C1734">
        <v>35.76</v>
      </c>
      <c r="D1734" t="s">
        <v>31</v>
      </c>
      <c r="E1734" t="s">
        <v>14</v>
      </c>
      <c r="F1734" t="s">
        <v>42</v>
      </c>
      <c r="G1734" t="s">
        <v>270</v>
      </c>
      <c r="H1734" t="s">
        <v>43</v>
      </c>
      <c r="I1734" t="s">
        <v>11</v>
      </c>
      <c r="J1734" t="s">
        <v>277</v>
      </c>
      <c r="K1734" s="1">
        <v>0.37879734953703703</v>
      </c>
      <c r="L1734">
        <f>YEAR(Coffe_sales[[#This Row],[Date]])</f>
        <v>2024</v>
      </c>
    </row>
    <row r="1735" spans="1:12" x14ac:dyDescent="0.2">
      <c r="A1735" t="s">
        <v>46</v>
      </c>
      <c r="B1735" t="s">
        <v>12</v>
      </c>
      <c r="C1735">
        <v>35.76</v>
      </c>
      <c r="D1735" t="s">
        <v>13</v>
      </c>
      <c r="E1735" t="s">
        <v>14</v>
      </c>
      <c r="F1735" t="s">
        <v>42</v>
      </c>
      <c r="G1735" t="s">
        <v>270</v>
      </c>
      <c r="H1735" t="s">
        <v>43</v>
      </c>
      <c r="I1735" t="s">
        <v>11</v>
      </c>
      <c r="J1735" t="s">
        <v>277</v>
      </c>
      <c r="K1735" s="1">
        <v>0.38192503472222222</v>
      </c>
      <c r="L1735">
        <f>YEAR(Coffe_sales[[#This Row],[Date]])</f>
        <v>2024</v>
      </c>
    </row>
    <row r="1736" spans="1:12" x14ac:dyDescent="0.2">
      <c r="A1736" t="s">
        <v>20</v>
      </c>
      <c r="B1736" t="s">
        <v>12</v>
      </c>
      <c r="C1736">
        <v>30.86</v>
      </c>
      <c r="D1736" t="s">
        <v>26</v>
      </c>
      <c r="E1736" t="s">
        <v>22</v>
      </c>
      <c r="F1736" t="s">
        <v>42</v>
      </c>
      <c r="G1736" t="s">
        <v>270</v>
      </c>
      <c r="H1736" t="s">
        <v>43</v>
      </c>
      <c r="I1736" t="s">
        <v>11</v>
      </c>
      <c r="J1736" t="s">
        <v>277</v>
      </c>
      <c r="K1736" s="1">
        <v>0.51246200231481487</v>
      </c>
      <c r="L1736">
        <f>YEAR(Coffe_sales[[#This Row],[Date]])</f>
        <v>2024</v>
      </c>
    </row>
    <row r="1737" spans="1:12" x14ac:dyDescent="0.2">
      <c r="A1737" t="s">
        <v>36</v>
      </c>
      <c r="B1737" t="s">
        <v>12</v>
      </c>
      <c r="C1737">
        <v>25.96</v>
      </c>
      <c r="D1737" t="s">
        <v>24</v>
      </c>
      <c r="E1737" t="s">
        <v>22</v>
      </c>
      <c r="F1737" t="s">
        <v>42</v>
      </c>
      <c r="G1737" t="s">
        <v>270</v>
      </c>
      <c r="H1737" t="s">
        <v>43</v>
      </c>
      <c r="I1737" t="s">
        <v>11</v>
      </c>
      <c r="J1737" t="s">
        <v>277</v>
      </c>
      <c r="K1737" s="1">
        <v>0.60538493055555553</v>
      </c>
      <c r="L1737">
        <f>YEAR(Coffe_sales[[#This Row],[Date]])</f>
        <v>2024</v>
      </c>
    </row>
    <row r="1738" spans="1:12" x14ac:dyDescent="0.2">
      <c r="A1738" t="s">
        <v>36</v>
      </c>
      <c r="B1738" t="s">
        <v>12</v>
      </c>
      <c r="C1738">
        <v>25.96</v>
      </c>
      <c r="D1738" t="s">
        <v>24</v>
      </c>
      <c r="E1738" t="s">
        <v>22</v>
      </c>
      <c r="F1738" t="s">
        <v>42</v>
      </c>
      <c r="G1738" t="s">
        <v>270</v>
      </c>
      <c r="H1738" t="s">
        <v>43</v>
      </c>
      <c r="I1738" t="s">
        <v>11</v>
      </c>
      <c r="J1738" t="s">
        <v>277</v>
      </c>
      <c r="K1738" s="1">
        <v>0.60600422453703706</v>
      </c>
      <c r="L1738">
        <f>YEAR(Coffe_sales[[#This Row],[Date]])</f>
        <v>2024</v>
      </c>
    </row>
    <row r="1739" spans="1:12" x14ac:dyDescent="0.2">
      <c r="A1739" t="s">
        <v>37</v>
      </c>
      <c r="B1739" t="s">
        <v>12</v>
      </c>
      <c r="C1739">
        <v>35.76</v>
      </c>
      <c r="D1739" t="s">
        <v>13</v>
      </c>
      <c r="E1739" t="s">
        <v>29</v>
      </c>
      <c r="F1739" t="s">
        <v>42</v>
      </c>
      <c r="G1739" t="s">
        <v>270</v>
      </c>
      <c r="H1739" t="s">
        <v>43</v>
      </c>
      <c r="I1739" t="s">
        <v>11</v>
      </c>
      <c r="J1739" t="s">
        <v>277</v>
      </c>
      <c r="K1739" s="1">
        <v>0.74230331018518514</v>
      </c>
      <c r="L1739">
        <f>YEAR(Coffe_sales[[#This Row],[Date]])</f>
        <v>2024</v>
      </c>
    </row>
    <row r="1740" spans="1:12" x14ac:dyDescent="0.2">
      <c r="A1740" t="s">
        <v>131</v>
      </c>
      <c r="B1740" t="s">
        <v>12</v>
      </c>
      <c r="C1740">
        <v>35.76</v>
      </c>
      <c r="D1740" t="s">
        <v>21</v>
      </c>
      <c r="E1740" t="s">
        <v>29</v>
      </c>
      <c r="F1740" t="s">
        <v>42</v>
      </c>
      <c r="G1740" t="s">
        <v>270</v>
      </c>
      <c r="H1740" t="s">
        <v>43</v>
      </c>
      <c r="I1740" t="s">
        <v>11</v>
      </c>
      <c r="J1740" t="s">
        <v>277</v>
      </c>
      <c r="K1740" s="1">
        <v>0.88520983796296293</v>
      </c>
      <c r="L1740">
        <f>YEAR(Coffe_sales[[#This Row],[Date]])</f>
        <v>2024</v>
      </c>
    </row>
    <row r="1741" spans="1:12" x14ac:dyDescent="0.2">
      <c r="A1741" t="s">
        <v>131</v>
      </c>
      <c r="B1741" t="s">
        <v>12</v>
      </c>
      <c r="C1741">
        <v>35.76</v>
      </c>
      <c r="D1741" t="s">
        <v>21</v>
      </c>
      <c r="E1741" t="s">
        <v>29</v>
      </c>
      <c r="F1741" t="s">
        <v>42</v>
      </c>
      <c r="G1741" t="s">
        <v>270</v>
      </c>
      <c r="H1741" t="s">
        <v>43</v>
      </c>
      <c r="I1741" t="s">
        <v>11</v>
      </c>
      <c r="J1741" t="s">
        <v>277</v>
      </c>
      <c r="K1741" s="1">
        <v>0.88564956018518515</v>
      </c>
      <c r="L1741">
        <f>YEAR(Coffe_sales[[#This Row],[Date]])</f>
        <v>2024</v>
      </c>
    </row>
    <row r="1742" spans="1:12" x14ac:dyDescent="0.2">
      <c r="A1742" t="s">
        <v>131</v>
      </c>
      <c r="B1742" t="s">
        <v>12</v>
      </c>
      <c r="C1742">
        <v>35.76</v>
      </c>
      <c r="D1742" t="s">
        <v>13</v>
      </c>
      <c r="E1742" t="s">
        <v>29</v>
      </c>
      <c r="F1742" t="s">
        <v>42</v>
      </c>
      <c r="G1742" t="s">
        <v>270</v>
      </c>
      <c r="H1742" t="s">
        <v>43</v>
      </c>
      <c r="I1742" t="s">
        <v>11</v>
      </c>
      <c r="J1742" t="s">
        <v>277</v>
      </c>
      <c r="K1742" s="1">
        <v>0.90333929398148149</v>
      </c>
      <c r="L1742">
        <f>YEAR(Coffe_sales[[#This Row],[Date]])</f>
        <v>2024</v>
      </c>
    </row>
    <row r="1743" spans="1:12" x14ac:dyDescent="0.2">
      <c r="A1743" t="s">
        <v>123</v>
      </c>
      <c r="B1743" t="s">
        <v>12</v>
      </c>
      <c r="C1743">
        <v>35.76</v>
      </c>
      <c r="D1743" t="s">
        <v>13</v>
      </c>
      <c r="E1743" t="s">
        <v>14</v>
      </c>
      <c r="F1743" t="s">
        <v>47</v>
      </c>
      <c r="G1743" t="s">
        <v>270</v>
      </c>
      <c r="H1743" t="s">
        <v>48</v>
      </c>
      <c r="I1743" t="s">
        <v>11</v>
      </c>
      <c r="J1743" t="s">
        <v>278</v>
      </c>
      <c r="K1743" s="1">
        <v>0.34156115740740739</v>
      </c>
      <c r="L1743">
        <f>YEAR(Coffe_sales[[#This Row],[Date]])</f>
        <v>2024</v>
      </c>
    </row>
    <row r="1744" spans="1:12" x14ac:dyDescent="0.2">
      <c r="A1744" t="s">
        <v>46</v>
      </c>
      <c r="B1744" t="s">
        <v>12</v>
      </c>
      <c r="C1744">
        <v>30.86</v>
      </c>
      <c r="D1744" t="s">
        <v>26</v>
      </c>
      <c r="E1744" t="s">
        <v>14</v>
      </c>
      <c r="F1744" t="s">
        <v>47</v>
      </c>
      <c r="G1744" t="s">
        <v>270</v>
      </c>
      <c r="H1744" t="s">
        <v>48</v>
      </c>
      <c r="I1744" t="s">
        <v>11</v>
      </c>
      <c r="J1744" t="s">
        <v>278</v>
      </c>
      <c r="K1744" s="1">
        <v>0.37863457175925924</v>
      </c>
      <c r="L1744">
        <f>YEAR(Coffe_sales[[#This Row],[Date]])</f>
        <v>2024</v>
      </c>
    </row>
    <row r="1745" spans="1:12" x14ac:dyDescent="0.2">
      <c r="A1745" t="s">
        <v>11</v>
      </c>
      <c r="B1745" t="s">
        <v>12</v>
      </c>
      <c r="C1745">
        <v>25.96</v>
      </c>
      <c r="D1745" t="s">
        <v>24</v>
      </c>
      <c r="E1745" t="s">
        <v>14</v>
      </c>
      <c r="F1745" t="s">
        <v>47</v>
      </c>
      <c r="G1745" t="s">
        <v>270</v>
      </c>
      <c r="H1745" t="s">
        <v>48</v>
      </c>
      <c r="I1745" t="s">
        <v>11</v>
      </c>
      <c r="J1745" t="s">
        <v>278</v>
      </c>
      <c r="K1745" s="1">
        <v>0.43230756944444443</v>
      </c>
      <c r="L1745">
        <f>YEAR(Coffe_sales[[#This Row],[Date]])</f>
        <v>2024</v>
      </c>
    </row>
    <row r="1746" spans="1:12" x14ac:dyDescent="0.2">
      <c r="A1746" t="s">
        <v>11</v>
      </c>
      <c r="B1746" t="s">
        <v>12</v>
      </c>
      <c r="C1746">
        <v>35.76</v>
      </c>
      <c r="D1746" t="s">
        <v>13</v>
      </c>
      <c r="E1746" t="s">
        <v>14</v>
      </c>
      <c r="F1746" t="s">
        <v>47</v>
      </c>
      <c r="G1746" t="s">
        <v>270</v>
      </c>
      <c r="H1746" t="s">
        <v>48</v>
      </c>
      <c r="I1746" t="s">
        <v>11</v>
      </c>
      <c r="J1746" t="s">
        <v>278</v>
      </c>
      <c r="K1746" s="1">
        <v>0.4355187152777778</v>
      </c>
      <c r="L1746">
        <f>YEAR(Coffe_sales[[#This Row],[Date]])</f>
        <v>2024</v>
      </c>
    </row>
    <row r="1747" spans="1:12" x14ac:dyDescent="0.2">
      <c r="A1747" t="s">
        <v>35</v>
      </c>
      <c r="B1747" t="s">
        <v>12</v>
      </c>
      <c r="C1747">
        <v>35.76</v>
      </c>
      <c r="D1747" t="s">
        <v>13</v>
      </c>
      <c r="E1747" t="s">
        <v>14</v>
      </c>
      <c r="F1747" t="s">
        <v>47</v>
      </c>
      <c r="G1747" t="s">
        <v>270</v>
      </c>
      <c r="H1747" t="s">
        <v>48</v>
      </c>
      <c r="I1747" t="s">
        <v>11</v>
      </c>
      <c r="J1747" t="s">
        <v>278</v>
      </c>
      <c r="K1747" s="1">
        <v>0.47928533564814813</v>
      </c>
      <c r="L1747">
        <f>YEAR(Coffe_sales[[#This Row],[Date]])</f>
        <v>2024</v>
      </c>
    </row>
    <row r="1748" spans="1:12" x14ac:dyDescent="0.2">
      <c r="A1748" t="s">
        <v>20</v>
      </c>
      <c r="B1748" t="s">
        <v>12</v>
      </c>
      <c r="C1748">
        <v>25.96</v>
      </c>
      <c r="D1748" t="s">
        <v>24</v>
      </c>
      <c r="E1748" t="s">
        <v>22</v>
      </c>
      <c r="F1748" t="s">
        <v>47</v>
      </c>
      <c r="G1748" t="s">
        <v>270</v>
      </c>
      <c r="H1748" t="s">
        <v>48</v>
      </c>
      <c r="I1748" t="s">
        <v>11</v>
      </c>
      <c r="J1748" t="s">
        <v>278</v>
      </c>
      <c r="K1748" s="1">
        <v>0.53338564814814815</v>
      </c>
      <c r="L1748">
        <f>YEAR(Coffe_sales[[#This Row],[Date]])</f>
        <v>2024</v>
      </c>
    </row>
    <row r="1749" spans="1:12" x14ac:dyDescent="0.2">
      <c r="A1749" t="s">
        <v>20</v>
      </c>
      <c r="B1749" t="s">
        <v>12</v>
      </c>
      <c r="C1749">
        <v>25.96</v>
      </c>
      <c r="D1749" t="s">
        <v>24</v>
      </c>
      <c r="E1749" t="s">
        <v>22</v>
      </c>
      <c r="F1749" t="s">
        <v>47</v>
      </c>
      <c r="G1749" t="s">
        <v>270</v>
      </c>
      <c r="H1749" t="s">
        <v>48</v>
      </c>
      <c r="I1749" t="s">
        <v>11</v>
      </c>
      <c r="J1749" t="s">
        <v>278</v>
      </c>
      <c r="K1749" s="1">
        <v>0.53408079861111113</v>
      </c>
      <c r="L1749">
        <f>YEAR(Coffe_sales[[#This Row],[Date]])</f>
        <v>2024</v>
      </c>
    </row>
    <row r="1750" spans="1:12" x14ac:dyDescent="0.2">
      <c r="A1750" t="s">
        <v>23</v>
      </c>
      <c r="B1750" t="s">
        <v>12</v>
      </c>
      <c r="C1750">
        <v>35.76</v>
      </c>
      <c r="D1750" t="s">
        <v>13</v>
      </c>
      <c r="E1750" t="s">
        <v>22</v>
      </c>
      <c r="F1750" t="s">
        <v>47</v>
      </c>
      <c r="G1750" t="s">
        <v>270</v>
      </c>
      <c r="H1750" t="s">
        <v>48</v>
      </c>
      <c r="I1750" t="s">
        <v>11</v>
      </c>
      <c r="J1750" t="s">
        <v>278</v>
      </c>
      <c r="K1750" s="1">
        <v>0.54445491898148146</v>
      </c>
      <c r="L1750">
        <f>YEAR(Coffe_sales[[#This Row],[Date]])</f>
        <v>2024</v>
      </c>
    </row>
    <row r="1751" spans="1:12" x14ac:dyDescent="0.2">
      <c r="A1751" t="s">
        <v>23</v>
      </c>
      <c r="B1751" t="s">
        <v>12</v>
      </c>
      <c r="C1751">
        <v>35.76</v>
      </c>
      <c r="D1751" t="s">
        <v>13</v>
      </c>
      <c r="E1751" t="s">
        <v>22</v>
      </c>
      <c r="F1751" t="s">
        <v>47</v>
      </c>
      <c r="G1751" t="s">
        <v>270</v>
      </c>
      <c r="H1751" t="s">
        <v>48</v>
      </c>
      <c r="I1751" t="s">
        <v>11</v>
      </c>
      <c r="J1751" t="s">
        <v>278</v>
      </c>
      <c r="K1751" s="1">
        <v>0.54513245370370367</v>
      </c>
      <c r="L1751">
        <f>YEAR(Coffe_sales[[#This Row],[Date]])</f>
        <v>2024</v>
      </c>
    </row>
    <row r="1752" spans="1:12" x14ac:dyDescent="0.2">
      <c r="A1752" t="s">
        <v>36</v>
      </c>
      <c r="B1752" t="s">
        <v>12</v>
      </c>
      <c r="C1752">
        <v>35.76</v>
      </c>
      <c r="D1752" t="s">
        <v>13</v>
      </c>
      <c r="E1752" t="s">
        <v>22</v>
      </c>
      <c r="F1752" t="s">
        <v>47</v>
      </c>
      <c r="G1752" t="s">
        <v>270</v>
      </c>
      <c r="H1752" t="s">
        <v>48</v>
      </c>
      <c r="I1752" t="s">
        <v>11</v>
      </c>
      <c r="J1752" t="s">
        <v>278</v>
      </c>
      <c r="K1752" s="1">
        <v>0.61310677083333331</v>
      </c>
      <c r="L1752">
        <f>YEAR(Coffe_sales[[#This Row],[Date]])</f>
        <v>2024</v>
      </c>
    </row>
    <row r="1753" spans="1:12" x14ac:dyDescent="0.2">
      <c r="A1753" t="s">
        <v>25</v>
      </c>
      <c r="B1753" t="s">
        <v>12</v>
      </c>
      <c r="C1753">
        <v>35.76</v>
      </c>
      <c r="D1753" t="s">
        <v>13</v>
      </c>
      <c r="E1753" t="s">
        <v>22</v>
      </c>
      <c r="F1753" t="s">
        <v>47</v>
      </c>
      <c r="G1753" t="s">
        <v>270</v>
      </c>
      <c r="H1753" t="s">
        <v>48</v>
      </c>
      <c r="I1753" t="s">
        <v>11</v>
      </c>
      <c r="J1753" t="s">
        <v>278</v>
      </c>
      <c r="K1753" s="1">
        <v>0.63450405092592588</v>
      </c>
      <c r="L1753">
        <f>YEAR(Coffe_sales[[#This Row],[Date]])</f>
        <v>2024</v>
      </c>
    </row>
    <row r="1754" spans="1:12" x14ac:dyDescent="0.2">
      <c r="A1754" t="s">
        <v>25</v>
      </c>
      <c r="B1754" t="s">
        <v>12</v>
      </c>
      <c r="C1754">
        <v>25.96</v>
      </c>
      <c r="D1754" t="s">
        <v>24</v>
      </c>
      <c r="E1754" t="s">
        <v>22</v>
      </c>
      <c r="F1754" t="s">
        <v>47</v>
      </c>
      <c r="G1754" t="s">
        <v>270</v>
      </c>
      <c r="H1754" t="s">
        <v>48</v>
      </c>
      <c r="I1754" t="s">
        <v>11</v>
      </c>
      <c r="J1754" t="s">
        <v>278</v>
      </c>
      <c r="K1754" s="1">
        <v>0.63879748842592587</v>
      </c>
      <c r="L1754">
        <f>YEAR(Coffe_sales[[#This Row],[Date]])</f>
        <v>2024</v>
      </c>
    </row>
    <row r="1755" spans="1:12" x14ac:dyDescent="0.2">
      <c r="A1755" t="s">
        <v>25</v>
      </c>
      <c r="B1755" t="s">
        <v>12</v>
      </c>
      <c r="C1755">
        <v>30.86</v>
      </c>
      <c r="D1755" t="s">
        <v>26</v>
      </c>
      <c r="E1755" t="s">
        <v>22</v>
      </c>
      <c r="F1755" t="s">
        <v>47</v>
      </c>
      <c r="G1755" t="s">
        <v>270</v>
      </c>
      <c r="H1755" t="s">
        <v>48</v>
      </c>
      <c r="I1755" t="s">
        <v>11</v>
      </c>
      <c r="J1755" t="s">
        <v>278</v>
      </c>
      <c r="K1755" s="1">
        <v>0.6602213194444444</v>
      </c>
      <c r="L1755">
        <f>YEAR(Coffe_sales[[#This Row],[Date]])</f>
        <v>2024</v>
      </c>
    </row>
    <row r="1756" spans="1:12" x14ac:dyDescent="0.2">
      <c r="A1756" t="s">
        <v>91</v>
      </c>
      <c r="B1756" t="s">
        <v>12</v>
      </c>
      <c r="C1756">
        <v>35.76</v>
      </c>
      <c r="D1756" t="s">
        <v>21</v>
      </c>
      <c r="E1756" t="s">
        <v>29</v>
      </c>
      <c r="F1756" t="s">
        <v>47</v>
      </c>
      <c r="G1756" t="s">
        <v>270</v>
      </c>
      <c r="H1756" t="s">
        <v>48</v>
      </c>
      <c r="I1756" t="s">
        <v>11</v>
      </c>
      <c r="J1756" t="s">
        <v>278</v>
      </c>
      <c r="K1756" s="1">
        <v>0.86157938657407407</v>
      </c>
      <c r="L1756">
        <f>YEAR(Coffe_sales[[#This Row],[Date]])</f>
        <v>2024</v>
      </c>
    </row>
    <row r="1757" spans="1:12" x14ac:dyDescent="0.2">
      <c r="A1757" t="s">
        <v>91</v>
      </c>
      <c r="B1757" t="s">
        <v>12</v>
      </c>
      <c r="C1757">
        <v>35.76</v>
      </c>
      <c r="D1757" t="s">
        <v>52</v>
      </c>
      <c r="E1757" t="s">
        <v>29</v>
      </c>
      <c r="F1757" t="s">
        <v>47</v>
      </c>
      <c r="G1757" t="s">
        <v>270</v>
      </c>
      <c r="H1757" t="s">
        <v>48</v>
      </c>
      <c r="I1757" t="s">
        <v>11</v>
      </c>
      <c r="J1757" t="s">
        <v>278</v>
      </c>
      <c r="K1757" s="1">
        <v>0.8621928703703704</v>
      </c>
      <c r="L1757">
        <f>YEAR(Coffe_sales[[#This Row],[Date]])</f>
        <v>2024</v>
      </c>
    </row>
    <row r="1758" spans="1:12" x14ac:dyDescent="0.2">
      <c r="A1758" t="s">
        <v>91</v>
      </c>
      <c r="B1758" t="s">
        <v>12</v>
      </c>
      <c r="C1758">
        <v>35.76</v>
      </c>
      <c r="D1758" t="s">
        <v>13</v>
      </c>
      <c r="E1758" t="s">
        <v>29</v>
      </c>
      <c r="F1758" t="s">
        <v>47</v>
      </c>
      <c r="G1758" t="s">
        <v>270</v>
      </c>
      <c r="H1758" t="s">
        <v>48</v>
      </c>
      <c r="I1758" t="s">
        <v>11</v>
      </c>
      <c r="J1758" t="s">
        <v>278</v>
      </c>
      <c r="K1758" s="1">
        <v>0.86885094907407412</v>
      </c>
      <c r="L1758">
        <f>YEAR(Coffe_sales[[#This Row],[Date]])</f>
        <v>2024</v>
      </c>
    </row>
    <row r="1759" spans="1:12" x14ac:dyDescent="0.2">
      <c r="A1759" t="s">
        <v>131</v>
      </c>
      <c r="B1759" t="s">
        <v>12</v>
      </c>
      <c r="C1759">
        <v>30.86</v>
      </c>
      <c r="D1759" t="s">
        <v>26</v>
      </c>
      <c r="E1759" t="s">
        <v>29</v>
      </c>
      <c r="F1759" t="s">
        <v>47</v>
      </c>
      <c r="G1759" t="s">
        <v>270</v>
      </c>
      <c r="H1759" t="s">
        <v>48</v>
      </c>
      <c r="I1759" t="s">
        <v>11</v>
      </c>
      <c r="J1759" t="s">
        <v>278</v>
      </c>
      <c r="K1759" s="1">
        <v>0.89203746527777783</v>
      </c>
      <c r="L1759">
        <f>YEAR(Coffe_sales[[#This Row],[Date]])</f>
        <v>2024</v>
      </c>
    </row>
    <row r="1760" spans="1:12" x14ac:dyDescent="0.2">
      <c r="A1760" t="s">
        <v>131</v>
      </c>
      <c r="B1760" t="s">
        <v>12</v>
      </c>
      <c r="C1760">
        <v>30.86</v>
      </c>
      <c r="D1760" t="s">
        <v>26</v>
      </c>
      <c r="E1760" t="s">
        <v>29</v>
      </c>
      <c r="F1760" t="s">
        <v>47</v>
      </c>
      <c r="G1760" t="s">
        <v>270</v>
      </c>
      <c r="H1760" t="s">
        <v>48</v>
      </c>
      <c r="I1760" t="s">
        <v>11</v>
      </c>
      <c r="J1760" t="s">
        <v>278</v>
      </c>
      <c r="K1760" s="1">
        <v>0.89273148148148151</v>
      </c>
      <c r="L1760">
        <f>YEAR(Coffe_sales[[#This Row],[Date]])</f>
        <v>2024</v>
      </c>
    </row>
    <row r="1761" spans="1:12" x14ac:dyDescent="0.2">
      <c r="A1761" t="s">
        <v>39</v>
      </c>
      <c r="B1761" t="s">
        <v>12</v>
      </c>
      <c r="C1761">
        <v>35.76</v>
      </c>
      <c r="D1761" t="s">
        <v>13</v>
      </c>
      <c r="E1761" t="s">
        <v>14</v>
      </c>
      <c r="F1761" t="s">
        <v>50</v>
      </c>
      <c r="G1761" t="s">
        <v>270</v>
      </c>
      <c r="H1761" t="s">
        <v>18</v>
      </c>
      <c r="I1761" t="s">
        <v>11</v>
      </c>
      <c r="J1761" t="s">
        <v>279</v>
      </c>
      <c r="K1761" s="1">
        <v>0.32965971064814814</v>
      </c>
      <c r="L1761">
        <f>YEAR(Coffe_sales[[#This Row],[Date]])</f>
        <v>2024</v>
      </c>
    </row>
    <row r="1762" spans="1:12" x14ac:dyDescent="0.2">
      <c r="A1762" t="s">
        <v>123</v>
      </c>
      <c r="B1762" t="s">
        <v>12</v>
      </c>
      <c r="C1762">
        <v>30.86</v>
      </c>
      <c r="D1762" t="s">
        <v>26</v>
      </c>
      <c r="E1762" t="s">
        <v>14</v>
      </c>
      <c r="F1762" t="s">
        <v>50</v>
      </c>
      <c r="G1762" t="s">
        <v>270</v>
      </c>
      <c r="H1762" t="s">
        <v>18</v>
      </c>
      <c r="I1762" t="s">
        <v>11</v>
      </c>
      <c r="J1762" t="s">
        <v>279</v>
      </c>
      <c r="K1762" s="1">
        <v>0.35136005787037039</v>
      </c>
      <c r="L1762">
        <f>YEAR(Coffe_sales[[#This Row],[Date]])</f>
        <v>2024</v>
      </c>
    </row>
    <row r="1763" spans="1:12" x14ac:dyDescent="0.2">
      <c r="A1763" t="s">
        <v>46</v>
      </c>
      <c r="B1763" t="s">
        <v>12</v>
      </c>
      <c r="C1763">
        <v>30.86</v>
      </c>
      <c r="D1763" t="s">
        <v>26</v>
      </c>
      <c r="E1763" t="s">
        <v>14</v>
      </c>
      <c r="F1763" t="s">
        <v>50</v>
      </c>
      <c r="G1763" t="s">
        <v>270</v>
      </c>
      <c r="H1763" t="s">
        <v>18</v>
      </c>
      <c r="I1763" t="s">
        <v>11</v>
      </c>
      <c r="J1763" t="s">
        <v>279</v>
      </c>
      <c r="K1763" s="1">
        <v>0.40510450231481482</v>
      </c>
      <c r="L1763">
        <f>YEAR(Coffe_sales[[#This Row],[Date]])</f>
        <v>2024</v>
      </c>
    </row>
    <row r="1764" spans="1:12" x14ac:dyDescent="0.2">
      <c r="A1764" t="s">
        <v>46</v>
      </c>
      <c r="B1764" t="s">
        <v>12</v>
      </c>
      <c r="C1764">
        <v>35.76</v>
      </c>
      <c r="D1764" t="s">
        <v>13</v>
      </c>
      <c r="E1764" t="s">
        <v>14</v>
      </c>
      <c r="F1764" t="s">
        <v>50</v>
      </c>
      <c r="G1764" t="s">
        <v>270</v>
      </c>
      <c r="H1764" t="s">
        <v>18</v>
      </c>
      <c r="I1764" t="s">
        <v>11</v>
      </c>
      <c r="J1764" t="s">
        <v>279</v>
      </c>
      <c r="K1764" s="1">
        <v>0.41643484953703702</v>
      </c>
      <c r="L1764">
        <f>YEAR(Coffe_sales[[#This Row],[Date]])</f>
        <v>2024</v>
      </c>
    </row>
    <row r="1765" spans="1:12" x14ac:dyDescent="0.2">
      <c r="A1765" t="s">
        <v>11</v>
      </c>
      <c r="B1765" t="s">
        <v>12</v>
      </c>
      <c r="C1765">
        <v>21.06</v>
      </c>
      <c r="D1765" t="s">
        <v>45</v>
      </c>
      <c r="E1765" t="s">
        <v>14</v>
      </c>
      <c r="F1765" t="s">
        <v>50</v>
      </c>
      <c r="G1765" t="s">
        <v>270</v>
      </c>
      <c r="H1765" t="s">
        <v>18</v>
      </c>
      <c r="I1765" t="s">
        <v>11</v>
      </c>
      <c r="J1765" t="s">
        <v>279</v>
      </c>
      <c r="K1765" s="1">
        <v>0.44301997685185185</v>
      </c>
      <c r="L1765">
        <f>YEAR(Coffe_sales[[#This Row],[Date]])</f>
        <v>2024</v>
      </c>
    </row>
    <row r="1766" spans="1:12" x14ac:dyDescent="0.2">
      <c r="A1766" t="s">
        <v>35</v>
      </c>
      <c r="B1766" t="s">
        <v>12</v>
      </c>
      <c r="C1766">
        <v>25.96</v>
      </c>
      <c r="D1766" t="s">
        <v>24</v>
      </c>
      <c r="E1766" t="s">
        <v>14</v>
      </c>
      <c r="F1766" t="s">
        <v>50</v>
      </c>
      <c r="G1766" t="s">
        <v>270</v>
      </c>
      <c r="H1766" t="s">
        <v>18</v>
      </c>
      <c r="I1766" t="s">
        <v>11</v>
      </c>
      <c r="J1766" t="s">
        <v>279</v>
      </c>
      <c r="K1766" s="1">
        <v>0.47085807870370372</v>
      </c>
      <c r="L1766">
        <f>YEAR(Coffe_sales[[#This Row],[Date]])</f>
        <v>2024</v>
      </c>
    </row>
    <row r="1767" spans="1:12" x14ac:dyDescent="0.2">
      <c r="A1767" t="s">
        <v>23</v>
      </c>
      <c r="B1767" t="s">
        <v>12</v>
      </c>
      <c r="C1767">
        <v>35.76</v>
      </c>
      <c r="D1767" t="s">
        <v>13</v>
      </c>
      <c r="E1767" t="s">
        <v>22</v>
      </c>
      <c r="F1767" t="s">
        <v>50</v>
      </c>
      <c r="G1767" t="s">
        <v>270</v>
      </c>
      <c r="H1767" t="s">
        <v>18</v>
      </c>
      <c r="I1767" t="s">
        <v>11</v>
      </c>
      <c r="J1767" t="s">
        <v>279</v>
      </c>
      <c r="K1767" s="1">
        <v>0.54384854166666663</v>
      </c>
      <c r="L1767">
        <f>YEAR(Coffe_sales[[#This Row],[Date]])</f>
        <v>2024</v>
      </c>
    </row>
    <row r="1768" spans="1:12" x14ac:dyDescent="0.2">
      <c r="A1768" t="s">
        <v>23</v>
      </c>
      <c r="B1768" t="s">
        <v>12</v>
      </c>
      <c r="C1768">
        <v>30.86</v>
      </c>
      <c r="D1768" t="s">
        <v>26</v>
      </c>
      <c r="E1768" t="s">
        <v>22</v>
      </c>
      <c r="F1768" t="s">
        <v>50</v>
      </c>
      <c r="G1768" t="s">
        <v>270</v>
      </c>
      <c r="H1768" t="s">
        <v>18</v>
      </c>
      <c r="I1768" t="s">
        <v>11</v>
      </c>
      <c r="J1768" t="s">
        <v>279</v>
      </c>
      <c r="K1768" s="1">
        <v>0.57817981481481484</v>
      </c>
      <c r="L1768">
        <f>YEAR(Coffe_sales[[#This Row],[Date]])</f>
        <v>2024</v>
      </c>
    </row>
    <row r="1769" spans="1:12" x14ac:dyDescent="0.2">
      <c r="A1769" t="s">
        <v>37</v>
      </c>
      <c r="B1769" t="s">
        <v>12</v>
      </c>
      <c r="C1769">
        <v>35.76</v>
      </c>
      <c r="D1769" t="s">
        <v>52</v>
      </c>
      <c r="E1769" t="s">
        <v>29</v>
      </c>
      <c r="F1769" t="s">
        <v>50</v>
      </c>
      <c r="G1769" t="s">
        <v>270</v>
      </c>
      <c r="H1769" t="s">
        <v>18</v>
      </c>
      <c r="I1769" t="s">
        <v>11</v>
      </c>
      <c r="J1769" t="s">
        <v>279</v>
      </c>
      <c r="K1769" s="1">
        <v>0.72690244212962962</v>
      </c>
      <c r="L1769">
        <f>YEAR(Coffe_sales[[#This Row],[Date]])</f>
        <v>2024</v>
      </c>
    </row>
    <row r="1770" spans="1:12" x14ac:dyDescent="0.2">
      <c r="A1770" t="s">
        <v>37</v>
      </c>
      <c r="B1770" t="s">
        <v>12</v>
      </c>
      <c r="C1770">
        <v>25.96</v>
      </c>
      <c r="D1770" t="s">
        <v>24</v>
      </c>
      <c r="E1770" t="s">
        <v>29</v>
      </c>
      <c r="F1770" t="s">
        <v>50</v>
      </c>
      <c r="G1770" t="s">
        <v>270</v>
      </c>
      <c r="H1770" t="s">
        <v>18</v>
      </c>
      <c r="I1770" t="s">
        <v>11</v>
      </c>
      <c r="J1770" t="s">
        <v>279</v>
      </c>
      <c r="K1770" s="1">
        <v>0.72764907407407409</v>
      </c>
      <c r="L1770">
        <f>YEAR(Coffe_sales[[#This Row],[Date]])</f>
        <v>2024</v>
      </c>
    </row>
    <row r="1771" spans="1:12" x14ac:dyDescent="0.2">
      <c r="A1771" t="s">
        <v>37</v>
      </c>
      <c r="B1771" t="s">
        <v>12</v>
      </c>
      <c r="C1771">
        <v>21.06</v>
      </c>
      <c r="D1771" t="s">
        <v>45</v>
      </c>
      <c r="E1771" t="s">
        <v>29</v>
      </c>
      <c r="F1771" t="s">
        <v>50</v>
      </c>
      <c r="G1771" t="s">
        <v>270</v>
      </c>
      <c r="H1771" t="s">
        <v>18</v>
      </c>
      <c r="I1771" t="s">
        <v>11</v>
      </c>
      <c r="J1771" t="s">
        <v>279</v>
      </c>
      <c r="K1771" s="1">
        <v>0.74305037037037036</v>
      </c>
      <c r="L1771">
        <f>YEAR(Coffe_sales[[#This Row],[Date]])</f>
        <v>2024</v>
      </c>
    </row>
    <row r="1772" spans="1:12" x14ac:dyDescent="0.2">
      <c r="A1772" t="s">
        <v>91</v>
      </c>
      <c r="B1772" t="s">
        <v>12</v>
      </c>
      <c r="C1772">
        <v>35.76</v>
      </c>
      <c r="D1772" t="s">
        <v>52</v>
      </c>
      <c r="E1772" t="s">
        <v>29</v>
      </c>
      <c r="F1772" t="s">
        <v>50</v>
      </c>
      <c r="G1772" t="s">
        <v>270</v>
      </c>
      <c r="H1772" t="s">
        <v>18</v>
      </c>
      <c r="I1772" t="s">
        <v>11</v>
      </c>
      <c r="J1772" t="s">
        <v>279</v>
      </c>
      <c r="K1772" s="1">
        <v>0.86750578703703707</v>
      </c>
      <c r="L1772">
        <f>YEAR(Coffe_sales[[#This Row],[Date]])</f>
        <v>2024</v>
      </c>
    </row>
    <row r="1773" spans="1:12" x14ac:dyDescent="0.2">
      <c r="A1773" t="s">
        <v>123</v>
      </c>
      <c r="B1773" t="s">
        <v>12</v>
      </c>
      <c r="C1773">
        <v>25.96</v>
      </c>
      <c r="D1773" t="s">
        <v>24</v>
      </c>
      <c r="E1773" t="s">
        <v>14</v>
      </c>
      <c r="F1773" t="s">
        <v>53</v>
      </c>
      <c r="G1773" t="s">
        <v>270</v>
      </c>
      <c r="H1773" t="s">
        <v>54</v>
      </c>
      <c r="I1773" t="s">
        <v>11</v>
      </c>
      <c r="J1773" t="s">
        <v>280</v>
      </c>
      <c r="K1773" s="1">
        <v>0.36674652777777778</v>
      </c>
      <c r="L1773">
        <f>YEAR(Coffe_sales[[#This Row],[Date]])</f>
        <v>2024</v>
      </c>
    </row>
    <row r="1774" spans="1:12" x14ac:dyDescent="0.2">
      <c r="A1774" t="s">
        <v>46</v>
      </c>
      <c r="B1774" t="s">
        <v>12</v>
      </c>
      <c r="C1774">
        <v>30.86</v>
      </c>
      <c r="D1774" t="s">
        <v>26</v>
      </c>
      <c r="E1774" t="s">
        <v>14</v>
      </c>
      <c r="F1774" t="s">
        <v>53</v>
      </c>
      <c r="G1774" t="s">
        <v>270</v>
      </c>
      <c r="H1774" t="s">
        <v>54</v>
      </c>
      <c r="I1774" t="s">
        <v>11</v>
      </c>
      <c r="J1774" t="s">
        <v>280</v>
      </c>
      <c r="K1774" s="1">
        <v>0.39120506944444444</v>
      </c>
      <c r="L1774">
        <f>YEAR(Coffe_sales[[#This Row],[Date]])</f>
        <v>2024</v>
      </c>
    </row>
    <row r="1775" spans="1:12" x14ac:dyDescent="0.2">
      <c r="A1775" t="s">
        <v>46</v>
      </c>
      <c r="B1775" t="s">
        <v>12</v>
      </c>
      <c r="C1775">
        <v>35.76</v>
      </c>
      <c r="D1775" t="s">
        <v>21</v>
      </c>
      <c r="E1775" t="s">
        <v>14</v>
      </c>
      <c r="F1775" t="s">
        <v>53</v>
      </c>
      <c r="G1775" t="s">
        <v>270</v>
      </c>
      <c r="H1775" t="s">
        <v>54</v>
      </c>
      <c r="I1775" t="s">
        <v>11</v>
      </c>
      <c r="J1775" t="s">
        <v>280</v>
      </c>
      <c r="K1775" s="1">
        <v>0.41092836805555555</v>
      </c>
      <c r="L1775">
        <f>YEAR(Coffe_sales[[#This Row],[Date]])</f>
        <v>2024</v>
      </c>
    </row>
    <row r="1776" spans="1:12" x14ac:dyDescent="0.2">
      <c r="A1776" t="s">
        <v>11</v>
      </c>
      <c r="B1776" t="s">
        <v>12</v>
      </c>
      <c r="C1776">
        <v>35.76</v>
      </c>
      <c r="D1776" t="s">
        <v>13</v>
      </c>
      <c r="E1776" t="s">
        <v>14</v>
      </c>
      <c r="F1776" t="s">
        <v>53</v>
      </c>
      <c r="G1776" t="s">
        <v>270</v>
      </c>
      <c r="H1776" t="s">
        <v>54</v>
      </c>
      <c r="I1776" t="s">
        <v>11</v>
      </c>
      <c r="J1776" t="s">
        <v>280</v>
      </c>
      <c r="K1776" s="1">
        <v>0.42024877314814812</v>
      </c>
      <c r="L1776">
        <f>YEAR(Coffe_sales[[#This Row],[Date]])</f>
        <v>2024</v>
      </c>
    </row>
    <row r="1777" spans="1:12" x14ac:dyDescent="0.2">
      <c r="A1777" t="s">
        <v>11</v>
      </c>
      <c r="B1777" t="s">
        <v>12</v>
      </c>
      <c r="C1777">
        <v>25.96</v>
      </c>
      <c r="D1777" t="s">
        <v>41</v>
      </c>
      <c r="E1777" t="s">
        <v>14</v>
      </c>
      <c r="F1777" t="s">
        <v>53</v>
      </c>
      <c r="G1777" t="s">
        <v>270</v>
      </c>
      <c r="H1777" t="s">
        <v>54</v>
      </c>
      <c r="I1777" t="s">
        <v>11</v>
      </c>
      <c r="J1777" t="s">
        <v>280</v>
      </c>
      <c r="K1777" s="1">
        <v>0.44633153935185182</v>
      </c>
      <c r="L1777">
        <f>YEAR(Coffe_sales[[#This Row],[Date]])</f>
        <v>2024</v>
      </c>
    </row>
    <row r="1778" spans="1:12" x14ac:dyDescent="0.2">
      <c r="A1778" t="s">
        <v>11</v>
      </c>
      <c r="B1778" t="s">
        <v>12</v>
      </c>
      <c r="C1778">
        <v>25.96</v>
      </c>
      <c r="D1778" t="s">
        <v>41</v>
      </c>
      <c r="E1778" t="s">
        <v>14</v>
      </c>
      <c r="F1778" t="s">
        <v>53</v>
      </c>
      <c r="G1778" t="s">
        <v>270</v>
      </c>
      <c r="H1778" t="s">
        <v>54</v>
      </c>
      <c r="I1778" t="s">
        <v>11</v>
      </c>
      <c r="J1778" t="s">
        <v>280</v>
      </c>
      <c r="K1778" s="1">
        <v>0.44687530092592592</v>
      </c>
      <c r="L1778">
        <f>YEAR(Coffe_sales[[#This Row],[Date]])</f>
        <v>2024</v>
      </c>
    </row>
    <row r="1779" spans="1:12" x14ac:dyDescent="0.2">
      <c r="A1779" t="s">
        <v>11</v>
      </c>
      <c r="B1779" t="s">
        <v>12</v>
      </c>
      <c r="C1779">
        <v>35.76</v>
      </c>
      <c r="D1779" t="s">
        <v>13</v>
      </c>
      <c r="E1779" t="s">
        <v>14</v>
      </c>
      <c r="F1779" t="s">
        <v>53</v>
      </c>
      <c r="G1779" t="s">
        <v>270</v>
      </c>
      <c r="H1779" t="s">
        <v>54</v>
      </c>
      <c r="I1779" t="s">
        <v>11</v>
      </c>
      <c r="J1779" t="s">
        <v>280</v>
      </c>
      <c r="K1779" s="1">
        <v>0.45523861111111114</v>
      </c>
      <c r="L1779">
        <f>YEAR(Coffe_sales[[#This Row],[Date]])</f>
        <v>2024</v>
      </c>
    </row>
    <row r="1780" spans="1:12" x14ac:dyDescent="0.2">
      <c r="A1780" t="s">
        <v>35</v>
      </c>
      <c r="B1780" t="s">
        <v>12</v>
      </c>
      <c r="C1780">
        <v>35.76</v>
      </c>
      <c r="D1780" t="s">
        <v>13</v>
      </c>
      <c r="E1780" t="s">
        <v>14</v>
      </c>
      <c r="F1780" t="s">
        <v>53</v>
      </c>
      <c r="G1780" t="s">
        <v>270</v>
      </c>
      <c r="H1780" t="s">
        <v>54</v>
      </c>
      <c r="I1780" t="s">
        <v>11</v>
      </c>
      <c r="J1780" t="s">
        <v>280</v>
      </c>
      <c r="K1780" s="1">
        <v>0.46133505787037038</v>
      </c>
      <c r="L1780">
        <f>YEAR(Coffe_sales[[#This Row],[Date]])</f>
        <v>2024</v>
      </c>
    </row>
    <row r="1781" spans="1:12" x14ac:dyDescent="0.2">
      <c r="A1781" t="s">
        <v>25</v>
      </c>
      <c r="B1781" t="s">
        <v>12</v>
      </c>
      <c r="C1781">
        <v>35.76</v>
      </c>
      <c r="D1781" t="s">
        <v>52</v>
      </c>
      <c r="E1781" t="s">
        <v>22</v>
      </c>
      <c r="F1781" t="s">
        <v>53</v>
      </c>
      <c r="G1781" t="s">
        <v>270</v>
      </c>
      <c r="H1781" t="s">
        <v>54</v>
      </c>
      <c r="I1781" t="s">
        <v>11</v>
      </c>
      <c r="J1781" t="s">
        <v>280</v>
      </c>
      <c r="K1781" s="1">
        <v>0.6289687268518519</v>
      </c>
      <c r="L1781">
        <f>YEAR(Coffe_sales[[#This Row],[Date]])</f>
        <v>2024</v>
      </c>
    </row>
    <row r="1782" spans="1:12" x14ac:dyDescent="0.2">
      <c r="A1782" t="s">
        <v>37</v>
      </c>
      <c r="B1782" t="s">
        <v>12</v>
      </c>
      <c r="C1782">
        <v>35.76</v>
      </c>
      <c r="D1782" t="s">
        <v>13</v>
      </c>
      <c r="E1782" t="s">
        <v>29</v>
      </c>
      <c r="F1782" t="s">
        <v>53</v>
      </c>
      <c r="G1782" t="s">
        <v>270</v>
      </c>
      <c r="H1782" t="s">
        <v>54</v>
      </c>
      <c r="I1782" t="s">
        <v>11</v>
      </c>
      <c r="J1782" t="s">
        <v>280</v>
      </c>
      <c r="K1782" s="1">
        <v>0.73662481481481479</v>
      </c>
      <c r="L1782">
        <f>YEAR(Coffe_sales[[#This Row],[Date]])</f>
        <v>2024</v>
      </c>
    </row>
    <row r="1783" spans="1:12" x14ac:dyDescent="0.2">
      <c r="A1783" t="s">
        <v>28</v>
      </c>
      <c r="B1783" t="s">
        <v>12</v>
      </c>
      <c r="C1783">
        <v>25.96</v>
      </c>
      <c r="D1783" t="s">
        <v>24</v>
      </c>
      <c r="E1783" t="s">
        <v>29</v>
      </c>
      <c r="F1783" t="s">
        <v>53</v>
      </c>
      <c r="G1783" t="s">
        <v>270</v>
      </c>
      <c r="H1783" t="s">
        <v>54</v>
      </c>
      <c r="I1783" t="s">
        <v>11</v>
      </c>
      <c r="J1783" t="s">
        <v>280</v>
      </c>
      <c r="K1783" s="1">
        <v>0.76287859953703707</v>
      </c>
      <c r="L1783">
        <f>YEAR(Coffe_sales[[#This Row],[Date]])</f>
        <v>2024</v>
      </c>
    </row>
    <row r="1784" spans="1:12" x14ac:dyDescent="0.2">
      <c r="A1784" t="s">
        <v>28</v>
      </c>
      <c r="B1784" t="s">
        <v>12</v>
      </c>
      <c r="C1784">
        <v>30.86</v>
      </c>
      <c r="D1784" t="s">
        <v>26</v>
      </c>
      <c r="E1784" t="s">
        <v>29</v>
      </c>
      <c r="F1784" t="s">
        <v>53</v>
      </c>
      <c r="G1784" t="s">
        <v>270</v>
      </c>
      <c r="H1784" t="s">
        <v>54</v>
      </c>
      <c r="I1784" t="s">
        <v>11</v>
      </c>
      <c r="J1784" t="s">
        <v>280</v>
      </c>
      <c r="K1784" s="1">
        <v>0.78924418981481481</v>
      </c>
      <c r="L1784">
        <f>YEAR(Coffe_sales[[#This Row],[Date]])</f>
        <v>2024</v>
      </c>
    </row>
    <row r="1785" spans="1:12" x14ac:dyDescent="0.2">
      <c r="A1785" t="s">
        <v>28</v>
      </c>
      <c r="B1785" t="s">
        <v>12</v>
      </c>
      <c r="C1785">
        <v>35.76</v>
      </c>
      <c r="D1785" t="s">
        <v>13</v>
      </c>
      <c r="E1785" t="s">
        <v>29</v>
      </c>
      <c r="F1785" t="s">
        <v>53</v>
      </c>
      <c r="G1785" t="s">
        <v>270</v>
      </c>
      <c r="H1785" t="s">
        <v>54</v>
      </c>
      <c r="I1785" t="s">
        <v>11</v>
      </c>
      <c r="J1785" t="s">
        <v>280</v>
      </c>
      <c r="K1785" s="1">
        <v>0.78999130787037042</v>
      </c>
      <c r="L1785">
        <f>YEAR(Coffe_sales[[#This Row],[Date]])</f>
        <v>2024</v>
      </c>
    </row>
    <row r="1786" spans="1:12" x14ac:dyDescent="0.2">
      <c r="A1786" t="s">
        <v>125</v>
      </c>
      <c r="B1786" t="s">
        <v>12</v>
      </c>
      <c r="C1786">
        <v>35.76</v>
      </c>
      <c r="D1786" t="s">
        <v>21</v>
      </c>
      <c r="E1786" t="s">
        <v>29</v>
      </c>
      <c r="F1786" t="s">
        <v>53</v>
      </c>
      <c r="G1786" t="s">
        <v>270</v>
      </c>
      <c r="H1786" t="s">
        <v>54</v>
      </c>
      <c r="I1786" t="s">
        <v>11</v>
      </c>
      <c r="J1786" t="s">
        <v>280</v>
      </c>
      <c r="K1786" s="1">
        <v>0.93977981481481476</v>
      </c>
      <c r="L1786">
        <f>YEAR(Coffe_sales[[#This Row],[Date]])</f>
        <v>2024</v>
      </c>
    </row>
    <row r="1787" spans="1:12" x14ac:dyDescent="0.2">
      <c r="A1787" t="s">
        <v>125</v>
      </c>
      <c r="B1787" t="s">
        <v>12</v>
      </c>
      <c r="C1787">
        <v>35.76</v>
      </c>
      <c r="D1787" t="s">
        <v>21</v>
      </c>
      <c r="E1787" t="s">
        <v>29</v>
      </c>
      <c r="F1787" t="s">
        <v>53</v>
      </c>
      <c r="G1787" t="s">
        <v>270</v>
      </c>
      <c r="H1787" t="s">
        <v>54</v>
      </c>
      <c r="I1787" t="s">
        <v>11</v>
      </c>
      <c r="J1787" t="s">
        <v>280</v>
      </c>
      <c r="K1787" s="1">
        <v>0.94027464120370374</v>
      </c>
      <c r="L1787">
        <f>YEAR(Coffe_sales[[#This Row],[Date]])</f>
        <v>2024</v>
      </c>
    </row>
    <row r="1788" spans="1:12" x14ac:dyDescent="0.2">
      <c r="A1788" t="s">
        <v>39</v>
      </c>
      <c r="B1788" t="s">
        <v>12</v>
      </c>
      <c r="C1788">
        <v>30.86</v>
      </c>
      <c r="D1788" t="s">
        <v>26</v>
      </c>
      <c r="E1788" t="s">
        <v>14</v>
      </c>
      <c r="F1788" t="s">
        <v>15</v>
      </c>
      <c r="G1788" t="s">
        <v>270</v>
      </c>
      <c r="H1788" t="s">
        <v>17</v>
      </c>
      <c r="I1788" t="s">
        <v>11</v>
      </c>
      <c r="J1788" t="s">
        <v>281</v>
      </c>
      <c r="K1788" s="1">
        <v>0.32976365740740743</v>
      </c>
      <c r="L1788">
        <f>YEAR(Coffe_sales[[#This Row],[Date]])</f>
        <v>2024</v>
      </c>
    </row>
    <row r="1789" spans="1:12" x14ac:dyDescent="0.2">
      <c r="A1789" t="s">
        <v>123</v>
      </c>
      <c r="B1789" t="s">
        <v>12</v>
      </c>
      <c r="C1789">
        <v>35.76</v>
      </c>
      <c r="D1789" t="s">
        <v>13</v>
      </c>
      <c r="E1789" t="s">
        <v>14</v>
      </c>
      <c r="F1789" t="s">
        <v>15</v>
      </c>
      <c r="G1789" t="s">
        <v>270</v>
      </c>
      <c r="H1789" t="s">
        <v>17</v>
      </c>
      <c r="I1789" t="s">
        <v>11</v>
      </c>
      <c r="J1789" t="s">
        <v>281</v>
      </c>
      <c r="K1789" s="1">
        <v>0.3339228935185185</v>
      </c>
      <c r="L1789">
        <f>YEAR(Coffe_sales[[#This Row],[Date]])</f>
        <v>2024</v>
      </c>
    </row>
    <row r="1790" spans="1:12" x14ac:dyDescent="0.2">
      <c r="A1790" t="s">
        <v>123</v>
      </c>
      <c r="B1790" t="s">
        <v>12</v>
      </c>
      <c r="C1790">
        <v>25.96</v>
      </c>
      <c r="D1790" t="s">
        <v>41</v>
      </c>
      <c r="E1790" t="s">
        <v>14</v>
      </c>
      <c r="F1790" t="s">
        <v>15</v>
      </c>
      <c r="G1790" t="s">
        <v>270</v>
      </c>
      <c r="H1790" t="s">
        <v>17</v>
      </c>
      <c r="I1790" t="s">
        <v>11</v>
      </c>
      <c r="J1790" t="s">
        <v>281</v>
      </c>
      <c r="K1790" s="1">
        <v>0.34190108796296298</v>
      </c>
      <c r="L1790">
        <f>YEAR(Coffe_sales[[#This Row],[Date]])</f>
        <v>2024</v>
      </c>
    </row>
    <row r="1791" spans="1:12" x14ac:dyDescent="0.2">
      <c r="A1791" t="s">
        <v>123</v>
      </c>
      <c r="B1791" t="s">
        <v>12</v>
      </c>
      <c r="C1791">
        <v>35.76</v>
      </c>
      <c r="D1791" t="s">
        <v>13</v>
      </c>
      <c r="E1791" t="s">
        <v>14</v>
      </c>
      <c r="F1791" t="s">
        <v>15</v>
      </c>
      <c r="G1791" t="s">
        <v>270</v>
      </c>
      <c r="H1791" t="s">
        <v>17</v>
      </c>
      <c r="I1791" t="s">
        <v>11</v>
      </c>
      <c r="J1791" t="s">
        <v>281</v>
      </c>
      <c r="K1791" s="1">
        <v>0.35299625000000001</v>
      </c>
      <c r="L1791">
        <f>YEAR(Coffe_sales[[#This Row],[Date]])</f>
        <v>2024</v>
      </c>
    </row>
    <row r="1792" spans="1:12" x14ac:dyDescent="0.2">
      <c r="A1792" t="s">
        <v>123</v>
      </c>
      <c r="B1792" t="s">
        <v>12</v>
      </c>
      <c r="C1792">
        <v>35.76</v>
      </c>
      <c r="D1792" t="s">
        <v>31</v>
      </c>
      <c r="E1792" t="s">
        <v>14</v>
      </c>
      <c r="F1792" t="s">
        <v>15</v>
      </c>
      <c r="G1792" t="s">
        <v>270</v>
      </c>
      <c r="H1792" t="s">
        <v>17</v>
      </c>
      <c r="I1792" t="s">
        <v>11</v>
      </c>
      <c r="J1792" t="s">
        <v>281</v>
      </c>
      <c r="K1792" s="1">
        <v>0.35373136574074077</v>
      </c>
      <c r="L1792">
        <f>YEAR(Coffe_sales[[#This Row],[Date]])</f>
        <v>2024</v>
      </c>
    </row>
    <row r="1793" spans="1:12" x14ac:dyDescent="0.2">
      <c r="A1793" t="s">
        <v>123</v>
      </c>
      <c r="B1793" t="s">
        <v>12</v>
      </c>
      <c r="C1793">
        <v>35.76</v>
      </c>
      <c r="D1793" t="s">
        <v>31</v>
      </c>
      <c r="E1793" t="s">
        <v>14</v>
      </c>
      <c r="F1793" t="s">
        <v>15</v>
      </c>
      <c r="G1793" t="s">
        <v>270</v>
      </c>
      <c r="H1793" t="s">
        <v>17</v>
      </c>
      <c r="I1793" t="s">
        <v>11</v>
      </c>
      <c r="J1793" t="s">
        <v>281</v>
      </c>
      <c r="K1793" s="1">
        <v>0.37203457175925925</v>
      </c>
      <c r="L1793">
        <f>YEAR(Coffe_sales[[#This Row],[Date]])</f>
        <v>2024</v>
      </c>
    </row>
    <row r="1794" spans="1:12" x14ac:dyDescent="0.2">
      <c r="A1794" t="s">
        <v>123</v>
      </c>
      <c r="B1794" t="s">
        <v>12</v>
      </c>
      <c r="C1794">
        <v>30.86</v>
      </c>
      <c r="D1794" t="s">
        <v>26</v>
      </c>
      <c r="E1794" t="s">
        <v>14</v>
      </c>
      <c r="F1794" t="s">
        <v>15</v>
      </c>
      <c r="G1794" t="s">
        <v>270</v>
      </c>
      <c r="H1794" t="s">
        <v>17</v>
      </c>
      <c r="I1794" t="s">
        <v>11</v>
      </c>
      <c r="J1794" t="s">
        <v>281</v>
      </c>
      <c r="K1794" s="1">
        <v>0.37290252314814815</v>
      </c>
      <c r="L1794">
        <f>YEAR(Coffe_sales[[#This Row],[Date]])</f>
        <v>2024</v>
      </c>
    </row>
    <row r="1795" spans="1:12" x14ac:dyDescent="0.2">
      <c r="A1795" t="s">
        <v>123</v>
      </c>
      <c r="B1795" t="s">
        <v>12</v>
      </c>
      <c r="C1795">
        <v>35.76</v>
      </c>
      <c r="D1795" t="s">
        <v>21</v>
      </c>
      <c r="E1795" t="s">
        <v>14</v>
      </c>
      <c r="F1795" t="s">
        <v>15</v>
      </c>
      <c r="G1795" t="s">
        <v>270</v>
      </c>
      <c r="H1795" t="s">
        <v>17</v>
      </c>
      <c r="I1795" t="s">
        <v>11</v>
      </c>
      <c r="J1795" t="s">
        <v>281</v>
      </c>
      <c r="K1795" s="1">
        <v>0.37371645833333333</v>
      </c>
      <c r="L1795">
        <f>YEAR(Coffe_sales[[#This Row],[Date]])</f>
        <v>2024</v>
      </c>
    </row>
    <row r="1796" spans="1:12" x14ac:dyDescent="0.2">
      <c r="A1796" t="s">
        <v>46</v>
      </c>
      <c r="B1796" t="s">
        <v>12</v>
      </c>
      <c r="C1796">
        <v>30.86</v>
      </c>
      <c r="D1796" t="s">
        <v>26</v>
      </c>
      <c r="E1796" t="s">
        <v>14</v>
      </c>
      <c r="F1796" t="s">
        <v>15</v>
      </c>
      <c r="G1796" t="s">
        <v>270</v>
      </c>
      <c r="H1796" t="s">
        <v>17</v>
      </c>
      <c r="I1796" t="s">
        <v>11</v>
      </c>
      <c r="J1796" t="s">
        <v>281</v>
      </c>
      <c r="K1796" s="1">
        <v>0.39701780092592592</v>
      </c>
      <c r="L1796">
        <f>YEAR(Coffe_sales[[#This Row],[Date]])</f>
        <v>2024</v>
      </c>
    </row>
    <row r="1797" spans="1:12" x14ac:dyDescent="0.2">
      <c r="A1797" t="s">
        <v>46</v>
      </c>
      <c r="B1797" t="s">
        <v>12</v>
      </c>
      <c r="C1797">
        <v>25.96</v>
      </c>
      <c r="D1797" t="s">
        <v>41</v>
      </c>
      <c r="E1797" t="s">
        <v>14</v>
      </c>
      <c r="F1797" t="s">
        <v>15</v>
      </c>
      <c r="G1797" t="s">
        <v>270</v>
      </c>
      <c r="H1797" t="s">
        <v>17</v>
      </c>
      <c r="I1797" t="s">
        <v>11</v>
      </c>
      <c r="J1797" t="s">
        <v>281</v>
      </c>
      <c r="K1797" s="1">
        <v>0.40193202546296297</v>
      </c>
      <c r="L1797">
        <f>YEAR(Coffe_sales[[#This Row],[Date]])</f>
        <v>2024</v>
      </c>
    </row>
    <row r="1798" spans="1:12" x14ac:dyDescent="0.2">
      <c r="A1798" t="s">
        <v>11</v>
      </c>
      <c r="B1798" t="s">
        <v>12</v>
      </c>
      <c r="C1798">
        <v>25.96</v>
      </c>
      <c r="D1798" t="s">
        <v>24</v>
      </c>
      <c r="E1798" t="s">
        <v>14</v>
      </c>
      <c r="F1798" t="s">
        <v>15</v>
      </c>
      <c r="G1798" t="s">
        <v>270</v>
      </c>
      <c r="H1798" t="s">
        <v>17</v>
      </c>
      <c r="I1798" t="s">
        <v>11</v>
      </c>
      <c r="J1798" t="s">
        <v>281</v>
      </c>
      <c r="K1798" s="1">
        <v>0.41713396990740742</v>
      </c>
      <c r="L1798">
        <f>YEAR(Coffe_sales[[#This Row],[Date]])</f>
        <v>2024</v>
      </c>
    </row>
    <row r="1799" spans="1:12" x14ac:dyDescent="0.2">
      <c r="A1799" t="s">
        <v>11</v>
      </c>
      <c r="B1799" t="s">
        <v>12</v>
      </c>
      <c r="C1799">
        <v>25.96</v>
      </c>
      <c r="D1799" t="s">
        <v>24</v>
      </c>
      <c r="E1799" t="s">
        <v>14</v>
      </c>
      <c r="F1799" t="s">
        <v>15</v>
      </c>
      <c r="G1799" t="s">
        <v>270</v>
      </c>
      <c r="H1799" t="s">
        <v>17</v>
      </c>
      <c r="I1799" t="s">
        <v>11</v>
      </c>
      <c r="J1799" t="s">
        <v>281</v>
      </c>
      <c r="K1799" s="1">
        <v>0.41799621527777781</v>
      </c>
      <c r="L1799">
        <f>YEAR(Coffe_sales[[#This Row],[Date]])</f>
        <v>2024</v>
      </c>
    </row>
    <row r="1800" spans="1:12" x14ac:dyDescent="0.2">
      <c r="A1800" t="s">
        <v>11</v>
      </c>
      <c r="B1800" t="s">
        <v>12</v>
      </c>
      <c r="C1800">
        <v>30.86</v>
      </c>
      <c r="D1800" t="s">
        <v>26</v>
      </c>
      <c r="E1800" t="s">
        <v>14</v>
      </c>
      <c r="F1800" t="s">
        <v>15</v>
      </c>
      <c r="G1800" t="s">
        <v>270</v>
      </c>
      <c r="H1800" t="s">
        <v>17</v>
      </c>
      <c r="I1800" t="s">
        <v>11</v>
      </c>
      <c r="J1800" t="s">
        <v>281</v>
      </c>
      <c r="K1800" s="1">
        <v>0.43791633101851851</v>
      </c>
      <c r="L1800">
        <f>YEAR(Coffe_sales[[#This Row],[Date]])</f>
        <v>2024</v>
      </c>
    </row>
    <row r="1801" spans="1:12" x14ac:dyDescent="0.2">
      <c r="A1801" t="s">
        <v>23</v>
      </c>
      <c r="B1801" t="s">
        <v>12</v>
      </c>
      <c r="C1801">
        <v>35.76</v>
      </c>
      <c r="D1801" t="s">
        <v>13</v>
      </c>
      <c r="E1801" t="s">
        <v>22</v>
      </c>
      <c r="F1801" t="s">
        <v>15</v>
      </c>
      <c r="G1801" t="s">
        <v>270</v>
      </c>
      <c r="H1801" t="s">
        <v>17</v>
      </c>
      <c r="I1801" t="s">
        <v>11</v>
      </c>
      <c r="J1801" t="s">
        <v>281</v>
      </c>
      <c r="K1801" s="1">
        <v>0.54515512731481486</v>
      </c>
      <c r="L1801">
        <f>YEAR(Coffe_sales[[#This Row],[Date]])</f>
        <v>2024</v>
      </c>
    </row>
    <row r="1802" spans="1:12" x14ac:dyDescent="0.2">
      <c r="A1802" t="s">
        <v>23</v>
      </c>
      <c r="B1802" t="s">
        <v>12</v>
      </c>
      <c r="C1802">
        <v>25.96</v>
      </c>
      <c r="D1802" t="s">
        <v>24</v>
      </c>
      <c r="E1802" t="s">
        <v>22</v>
      </c>
      <c r="F1802" t="s">
        <v>15</v>
      </c>
      <c r="G1802" t="s">
        <v>270</v>
      </c>
      <c r="H1802" t="s">
        <v>17</v>
      </c>
      <c r="I1802" t="s">
        <v>11</v>
      </c>
      <c r="J1802" t="s">
        <v>281</v>
      </c>
      <c r="K1802" s="1">
        <v>0.56183399305555559</v>
      </c>
      <c r="L1802">
        <f>YEAR(Coffe_sales[[#This Row],[Date]])</f>
        <v>2024</v>
      </c>
    </row>
    <row r="1803" spans="1:12" x14ac:dyDescent="0.2">
      <c r="A1803" t="s">
        <v>23</v>
      </c>
      <c r="B1803" t="s">
        <v>12</v>
      </c>
      <c r="C1803">
        <v>25.96</v>
      </c>
      <c r="D1803" t="s">
        <v>24</v>
      </c>
      <c r="E1803" t="s">
        <v>22</v>
      </c>
      <c r="F1803" t="s">
        <v>15</v>
      </c>
      <c r="G1803" t="s">
        <v>270</v>
      </c>
      <c r="H1803" t="s">
        <v>17</v>
      </c>
      <c r="I1803" t="s">
        <v>11</v>
      </c>
      <c r="J1803" t="s">
        <v>281</v>
      </c>
      <c r="K1803" s="1">
        <v>0.56260440972222225</v>
      </c>
      <c r="L1803">
        <f>YEAR(Coffe_sales[[#This Row],[Date]])</f>
        <v>2024</v>
      </c>
    </row>
    <row r="1804" spans="1:12" x14ac:dyDescent="0.2">
      <c r="A1804" t="s">
        <v>36</v>
      </c>
      <c r="B1804" t="s">
        <v>12</v>
      </c>
      <c r="C1804">
        <v>35.76</v>
      </c>
      <c r="D1804" t="s">
        <v>31</v>
      </c>
      <c r="E1804" t="s">
        <v>22</v>
      </c>
      <c r="F1804" t="s">
        <v>15</v>
      </c>
      <c r="G1804" t="s">
        <v>270</v>
      </c>
      <c r="H1804" t="s">
        <v>17</v>
      </c>
      <c r="I1804" t="s">
        <v>11</v>
      </c>
      <c r="J1804" t="s">
        <v>281</v>
      </c>
      <c r="K1804" s="1">
        <v>0.60671915509259255</v>
      </c>
      <c r="L1804">
        <f>YEAR(Coffe_sales[[#This Row],[Date]])</f>
        <v>2024</v>
      </c>
    </row>
    <row r="1805" spans="1:12" x14ac:dyDescent="0.2">
      <c r="A1805" t="s">
        <v>36</v>
      </c>
      <c r="B1805" t="s">
        <v>12</v>
      </c>
      <c r="C1805">
        <v>25.96</v>
      </c>
      <c r="D1805" t="s">
        <v>24</v>
      </c>
      <c r="E1805" t="s">
        <v>22</v>
      </c>
      <c r="F1805" t="s">
        <v>15</v>
      </c>
      <c r="G1805" t="s">
        <v>270</v>
      </c>
      <c r="H1805" t="s">
        <v>17</v>
      </c>
      <c r="I1805" t="s">
        <v>11</v>
      </c>
      <c r="J1805" t="s">
        <v>281</v>
      </c>
      <c r="K1805" s="1">
        <v>0.6079781481481481</v>
      </c>
      <c r="L1805">
        <f>YEAR(Coffe_sales[[#This Row],[Date]])</f>
        <v>2024</v>
      </c>
    </row>
    <row r="1806" spans="1:12" x14ac:dyDescent="0.2">
      <c r="A1806" t="s">
        <v>36</v>
      </c>
      <c r="B1806" t="s">
        <v>12</v>
      </c>
      <c r="C1806">
        <v>35.76</v>
      </c>
      <c r="D1806" t="s">
        <v>52</v>
      </c>
      <c r="E1806" t="s">
        <v>22</v>
      </c>
      <c r="F1806" t="s">
        <v>15</v>
      </c>
      <c r="G1806" t="s">
        <v>270</v>
      </c>
      <c r="H1806" t="s">
        <v>17</v>
      </c>
      <c r="I1806" t="s">
        <v>11</v>
      </c>
      <c r="J1806" t="s">
        <v>281</v>
      </c>
      <c r="K1806" s="1">
        <v>0.6181569560185185</v>
      </c>
      <c r="L1806">
        <f>YEAR(Coffe_sales[[#This Row],[Date]])</f>
        <v>2024</v>
      </c>
    </row>
    <row r="1807" spans="1:12" x14ac:dyDescent="0.2">
      <c r="A1807" t="s">
        <v>37</v>
      </c>
      <c r="B1807" t="s">
        <v>12</v>
      </c>
      <c r="C1807">
        <v>35.76</v>
      </c>
      <c r="D1807" t="s">
        <v>13</v>
      </c>
      <c r="E1807" t="s">
        <v>29</v>
      </c>
      <c r="F1807" t="s">
        <v>15</v>
      </c>
      <c r="G1807" t="s">
        <v>270</v>
      </c>
      <c r="H1807" t="s">
        <v>17</v>
      </c>
      <c r="I1807" t="s">
        <v>11</v>
      </c>
      <c r="J1807" t="s">
        <v>281</v>
      </c>
      <c r="K1807" s="1">
        <v>0.71675153935185187</v>
      </c>
      <c r="L1807">
        <f>YEAR(Coffe_sales[[#This Row],[Date]])</f>
        <v>2024</v>
      </c>
    </row>
    <row r="1808" spans="1:12" x14ac:dyDescent="0.2">
      <c r="A1808" t="s">
        <v>37</v>
      </c>
      <c r="B1808" t="s">
        <v>12</v>
      </c>
      <c r="C1808">
        <v>35.76</v>
      </c>
      <c r="D1808" t="s">
        <v>21</v>
      </c>
      <c r="E1808" t="s">
        <v>29</v>
      </c>
      <c r="F1808" t="s">
        <v>15</v>
      </c>
      <c r="G1808" t="s">
        <v>270</v>
      </c>
      <c r="H1808" t="s">
        <v>17</v>
      </c>
      <c r="I1808" t="s">
        <v>11</v>
      </c>
      <c r="J1808" t="s">
        <v>281</v>
      </c>
      <c r="K1808" s="1">
        <v>0.71761107638888888</v>
      </c>
      <c r="L1808">
        <f>YEAR(Coffe_sales[[#This Row],[Date]])</f>
        <v>2024</v>
      </c>
    </row>
    <row r="1809" spans="1:12" x14ac:dyDescent="0.2">
      <c r="A1809" t="s">
        <v>37</v>
      </c>
      <c r="B1809" t="s">
        <v>12</v>
      </c>
      <c r="C1809">
        <v>35.76</v>
      </c>
      <c r="D1809" t="s">
        <v>21</v>
      </c>
      <c r="E1809" t="s">
        <v>29</v>
      </c>
      <c r="F1809" t="s">
        <v>15</v>
      </c>
      <c r="G1809" t="s">
        <v>270</v>
      </c>
      <c r="H1809" t="s">
        <v>17</v>
      </c>
      <c r="I1809" t="s">
        <v>11</v>
      </c>
      <c r="J1809" t="s">
        <v>281</v>
      </c>
      <c r="K1809" s="1">
        <v>0.72651812500000001</v>
      </c>
      <c r="L1809">
        <f>YEAR(Coffe_sales[[#This Row],[Date]])</f>
        <v>2024</v>
      </c>
    </row>
    <row r="1810" spans="1:12" x14ac:dyDescent="0.2">
      <c r="A1810" t="s">
        <v>131</v>
      </c>
      <c r="B1810" t="s">
        <v>12</v>
      </c>
      <c r="C1810">
        <v>35.76</v>
      </c>
      <c r="D1810" t="s">
        <v>13</v>
      </c>
      <c r="E1810" t="s">
        <v>29</v>
      </c>
      <c r="F1810" t="s">
        <v>15</v>
      </c>
      <c r="G1810" t="s">
        <v>270</v>
      </c>
      <c r="H1810" t="s">
        <v>17</v>
      </c>
      <c r="I1810" t="s">
        <v>11</v>
      </c>
      <c r="J1810" t="s">
        <v>281</v>
      </c>
      <c r="K1810" s="1">
        <v>0.90876990740740737</v>
      </c>
      <c r="L1810">
        <f>YEAR(Coffe_sales[[#This Row],[Date]])</f>
        <v>2024</v>
      </c>
    </row>
    <row r="1811" spans="1:12" x14ac:dyDescent="0.2">
      <c r="A1811" t="s">
        <v>131</v>
      </c>
      <c r="B1811" t="s">
        <v>12</v>
      </c>
      <c r="C1811">
        <v>30.86</v>
      </c>
      <c r="D1811" t="s">
        <v>26</v>
      </c>
      <c r="E1811" t="s">
        <v>29</v>
      </c>
      <c r="F1811" t="s">
        <v>15</v>
      </c>
      <c r="G1811" t="s">
        <v>270</v>
      </c>
      <c r="H1811" t="s">
        <v>17</v>
      </c>
      <c r="I1811" t="s">
        <v>11</v>
      </c>
      <c r="J1811" t="s">
        <v>281</v>
      </c>
      <c r="K1811" s="1">
        <v>0.91242600694444442</v>
      </c>
      <c r="L1811">
        <f>YEAR(Coffe_sales[[#This Row],[Date]])</f>
        <v>2024</v>
      </c>
    </row>
    <row r="1812" spans="1:12" x14ac:dyDescent="0.2">
      <c r="A1812" t="s">
        <v>125</v>
      </c>
      <c r="B1812" t="s">
        <v>12</v>
      </c>
      <c r="C1812">
        <v>35.76</v>
      </c>
      <c r="D1812" t="s">
        <v>21</v>
      </c>
      <c r="E1812" t="s">
        <v>29</v>
      </c>
      <c r="F1812" t="s">
        <v>15</v>
      </c>
      <c r="G1812" t="s">
        <v>270</v>
      </c>
      <c r="H1812" t="s">
        <v>17</v>
      </c>
      <c r="I1812" t="s">
        <v>11</v>
      </c>
      <c r="J1812" t="s">
        <v>281</v>
      </c>
      <c r="K1812" s="1">
        <v>0.9419864930555556</v>
      </c>
      <c r="L1812">
        <f>YEAR(Coffe_sales[[#This Row],[Date]])</f>
        <v>2024</v>
      </c>
    </row>
    <row r="1813" spans="1:12" x14ac:dyDescent="0.2">
      <c r="A1813" t="s">
        <v>125</v>
      </c>
      <c r="B1813" t="s">
        <v>12</v>
      </c>
      <c r="C1813">
        <v>35.76</v>
      </c>
      <c r="D1813" t="s">
        <v>21</v>
      </c>
      <c r="E1813" t="s">
        <v>29</v>
      </c>
      <c r="F1813" t="s">
        <v>15</v>
      </c>
      <c r="G1813" t="s">
        <v>270</v>
      </c>
      <c r="H1813" t="s">
        <v>17</v>
      </c>
      <c r="I1813" t="s">
        <v>11</v>
      </c>
      <c r="J1813" t="s">
        <v>281</v>
      </c>
      <c r="K1813" s="1">
        <v>0.94267015046296299</v>
      </c>
      <c r="L1813">
        <f>YEAR(Coffe_sales[[#This Row],[Date]])</f>
        <v>2024</v>
      </c>
    </row>
    <row r="1814" spans="1:12" x14ac:dyDescent="0.2">
      <c r="A1814" t="s">
        <v>123</v>
      </c>
      <c r="B1814" t="s">
        <v>12</v>
      </c>
      <c r="C1814">
        <v>25.96</v>
      </c>
      <c r="D1814" t="s">
        <v>41</v>
      </c>
      <c r="E1814" t="s">
        <v>14</v>
      </c>
      <c r="F1814" t="s">
        <v>32</v>
      </c>
      <c r="G1814" t="s">
        <v>270</v>
      </c>
      <c r="H1814" t="s">
        <v>33</v>
      </c>
      <c r="I1814" t="s">
        <v>11</v>
      </c>
      <c r="J1814" t="s">
        <v>282</v>
      </c>
      <c r="K1814" s="1">
        <v>0.35295738425925927</v>
      </c>
      <c r="L1814">
        <f>YEAR(Coffe_sales[[#This Row],[Date]])</f>
        <v>2024</v>
      </c>
    </row>
    <row r="1815" spans="1:12" x14ac:dyDescent="0.2">
      <c r="A1815" t="s">
        <v>11</v>
      </c>
      <c r="B1815" t="s">
        <v>12</v>
      </c>
      <c r="C1815">
        <v>25.96</v>
      </c>
      <c r="D1815" t="s">
        <v>41</v>
      </c>
      <c r="E1815" t="s">
        <v>14</v>
      </c>
      <c r="F1815" t="s">
        <v>32</v>
      </c>
      <c r="G1815" t="s">
        <v>270</v>
      </c>
      <c r="H1815" t="s">
        <v>33</v>
      </c>
      <c r="I1815" t="s">
        <v>11</v>
      </c>
      <c r="J1815" t="s">
        <v>282</v>
      </c>
      <c r="K1815" s="1">
        <v>0.43864466435185184</v>
      </c>
      <c r="L1815">
        <f>YEAR(Coffe_sales[[#This Row],[Date]])</f>
        <v>2024</v>
      </c>
    </row>
    <row r="1816" spans="1:12" x14ac:dyDescent="0.2">
      <c r="A1816" t="s">
        <v>11</v>
      </c>
      <c r="B1816" t="s">
        <v>12</v>
      </c>
      <c r="C1816">
        <v>25.96</v>
      </c>
      <c r="D1816" t="s">
        <v>41</v>
      </c>
      <c r="E1816" t="s">
        <v>14</v>
      </c>
      <c r="F1816" t="s">
        <v>32</v>
      </c>
      <c r="G1816" t="s">
        <v>270</v>
      </c>
      <c r="H1816" t="s">
        <v>33</v>
      </c>
      <c r="I1816" t="s">
        <v>11</v>
      </c>
      <c r="J1816" t="s">
        <v>282</v>
      </c>
      <c r="K1816" s="1">
        <v>0.43953150462962964</v>
      </c>
      <c r="L1816">
        <f>YEAR(Coffe_sales[[#This Row],[Date]])</f>
        <v>2024</v>
      </c>
    </row>
    <row r="1817" spans="1:12" x14ac:dyDescent="0.2">
      <c r="A1817" t="s">
        <v>35</v>
      </c>
      <c r="B1817" t="s">
        <v>12</v>
      </c>
      <c r="C1817">
        <v>35.76</v>
      </c>
      <c r="D1817" t="s">
        <v>13</v>
      </c>
      <c r="E1817" t="s">
        <v>14</v>
      </c>
      <c r="F1817" t="s">
        <v>32</v>
      </c>
      <c r="G1817" t="s">
        <v>270</v>
      </c>
      <c r="H1817" t="s">
        <v>33</v>
      </c>
      <c r="I1817" t="s">
        <v>11</v>
      </c>
      <c r="J1817" t="s">
        <v>282</v>
      </c>
      <c r="K1817" s="1">
        <v>0.49462383101851853</v>
      </c>
      <c r="L1817">
        <f>YEAR(Coffe_sales[[#This Row],[Date]])</f>
        <v>2024</v>
      </c>
    </row>
    <row r="1818" spans="1:12" x14ac:dyDescent="0.2">
      <c r="A1818" t="s">
        <v>35</v>
      </c>
      <c r="B1818" t="s">
        <v>12</v>
      </c>
      <c r="C1818">
        <v>30.86</v>
      </c>
      <c r="D1818" t="s">
        <v>26</v>
      </c>
      <c r="E1818" t="s">
        <v>14</v>
      </c>
      <c r="F1818" t="s">
        <v>32</v>
      </c>
      <c r="G1818" t="s">
        <v>270</v>
      </c>
      <c r="H1818" t="s">
        <v>33</v>
      </c>
      <c r="I1818" t="s">
        <v>11</v>
      </c>
      <c r="J1818" t="s">
        <v>282</v>
      </c>
      <c r="K1818" s="1">
        <v>0.4956145023148148</v>
      </c>
      <c r="L1818">
        <f>YEAR(Coffe_sales[[#This Row],[Date]])</f>
        <v>2024</v>
      </c>
    </row>
    <row r="1819" spans="1:12" x14ac:dyDescent="0.2">
      <c r="A1819" t="s">
        <v>23</v>
      </c>
      <c r="B1819" t="s">
        <v>12</v>
      </c>
      <c r="C1819">
        <v>35.76</v>
      </c>
      <c r="D1819" t="s">
        <v>52</v>
      </c>
      <c r="E1819" t="s">
        <v>22</v>
      </c>
      <c r="F1819" t="s">
        <v>32</v>
      </c>
      <c r="G1819" t="s">
        <v>270</v>
      </c>
      <c r="H1819" t="s">
        <v>33</v>
      </c>
      <c r="I1819" t="s">
        <v>11</v>
      </c>
      <c r="J1819" t="s">
        <v>282</v>
      </c>
      <c r="K1819" s="1">
        <v>0.5547112847222222</v>
      </c>
      <c r="L1819">
        <f>YEAR(Coffe_sales[[#This Row],[Date]])</f>
        <v>2024</v>
      </c>
    </row>
    <row r="1820" spans="1:12" x14ac:dyDescent="0.2">
      <c r="A1820" t="s">
        <v>91</v>
      </c>
      <c r="B1820" t="s">
        <v>12</v>
      </c>
      <c r="C1820">
        <v>35.76</v>
      </c>
      <c r="D1820" t="s">
        <v>13</v>
      </c>
      <c r="E1820" t="s">
        <v>29</v>
      </c>
      <c r="F1820" t="s">
        <v>32</v>
      </c>
      <c r="G1820" t="s">
        <v>270</v>
      </c>
      <c r="H1820" t="s">
        <v>33</v>
      </c>
      <c r="I1820" t="s">
        <v>11</v>
      </c>
      <c r="J1820" t="s">
        <v>282</v>
      </c>
      <c r="K1820" s="1">
        <v>0.84090175925925925</v>
      </c>
      <c r="L1820">
        <f>YEAR(Coffe_sales[[#This Row],[Date]])</f>
        <v>2024</v>
      </c>
    </row>
    <row r="1821" spans="1:12" x14ac:dyDescent="0.2">
      <c r="A1821" t="s">
        <v>46</v>
      </c>
      <c r="B1821" t="s">
        <v>12</v>
      </c>
      <c r="C1821">
        <v>25.96</v>
      </c>
      <c r="D1821" t="s">
        <v>41</v>
      </c>
      <c r="E1821" t="s">
        <v>14</v>
      </c>
      <c r="F1821" t="s">
        <v>38</v>
      </c>
      <c r="G1821" t="s">
        <v>270</v>
      </c>
      <c r="H1821" t="s">
        <v>39</v>
      </c>
      <c r="I1821" t="s">
        <v>11</v>
      </c>
      <c r="J1821" t="s">
        <v>283</v>
      </c>
      <c r="K1821" s="1">
        <v>0.41313873842592591</v>
      </c>
      <c r="L1821">
        <f>YEAR(Coffe_sales[[#This Row],[Date]])</f>
        <v>2024</v>
      </c>
    </row>
    <row r="1822" spans="1:12" x14ac:dyDescent="0.2">
      <c r="A1822" t="s">
        <v>20</v>
      </c>
      <c r="B1822" t="s">
        <v>12</v>
      </c>
      <c r="C1822">
        <v>30.86</v>
      </c>
      <c r="D1822" t="s">
        <v>26</v>
      </c>
      <c r="E1822" t="s">
        <v>22</v>
      </c>
      <c r="F1822" t="s">
        <v>38</v>
      </c>
      <c r="G1822" t="s">
        <v>270</v>
      </c>
      <c r="H1822" t="s">
        <v>39</v>
      </c>
      <c r="I1822" t="s">
        <v>11</v>
      </c>
      <c r="J1822" t="s">
        <v>283</v>
      </c>
      <c r="K1822" s="1">
        <v>0.5144281828703704</v>
      </c>
      <c r="L1822">
        <f>YEAR(Coffe_sales[[#This Row],[Date]])</f>
        <v>2024</v>
      </c>
    </row>
    <row r="1823" spans="1:12" x14ac:dyDescent="0.2">
      <c r="A1823" t="s">
        <v>23</v>
      </c>
      <c r="B1823" t="s">
        <v>12</v>
      </c>
      <c r="C1823">
        <v>25.96</v>
      </c>
      <c r="D1823" t="s">
        <v>41</v>
      </c>
      <c r="E1823" t="s">
        <v>22</v>
      </c>
      <c r="F1823" t="s">
        <v>38</v>
      </c>
      <c r="G1823" t="s">
        <v>270</v>
      </c>
      <c r="H1823" t="s">
        <v>39</v>
      </c>
      <c r="I1823" t="s">
        <v>11</v>
      </c>
      <c r="J1823" t="s">
        <v>283</v>
      </c>
      <c r="K1823" s="1">
        <v>0.56423055555555557</v>
      </c>
      <c r="L1823">
        <f>YEAR(Coffe_sales[[#This Row],[Date]])</f>
        <v>2024</v>
      </c>
    </row>
    <row r="1824" spans="1:12" x14ac:dyDescent="0.2">
      <c r="A1824" t="s">
        <v>23</v>
      </c>
      <c r="B1824" t="s">
        <v>12</v>
      </c>
      <c r="C1824">
        <v>21.06</v>
      </c>
      <c r="D1824" t="s">
        <v>45</v>
      </c>
      <c r="E1824" t="s">
        <v>22</v>
      </c>
      <c r="F1824" t="s">
        <v>38</v>
      </c>
      <c r="G1824" t="s">
        <v>270</v>
      </c>
      <c r="H1824" t="s">
        <v>39</v>
      </c>
      <c r="I1824" t="s">
        <v>11</v>
      </c>
      <c r="J1824" t="s">
        <v>283</v>
      </c>
      <c r="K1824" s="1">
        <v>0.56492343749999996</v>
      </c>
      <c r="L1824">
        <f>YEAR(Coffe_sales[[#This Row],[Date]])</f>
        <v>2024</v>
      </c>
    </row>
    <row r="1825" spans="1:12" x14ac:dyDescent="0.2">
      <c r="A1825" t="s">
        <v>23</v>
      </c>
      <c r="B1825" t="s">
        <v>12</v>
      </c>
      <c r="C1825">
        <v>25.96</v>
      </c>
      <c r="D1825" t="s">
        <v>41</v>
      </c>
      <c r="E1825" t="s">
        <v>22</v>
      </c>
      <c r="F1825" t="s">
        <v>38</v>
      </c>
      <c r="G1825" t="s">
        <v>270</v>
      </c>
      <c r="H1825" t="s">
        <v>39</v>
      </c>
      <c r="I1825" t="s">
        <v>11</v>
      </c>
      <c r="J1825" t="s">
        <v>283</v>
      </c>
      <c r="K1825" s="1">
        <v>0.56557762731481487</v>
      </c>
      <c r="L1825">
        <f>YEAR(Coffe_sales[[#This Row],[Date]])</f>
        <v>2024</v>
      </c>
    </row>
    <row r="1826" spans="1:12" x14ac:dyDescent="0.2">
      <c r="A1826" t="s">
        <v>37</v>
      </c>
      <c r="B1826" t="s">
        <v>12</v>
      </c>
      <c r="C1826">
        <v>35.76</v>
      </c>
      <c r="D1826" t="s">
        <v>13</v>
      </c>
      <c r="E1826" t="s">
        <v>29</v>
      </c>
      <c r="F1826" t="s">
        <v>38</v>
      </c>
      <c r="G1826" t="s">
        <v>270</v>
      </c>
      <c r="H1826" t="s">
        <v>39</v>
      </c>
      <c r="I1826" t="s">
        <v>11</v>
      </c>
      <c r="J1826" t="s">
        <v>283</v>
      </c>
      <c r="K1826" s="1">
        <v>0.74537866898148153</v>
      </c>
      <c r="L1826">
        <f>YEAR(Coffe_sales[[#This Row],[Date]])</f>
        <v>2024</v>
      </c>
    </row>
    <row r="1827" spans="1:12" x14ac:dyDescent="0.2">
      <c r="A1827" t="s">
        <v>37</v>
      </c>
      <c r="B1827" t="s">
        <v>12</v>
      </c>
      <c r="C1827">
        <v>35.76</v>
      </c>
      <c r="D1827" t="s">
        <v>13</v>
      </c>
      <c r="E1827" t="s">
        <v>29</v>
      </c>
      <c r="F1827" t="s">
        <v>38</v>
      </c>
      <c r="G1827" t="s">
        <v>270</v>
      </c>
      <c r="H1827" t="s">
        <v>39</v>
      </c>
      <c r="I1827" t="s">
        <v>11</v>
      </c>
      <c r="J1827" t="s">
        <v>283</v>
      </c>
      <c r="K1827" s="1">
        <v>0.74609293981481484</v>
      </c>
      <c r="L1827">
        <f>YEAR(Coffe_sales[[#This Row],[Date]])</f>
        <v>2024</v>
      </c>
    </row>
    <row r="1828" spans="1:12" x14ac:dyDescent="0.2">
      <c r="A1828" t="s">
        <v>28</v>
      </c>
      <c r="B1828" t="s">
        <v>12</v>
      </c>
      <c r="C1828">
        <v>35.76</v>
      </c>
      <c r="D1828" t="s">
        <v>52</v>
      </c>
      <c r="E1828" t="s">
        <v>29</v>
      </c>
      <c r="F1828" t="s">
        <v>38</v>
      </c>
      <c r="G1828" t="s">
        <v>270</v>
      </c>
      <c r="H1828" t="s">
        <v>39</v>
      </c>
      <c r="I1828" t="s">
        <v>11</v>
      </c>
      <c r="J1828" t="s">
        <v>283</v>
      </c>
      <c r="K1828" s="1">
        <v>0.76595855324074069</v>
      </c>
      <c r="L1828">
        <f>YEAR(Coffe_sales[[#This Row],[Date]])</f>
        <v>2024</v>
      </c>
    </row>
    <row r="1829" spans="1:12" x14ac:dyDescent="0.2">
      <c r="A1829" t="s">
        <v>91</v>
      </c>
      <c r="B1829" t="s">
        <v>12</v>
      </c>
      <c r="C1829">
        <v>35.76</v>
      </c>
      <c r="D1829" t="s">
        <v>52</v>
      </c>
      <c r="E1829" t="s">
        <v>29</v>
      </c>
      <c r="F1829" t="s">
        <v>38</v>
      </c>
      <c r="G1829" t="s">
        <v>270</v>
      </c>
      <c r="H1829" t="s">
        <v>39</v>
      </c>
      <c r="I1829" t="s">
        <v>11</v>
      </c>
      <c r="J1829" t="s">
        <v>283</v>
      </c>
      <c r="K1829" s="1">
        <v>0.86325148148148145</v>
      </c>
      <c r="L1829">
        <f>YEAR(Coffe_sales[[#This Row],[Date]])</f>
        <v>2024</v>
      </c>
    </row>
    <row r="1830" spans="1:12" x14ac:dyDescent="0.2">
      <c r="A1830" t="s">
        <v>123</v>
      </c>
      <c r="B1830" t="s">
        <v>12</v>
      </c>
      <c r="C1830">
        <v>30.86</v>
      </c>
      <c r="D1830" t="s">
        <v>26</v>
      </c>
      <c r="E1830" t="s">
        <v>14</v>
      </c>
      <c r="F1830" t="s">
        <v>42</v>
      </c>
      <c r="G1830" t="s">
        <v>270</v>
      </c>
      <c r="H1830" t="s">
        <v>43</v>
      </c>
      <c r="I1830" t="s">
        <v>11</v>
      </c>
      <c r="J1830" t="s">
        <v>284</v>
      </c>
      <c r="K1830" s="1">
        <v>0.35202128472222222</v>
      </c>
      <c r="L1830">
        <f>YEAR(Coffe_sales[[#This Row],[Date]])</f>
        <v>2024</v>
      </c>
    </row>
    <row r="1831" spans="1:12" x14ac:dyDescent="0.2">
      <c r="A1831" t="s">
        <v>46</v>
      </c>
      <c r="B1831" t="s">
        <v>12</v>
      </c>
      <c r="C1831">
        <v>35.76</v>
      </c>
      <c r="D1831" t="s">
        <v>31</v>
      </c>
      <c r="E1831" t="s">
        <v>14</v>
      </c>
      <c r="F1831" t="s">
        <v>42</v>
      </c>
      <c r="G1831" t="s">
        <v>270</v>
      </c>
      <c r="H1831" t="s">
        <v>43</v>
      </c>
      <c r="I1831" t="s">
        <v>11</v>
      </c>
      <c r="J1831" t="s">
        <v>284</v>
      </c>
      <c r="K1831" s="1">
        <v>0.4096591550925926</v>
      </c>
      <c r="L1831">
        <f>YEAR(Coffe_sales[[#This Row],[Date]])</f>
        <v>2024</v>
      </c>
    </row>
    <row r="1832" spans="1:12" x14ac:dyDescent="0.2">
      <c r="A1832" t="s">
        <v>11</v>
      </c>
      <c r="B1832" t="s">
        <v>12</v>
      </c>
      <c r="C1832">
        <v>25.96</v>
      </c>
      <c r="D1832" t="s">
        <v>41</v>
      </c>
      <c r="E1832" t="s">
        <v>14</v>
      </c>
      <c r="F1832" t="s">
        <v>42</v>
      </c>
      <c r="G1832" t="s">
        <v>270</v>
      </c>
      <c r="H1832" t="s">
        <v>43</v>
      </c>
      <c r="I1832" t="s">
        <v>11</v>
      </c>
      <c r="J1832" t="s">
        <v>284</v>
      </c>
      <c r="K1832" s="1">
        <v>0.43600817129629632</v>
      </c>
      <c r="L1832">
        <f>YEAR(Coffe_sales[[#This Row],[Date]])</f>
        <v>2024</v>
      </c>
    </row>
    <row r="1833" spans="1:12" x14ac:dyDescent="0.2">
      <c r="A1833" t="s">
        <v>11</v>
      </c>
      <c r="B1833" t="s">
        <v>12</v>
      </c>
      <c r="C1833">
        <v>35.76</v>
      </c>
      <c r="D1833" t="s">
        <v>13</v>
      </c>
      <c r="E1833" t="s">
        <v>14</v>
      </c>
      <c r="F1833" t="s">
        <v>42</v>
      </c>
      <c r="G1833" t="s">
        <v>270</v>
      </c>
      <c r="H1833" t="s">
        <v>43</v>
      </c>
      <c r="I1833" t="s">
        <v>11</v>
      </c>
      <c r="J1833" t="s">
        <v>284</v>
      </c>
      <c r="K1833" s="1">
        <v>0.44313377314814817</v>
      </c>
      <c r="L1833">
        <f>YEAR(Coffe_sales[[#This Row],[Date]])</f>
        <v>2024</v>
      </c>
    </row>
    <row r="1834" spans="1:12" x14ac:dyDescent="0.2">
      <c r="A1834" t="s">
        <v>11</v>
      </c>
      <c r="B1834" t="s">
        <v>12</v>
      </c>
      <c r="C1834">
        <v>35.76</v>
      </c>
      <c r="D1834" t="s">
        <v>13</v>
      </c>
      <c r="E1834" t="s">
        <v>14</v>
      </c>
      <c r="F1834" t="s">
        <v>42</v>
      </c>
      <c r="G1834" t="s">
        <v>270</v>
      </c>
      <c r="H1834" t="s">
        <v>43</v>
      </c>
      <c r="I1834" t="s">
        <v>11</v>
      </c>
      <c r="J1834" t="s">
        <v>284</v>
      </c>
      <c r="K1834" s="1">
        <v>0.44390875000000002</v>
      </c>
      <c r="L1834">
        <f>YEAR(Coffe_sales[[#This Row],[Date]])</f>
        <v>2024</v>
      </c>
    </row>
    <row r="1835" spans="1:12" x14ac:dyDescent="0.2">
      <c r="A1835" t="s">
        <v>35</v>
      </c>
      <c r="B1835" t="s">
        <v>12</v>
      </c>
      <c r="C1835">
        <v>35.76</v>
      </c>
      <c r="D1835" t="s">
        <v>52</v>
      </c>
      <c r="E1835" t="s">
        <v>14</v>
      </c>
      <c r="F1835" t="s">
        <v>42</v>
      </c>
      <c r="G1835" t="s">
        <v>270</v>
      </c>
      <c r="H1835" t="s">
        <v>43</v>
      </c>
      <c r="I1835" t="s">
        <v>11</v>
      </c>
      <c r="J1835" t="s">
        <v>284</v>
      </c>
      <c r="K1835" s="1">
        <v>0.47489092592592591</v>
      </c>
      <c r="L1835">
        <f>YEAR(Coffe_sales[[#This Row],[Date]])</f>
        <v>2024</v>
      </c>
    </row>
    <row r="1836" spans="1:12" x14ac:dyDescent="0.2">
      <c r="A1836" t="s">
        <v>35</v>
      </c>
      <c r="B1836" t="s">
        <v>12</v>
      </c>
      <c r="C1836">
        <v>25.96</v>
      </c>
      <c r="D1836" t="s">
        <v>24</v>
      </c>
      <c r="E1836" t="s">
        <v>14</v>
      </c>
      <c r="F1836" t="s">
        <v>42</v>
      </c>
      <c r="G1836" t="s">
        <v>270</v>
      </c>
      <c r="H1836" t="s">
        <v>43</v>
      </c>
      <c r="I1836" t="s">
        <v>11</v>
      </c>
      <c r="J1836" t="s">
        <v>284</v>
      </c>
      <c r="K1836" s="1">
        <v>0.47612614583333335</v>
      </c>
      <c r="L1836">
        <f>YEAR(Coffe_sales[[#This Row],[Date]])</f>
        <v>2024</v>
      </c>
    </row>
    <row r="1837" spans="1:12" x14ac:dyDescent="0.2">
      <c r="A1837" t="s">
        <v>35</v>
      </c>
      <c r="B1837" t="s">
        <v>12</v>
      </c>
      <c r="C1837">
        <v>25.96</v>
      </c>
      <c r="D1837" t="s">
        <v>24</v>
      </c>
      <c r="E1837" t="s">
        <v>14</v>
      </c>
      <c r="F1837" t="s">
        <v>42</v>
      </c>
      <c r="G1837" t="s">
        <v>270</v>
      </c>
      <c r="H1837" t="s">
        <v>43</v>
      </c>
      <c r="I1837" t="s">
        <v>11</v>
      </c>
      <c r="J1837" t="s">
        <v>284</v>
      </c>
      <c r="K1837" s="1">
        <v>0.47691255787037035</v>
      </c>
      <c r="L1837">
        <f>YEAR(Coffe_sales[[#This Row],[Date]])</f>
        <v>2024</v>
      </c>
    </row>
    <row r="1838" spans="1:12" x14ac:dyDescent="0.2">
      <c r="A1838" t="s">
        <v>36</v>
      </c>
      <c r="B1838" t="s">
        <v>12</v>
      </c>
      <c r="C1838">
        <v>35.76</v>
      </c>
      <c r="D1838" t="s">
        <v>13</v>
      </c>
      <c r="E1838" t="s">
        <v>22</v>
      </c>
      <c r="F1838" t="s">
        <v>42</v>
      </c>
      <c r="G1838" t="s">
        <v>270</v>
      </c>
      <c r="H1838" t="s">
        <v>43</v>
      </c>
      <c r="I1838" t="s">
        <v>11</v>
      </c>
      <c r="J1838" t="s">
        <v>284</v>
      </c>
      <c r="K1838" s="1">
        <v>0.60841592592592597</v>
      </c>
      <c r="L1838">
        <f>YEAR(Coffe_sales[[#This Row],[Date]])</f>
        <v>2024</v>
      </c>
    </row>
    <row r="1839" spans="1:12" x14ac:dyDescent="0.2">
      <c r="A1839" t="s">
        <v>36</v>
      </c>
      <c r="B1839" t="s">
        <v>12</v>
      </c>
      <c r="C1839">
        <v>35.76</v>
      </c>
      <c r="D1839" t="s">
        <v>13</v>
      </c>
      <c r="E1839" t="s">
        <v>22</v>
      </c>
      <c r="F1839" t="s">
        <v>42</v>
      </c>
      <c r="G1839" t="s">
        <v>270</v>
      </c>
      <c r="H1839" t="s">
        <v>43</v>
      </c>
      <c r="I1839" t="s">
        <v>11</v>
      </c>
      <c r="J1839" t="s">
        <v>284</v>
      </c>
      <c r="K1839" s="1">
        <v>0.61795673611111113</v>
      </c>
      <c r="L1839">
        <f>YEAR(Coffe_sales[[#This Row],[Date]])</f>
        <v>2024</v>
      </c>
    </row>
    <row r="1840" spans="1:12" x14ac:dyDescent="0.2">
      <c r="A1840" t="s">
        <v>27</v>
      </c>
      <c r="B1840" t="s">
        <v>12</v>
      </c>
      <c r="C1840">
        <v>25.96</v>
      </c>
      <c r="D1840" t="s">
        <v>24</v>
      </c>
      <c r="E1840" t="s">
        <v>22</v>
      </c>
      <c r="F1840" t="s">
        <v>42</v>
      </c>
      <c r="G1840" t="s">
        <v>270</v>
      </c>
      <c r="H1840" t="s">
        <v>43</v>
      </c>
      <c r="I1840" t="s">
        <v>11</v>
      </c>
      <c r="J1840" t="s">
        <v>284</v>
      </c>
      <c r="K1840" s="1">
        <v>0.69291048611111106</v>
      </c>
      <c r="L1840">
        <f>YEAR(Coffe_sales[[#This Row],[Date]])</f>
        <v>2024</v>
      </c>
    </row>
    <row r="1841" spans="1:12" x14ac:dyDescent="0.2">
      <c r="A1841" t="s">
        <v>28</v>
      </c>
      <c r="B1841" t="s">
        <v>12</v>
      </c>
      <c r="C1841">
        <v>35.76</v>
      </c>
      <c r="D1841" t="s">
        <v>13</v>
      </c>
      <c r="E1841" t="s">
        <v>29</v>
      </c>
      <c r="F1841" t="s">
        <v>42</v>
      </c>
      <c r="G1841" t="s">
        <v>270</v>
      </c>
      <c r="H1841" t="s">
        <v>43</v>
      </c>
      <c r="I1841" t="s">
        <v>11</v>
      </c>
      <c r="J1841" t="s">
        <v>284</v>
      </c>
      <c r="K1841" s="1">
        <v>0.76341656250000001</v>
      </c>
      <c r="L1841">
        <f>YEAR(Coffe_sales[[#This Row],[Date]])</f>
        <v>2024</v>
      </c>
    </row>
    <row r="1842" spans="1:12" x14ac:dyDescent="0.2">
      <c r="A1842" t="s">
        <v>28</v>
      </c>
      <c r="B1842" t="s">
        <v>12</v>
      </c>
      <c r="C1842">
        <v>35.76</v>
      </c>
      <c r="D1842" t="s">
        <v>52</v>
      </c>
      <c r="E1842" t="s">
        <v>29</v>
      </c>
      <c r="F1842" t="s">
        <v>42</v>
      </c>
      <c r="G1842" t="s">
        <v>270</v>
      </c>
      <c r="H1842" t="s">
        <v>43</v>
      </c>
      <c r="I1842" t="s">
        <v>11</v>
      </c>
      <c r="J1842" t="s">
        <v>284</v>
      </c>
      <c r="K1842" s="1">
        <v>0.76412712962962959</v>
      </c>
      <c r="L1842">
        <f>YEAR(Coffe_sales[[#This Row],[Date]])</f>
        <v>2024</v>
      </c>
    </row>
    <row r="1843" spans="1:12" x14ac:dyDescent="0.2">
      <c r="A1843" t="s">
        <v>125</v>
      </c>
      <c r="B1843" t="s">
        <v>12</v>
      </c>
      <c r="C1843">
        <v>35.76</v>
      </c>
      <c r="D1843" t="s">
        <v>13</v>
      </c>
      <c r="E1843" t="s">
        <v>29</v>
      </c>
      <c r="F1843" t="s">
        <v>42</v>
      </c>
      <c r="G1843" t="s">
        <v>270</v>
      </c>
      <c r="H1843" t="s">
        <v>43</v>
      </c>
      <c r="I1843" t="s">
        <v>11</v>
      </c>
      <c r="J1843" t="s">
        <v>284</v>
      </c>
      <c r="K1843" s="1">
        <v>0.92284409722222227</v>
      </c>
      <c r="L1843">
        <f>YEAR(Coffe_sales[[#This Row],[Date]])</f>
        <v>2024</v>
      </c>
    </row>
    <row r="1844" spans="1:12" x14ac:dyDescent="0.2">
      <c r="A1844" t="s">
        <v>125</v>
      </c>
      <c r="B1844" t="s">
        <v>12</v>
      </c>
      <c r="C1844">
        <v>35.76</v>
      </c>
      <c r="D1844" t="s">
        <v>13</v>
      </c>
      <c r="E1844" t="s">
        <v>29</v>
      </c>
      <c r="F1844" t="s">
        <v>42</v>
      </c>
      <c r="G1844" t="s">
        <v>270</v>
      </c>
      <c r="H1844" t="s">
        <v>43</v>
      </c>
      <c r="I1844" t="s">
        <v>11</v>
      </c>
      <c r="J1844" t="s">
        <v>284</v>
      </c>
      <c r="K1844" s="1">
        <v>0.92388509259259255</v>
      </c>
      <c r="L1844">
        <f>YEAR(Coffe_sales[[#This Row],[Date]])</f>
        <v>2024</v>
      </c>
    </row>
    <row r="1845" spans="1:12" x14ac:dyDescent="0.2">
      <c r="A1845" t="s">
        <v>125</v>
      </c>
      <c r="B1845" t="s">
        <v>12</v>
      </c>
      <c r="C1845">
        <v>35.76</v>
      </c>
      <c r="D1845" t="s">
        <v>13</v>
      </c>
      <c r="E1845" t="s">
        <v>29</v>
      </c>
      <c r="F1845" t="s">
        <v>42</v>
      </c>
      <c r="G1845" t="s">
        <v>270</v>
      </c>
      <c r="H1845" t="s">
        <v>43</v>
      </c>
      <c r="I1845" t="s">
        <v>11</v>
      </c>
      <c r="J1845" t="s">
        <v>284</v>
      </c>
      <c r="K1845" s="1">
        <v>0.93187343749999996</v>
      </c>
      <c r="L1845">
        <f>YEAR(Coffe_sales[[#This Row],[Date]])</f>
        <v>2024</v>
      </c>
    </row>
    <row r="1846" spans="1:12" x14ac:dyDescent="0.2">
      <c r="A1846" t="s">
        <v>123</v>
      </c>
      <c r="B1846" t="s">
        <v>12</v>
      </c>
      <c r="C1846">
        <v>25.96</v>
      </c>
      <c r="D1846" t="s">
        <v>41</v>
      </c>
      <c r="E1846" t="s">
        <v>14</v>
      </c>
      <c r="F1846" t="s">
        <v>47</v>
      </c>
      <c r="G1846" t="s">
        <v>270</v>
      </c>
      <c r="H1846" t="s">
        <v>48</v>
      </c>
      <c r="I1846" t="s">
        <v>11</v>
      </c>
      <c r="J1846" t="s">
        <v>285</v>
      </c>
      <c r="K1846" s="1">
        <v>0.34338734953703703</v>
      </c>
      <c r="L1846">
        <f>YEAR(Coffe_sales[[#This Row],[Date]])</f>
        <v>2024</v>
      </c>
    </row>
    <row r="1847" spans="1:12" x14ac:dyDescent="0.2">
      <c r="A1847" t="s">
        <v>123</v>
      </c>
      <c r="B1847" t="s">
        <v>12</v>
      </c>
      <c r="C1847">
        <v>21.06</v>
      </c>
      <c r="D1847" t="s">
        <v>45</v>
      </c>
      <c r="E1847" t="s">
        <v>14</v>
      </c>
      <c r="F1847" t="s">
        <v>47</v>
      </c>
      <c r="G1847" t="s">
        <v>270</v>
      </c>
      <c r="H1847" t="s">
        <v>48</v>
      </c>
      <c r="I1847" t="s">
        <v>11</v>
      </c>
      <c r="J1847" t="s">
        <v>285</v>
      </c>
      <c r="K1847" s="1">
        <v>0.35715123842592594</v>
      </c>
      <c r="L1847">
        <f>YEAR(Coffe_sales[[#This Row],[Date]])</f>
        <v>2024</v>
      </c>
    </row>
    <row r="1848" spans="1:12" x14ac:dyDescent="0.2">
      <c r="A1848" t="s">
        <v>35</v>
      </c>
      <c r="B1848" t="s">
        <v>12</v>
      </c>
      <c r="C1848">
        <v>35.76</v>
      </c>
      <c r="D1848" t="s">
        <v>21</v>
      </c>
      <c r="E1848" t="s">
        <v>14</v>
      </c>
      <c r="F1848" t="s">
        <v>47</v>
      </c>
      <c r="G1848" t="s">
        <v>270</v>
      </c>
      <c r="H1848" t="s">
        <v>48</v>
      </c>
      <c r="I1848" t="s">
        <v>11</v>
      </c>
      <c r="J1848" t="s">
        <v>285</v>
      </c>
      <c r="K1848" s="1">
        <v>0.46761531249999999</v>
      </c>
      <c r="L1848">
        <f>YEAR(Coffe_sales[[#This Row],[Date]])</f>
        <v>2024</v>
      </c>
    </row>
    <row r="1849" spans="1:12" x14ac:dyDescent="0.2">
      <c r="A1849" t="s">
        <v>35</v>
      </c>
      <c r="B1849" t="s">
        <v>12</v>
      </c>
      <c r="C1849">
        <v>35.76</v>
      </c>
      <c r="D1849" t="s">
        <v>13</v>
      </c>
      <c r="E1849" t="s">
        <v>14</v>
      </c>
      <c r="F1849" t="s">
        <v>47</v>
      </c>
      <c r="G1849" t="s">
        <v>270</v>
      </c>
      <c r="H1849" t="s">
        <v>48</v>
      </c>
      <c r="I1849" t="s">
        <v>11</v>
      </c>
      <c r="J1849" t="s">
        <v>285</v>
      </c>
      <c r="K1849" s="1">
        <v>0.46898868055555554</v>
      </c>
      <c r="L1849">
        <f>YEAR(Coffe_sales[[#This Row],[Date]])</f>
        <v>2024</v>
      </c>
    </row>
    <row r="1850" spans="1:12" x14ac:dyDescent="0.2">
      <c r="A1850" t="s">
        <v>35</v>
      </c>
      <c r="B1850" t="s">
        <v>12</v>
      </c>
      <c r="C1850">
        <v>35.76</v>
      </c>
      <c r="D1850" t="s">
        <v>21</v>
      </c>
      <c r="E1850" t="s">
        <v>14</v>
      </c>
      <c r="F1850" t="s">
        <v>47</v>
      </c>
      <c r="G1850" t="s">
        <v>270</v>
      </c>
      <c r="H1850" t="s">
        <v>48</v>
      </c>
      <c r="I1850" t="s">
        <v>11</v>
      </c>
      <c r="J1850" t="s">
        <v>285</v>
      </c>
      <c r="K1850" s="1">
        <v>0.46976237268518517</v>
      </c>
      <c r="L1850">
        <f>YEAR(Coffe_sales[[#This Row],[Date]])</f>
        <v>2024</v>
      </c>
    </row>
    <row r="1851" spans="1:12" x14ac:dyDescent="0.2">
      <c r="A1851" t="s">
        <v>23</v>
      </c>
      <c r="B1851" t="s">
        <v>12</v>
      </c>
      <c r="C1851">
        <v>35.76</v>
      </c>
      <c r="D1851" t="s">
        <v>13</v>
      </c>
      <c r="E1851" t="s">
        <v>22</v>
      </c>
      <c r="F1851" t="s">
        <v>47</v>
      </c>
      <c r="G1851" t="s">
        <v>270</v>
      </c>
      <c r="H1851" t="s">
        <v>48</v>
      </c>
      <c r="I1851" t="s">
        <v>11</v>
      </c>
      <c r="J1851" t="s">
        <v>285</v>
      </c>
      <c r="K1851" s="1">
        <v>0.54216704861111109</v>
      </c>
      <c r="L1851">
        <f>YEAR(Coffe_sales[[#This Row],[Date]])</f>
        <v>2024</v>
      </c>
    </row>
    <row r="1852" spans="1:12" x14ac:dyDescent="0.2">
      <c r="A1852" t="s">
        <v>23</v>
      </c>
      <c r="B1852" t="s">
        <v>12</v>
      </c>
      <c r="C1852">
        <v>30.86</v>
      </c>
      <c r="D1852" t="s">
        <v>26</v>
      </c>
      <c r="E1852" t="s">
        <v>22</v>
      </c>
      <c r="F1852" t="s">
        <v>47</v>
      </c>
      <c r="G1852" t="s">
        <v>270</v>
      </c>
      <c r="H1852" t="s">
        <v>48</v>
      </c>
      <c r="I1852" t="s">
        <v>11</v>
      </c>
      <c r="J1852" t="s">
        <v>285</v>
      </c>
      <c r="K1852" s="1">
        <v>0.55260226851851857</v>
      </c>
      <c r="L1852">
        <f>YEAR(Coffe_sales[[#This Row],[Date]])</f>
        <v>2024</v>
      </c>
    </row>
    <row r="1853" spans="1:12" x14ac:dyDescent="0.2">
      <c r="A1853" t="s">
        <v>25</v>
      </c>
      <c r="B1853" t="s">
        <v>12</v>
      </c>
      <c r="C1853">
        <v>35.76</v>
      </c>
      <c r="D1853" t="s">
        <v>13</v>
      </c>
      <c r="E1853" t="s">
        <v>22</v>
      </c>
      <c r="F1853" t="s">
        <v>47</v>
      </c>
      <c r="G1853" t="s">
        <v>270</v>
      </c>
      <c r="H1853" t="s">
        <v>48</v>
      </c>
      <c r="I1853" t="s">
        <v>11</v>
      </c>
      <c r="J1853" t="s">
        <v>285</v>
      </c>
      <c r="K1853" s="1">
        <v>0.6473527546296296</v>
      </c>
      <c r="L1853">
        <f>YEAR(Coffe_sales[[#This Row],[Date]])</f>
        <v>2024</v>
      </c>
    </row>
    <row r="1854" spans="1:12" x14ac:dyDescent="0.2">
      <c r="A1854" t="s">
        <v>25</v>
      </c>
      <c r="B1854" t="s">
        <v>12</v>
      </c>
      <c r="C1854">
        <v>25.96</v>
      </c>
      <c r="D1854" t="s">
        <v>24</v>
      </c>
      <c r="E1854" t="s">
        <v>22</v>
      </c>
      <c r="F1854" t="s">
        <v>47</v>
      </c>
      <c r="G1854" t="s">
        <v>270</v>
      </c>
      <c r="H1854" t="s">
        <v>48</v>
      </c>
      <c r="I1854" t="s">
        <v>11</v>
      </c>
      <c r="J1854" t="s">
        <v>285</v>
      </c>
      <c r="K1854" s="1">
        <v>0.66269112268518515</v>
      </c>
      <c r="L1854">
        <f>YEAR(Coffe_sales[[#This Row],[Date]])</f>
        <v>2024</v>
      </c>
    </row>
    <row r="1855" spans="1:12" x14ac:dyDescent="0.2">
      <c r="A1855" t="s">
        <v>25</v>
      </c>
      <c r="B1855" t="s">
        <v>12</v>
      </c>
      <c r="C1855">
        <v>21.06</v>
      </c>
      <c r="D1855" t="s">
        <v>45</v>
      </c>
      <c r="E1855" t="s">
        <v>22</v>
      </c>
      <c r="F1855" t="s">
        <v>47</v>
      </c>
      <c r="G1855" t="s">
        <v>270</v>
      </c>
      <c r="H1855" t="s">
        <v>48</v>
      </c>
      <c r="I1855" t="s">
        <v>11</v>
      </c>
      <c r="J1855" t="s">
        <v>285</v>
      </c>
      <c r="K1855" s="1">
        <v>0.66341480324074076</v>
      </c>
      <c r="L1855">
        <f>YEAR(Coffe_sales[[#This Row],[Date]])</f>
        <v>2024</v>
      </c>
    </row>
    <row r="1856" spans="1:12" x14ac:dyDescent="0.2">
      <c r="A1856" t="s">
        <v>37</v>
      </c>
      <c r="B1856" t="s">
        <v>12</v>
      </c>
      <c r="C1856">
        <v>35.76</v>
      </c>
      <c r="D1856" t="s">
        <v>21</v>
      </c>
      <c r="E1856" t="s">
        <v>29</v>
      </c>
      <c r="F1856" t="s">
        <v>47</v>
      </c>
      <c r="G1856" t="s">
        <v>270</v>
      </c>
      <c r="H1856" t="s">
        <v>48</v>
      </c>
      <c r="I1856" t="s">
        <v>11</v>
      </c>
      <c r="J1856" t="s">
        <v>285</v>
      </c>
      <c r="K1856" s="1">
        <v>0.71124230324074078</v>
      </c>
      <c r="L1856">
        <f>YEAR(Coffe_sales[[#This Row],[Date]])</f>
        <v>2024</v>
      </c>
    </row>
    <row r="1857" spans="1:12" x14ac:dyDescent="0.2">
      <c r="A1857" t="s">
        <v>30</v>
      </c>
      <c r="B1857" t="s">
        <v>12</v>
      </c>
      <c r="C1857">
        <v>25.96</v>
      </c>
      <c r="D1857" t="s">
        <v>24</v>
      </c>
      <c r="E1857" t="s">
        <v>29</v>
      </c>
      <c r="F1857" t="s">
        <v>47</v>
      </c>
      <c r="G1857" t="s">
        <v>270</v>
      </c>
      <c r="H1857" t="s">
        <v>48</v>
      </c>
      <c r="I1857" t="s">
        <v>11</v>
      </c>
      <c r="J1857" t="s">
        <v>285</v>
      </c>
      <c r="K1857" s="1">
        <v>0.80719188657407404</v>
      </c>
      <c r="L1857">
        <f>YEAR(Coffe_sales[[#This Row],[Date]])</f>
        <v>2024</v>
      </c>
    </row>
    <row r="1858" spans="1:12" x14ac:dyDescent="0.2">
      <c r="A1858" t="s">
        <v>30</v>
      </c>
      <c r="B1858" t="s">
        <v>12</v>
      </c>
      <c r="C1858">
        <v>35.76</v>
      </c>
      <c r="D1858" t="s">
        <v>31</v>
      </c>
      <c r="E1858" t="s">
        <v>29</v>
      </c>
      <c r="F1858" t="s">
        <v>47</v>
      </c>
      <c r="G1858" t="s">
        <v>270</v>
      </c>
      <c r="H1858" t="s">
        <v>48</v>
      </c>
      <c r="I1858" t="s">
        <v>11</v>
      </c>
      <c r="J1858" t="s">
        <v>285</v>
      </c>
      <c r="K1858" s="1">
        <v>0.80783973379629626</v>
      </c>
      <c r="L1858">
        <f>YEAR(Coffe_sales[[#This Row],[Date]])</f>
        <v>2024</v>
      </c>
    </row>
    <row r="1859" spans="1:12" x14ac:dyDescent="0.2">
      <c r="A1859" t="s">
        <v>91</v>
      </c>
      <c r="B1859" t="s">
        <v>12</v>
      </c>
      <c r="C1859">
        <v>35.76</v>
      </c>
      <c r="D1859" t="s">
        <v>13</v>
      </c>
      <c r="E1859" t="s">
        <v>29</v>
      </c>
      <c r="F1859" t="s">
        <v>47</v>
      </c>
      <c r="G1859" t="s">
        <v>270</v>
      </c>
      <c r="H1859" t="s">
        <v>48</v>
      </c>
      <c r="I1859" t="s">
        <v>11</v>
      </c>
      <c r="J1859" t="s">
        <v>285</v>
      </c>
      <c r="K1859" s="1">
        <v>0.84114449074074071</v>
      </c>
      <c r="L1859">
        <f>YEAR(Coffe_sales[[#This Row],[Date]])</f>
        <v>2024</v>
      </c>
    </row>
    <row r="1860" spans="1:12" x14ac:dyDescent="0.2">
      <c r="A1860" t="s">
        <v>91</v>
      </c>
      <c r="B1860" t="s">
        <v>12</v>
      </c>
      <c r="C1860">
        <v>35.76</v>
      </c>
      <c r="D1860" t="s">
        <v>13</v>
      </c>
      <c r="E1860" t="s">
        <v>29</v>
      </c>
      <c r="F1860" t="s">
        <v>47</v>
      </c>
      <c r="G1860" t="s">
        <v>270</v>
      </c>
      <c r="H1860" t="s">
        <v>48</v>
      </c>
      <c r="I1860" t="s">
        <v>11</v>
      </c>
      <c r="J1860" t="s">
        <v>285</v>
      </c>
      <c r="K1860" s="1">
        <v>0.84199804398148148</v>
      </c>
      <c r="L1860">
        <f>YEAR(Coffe_sales[[#This Row],[Date]])</f>
        <v>2024</v>
      </c>
    </row>
    <row r="1861" spans="1:12" x14ac:dyDescent="0.2">
      <c r="A1861" t="s">
        <v>131</v>
      </c>
      <c r="B1861" t="s">
        <v>12</v>
      </c>
      <c r="C1861">
        <v>35.76</v>
      </c>
      <c r="D1861" t="s">
        <v>21</v>
      </c>
      <c r="E1861" t="s">
        <v>29</v>
      </c>
      <c r="F1861" t="s">
        <v>47</v>
      </c>
      <c r="G1861" t="s">
        <v>270</v>
      </c>
      <c r="H1861" t="s">
        <v>48</v>
      </c>
      <c r="I1861" t="s">
        <v>11</v>
      </c>
      <c r="J1861" t="s">
        <v>285</v>
      </c>
      <c r="K1861" s="1">
        <v>0.88759732638888889</v>
      </c>
      <c r="L1861">
        <f>YEAR(Coffe_sales[[#This Row],[Date]])</f>
        <v>2024</v>
      </c>
    </row>
    <row r="1862" spans="1:12" x14ac:dyDescent="0.2">
      <c r="A1862" t="s">
        <v>131</v>
      </c>
      <c r="B1862" t="s">
        <v>12</v>
      </c>
      <c r="C1862">
        <v>35.76</v>
      </c>
      <c r="D1862" t="s">
        <v>21</v>
      </c>
      <c r="E1862" t="s">
        <v>29</v>
      </c>
      <c r="F1862" t="s">
        <v>47</v>
      </c>
      <c r="G1862" t="s">
        <v>270</v>
      </c>
      <c r="H1862" t="s">
        <v>48</v>
      </c>
      <c r="I1862" t="s">
        <v>11</v>
      </c>
      <c r="J1862" t="s">
        <v>285</v>
      </c>
      <c r="K1862" s="1">
        <v>0.89953637731481484</v>
      </c>
      <c r="L1862">
        <f>YEAR(Coffe_sales[[#This Row],[Date]])</f>
        <v>2024</v>
      </c>
    </row>
    <row r="1863" spans="1:12" x14ac:dyDescent="0.2">
      <c r="A1863" t="s">
        <v>125</v>
      </c>
      <c r="B1863" t="s">
        <v>12</v>
      </c>
      <c r="C1863">
        <v>35.76</v>
      </c>
      <c r="D1863" t="s">
        <v>13</v>
      </c>
      <c r="E1863" t="s">
        <v>29</v>
      </c>
      <c r="F1863" t="s">
        <v>47</v>
      </c>
      <c r="G1863" t="s">
        <v>270</v>
      </c>
      <c r="H1863" t="s">
        <v>48</v>
      </c>
      <c r="I1863" t="s">
        <v>11</v>
      </c>
      <c r="J1863" t="s">
        <v>285</v>
      </c>
      <c r="K1863" s="1">
        <v>0.9273107986111111</v>
      </c>
      <c r="L1863">
        <f>YEAR(Coffe_sales[[#This Row],[Date]])</f>
        <v>2024</v>
      </c>
    </row>
    <row r="1864" spans="1:12" x14ac:dyDescent="0.2">
      <c r="A1864" t="s">
        <v>123</v>
      </c>
      <c r="B1864" t="s">
        <v>12</v>
      </c>
      <c r="C1864">
        <v>30.86</v>
      </c>
      <c r="D1864" t="s">
        <v>26</v>
      </c>
      <c r="E1864" t="s">
        <v>14</v>
      </c>
      <c r="F1864" t="s">
        <v>50</v>
      </c>
      <c r="G1864" t="s">
        <v>270</v>
      </c>
      <c r="H1864" t="s">
        <v>18</v>
      </c>
      <c r="I1864" t="s">
        <v>11</v>
      </c>
      <c r="J1864" t="s">
        <v>286</v>
      </c>
      <c r="K1864" s="1">
        <v>0.34821774305555553</v>
      </c>
      <c r="L1864">
        <f>YEAR(Coffe_sales[[#This Row],[Date]])</f>
        <v>2024</v>
      </c>
    </row>
    <row r="1865" spans="1:12" x14ac:dyDescent="0.2">
      <c r="A1865" t="s">
        <v>123</v>
      </c>
      <c r="B1865" t="s">
        <v>12</v>
      </c>
      <c r="C1865">
        <v>35.76</v>
      </c>
      <c r="D1865" t="s">
        <v>21</v>
      </c>
      <c r="E1865" t="s">
        <v>14</v>
      </c>
      <c r="F1865" t="s">
        <v>50</v>
      </c>
      <c r="G1865" t="s">
        <v>270</v>
      </c>
      <c r="H1865" t="s">
        <v>18</v>
      </c>
      <c r="I1865" t="s">
        <v>11</v>
      </c>
      <c r="J1865" t="s">
        <v>286</v>
      </c>
      <c r="K1865" s="1">
        <v>0.35860634259259261</v>
      </c>
      <c r="L1865">
        <f>YEAR(Coffe_sales[[#This Row],[Date]])</f>
        <v>2024</v>
      </c>
    </row>
    <row r="1866" spans="1:12" x14ac:dyDescent="0.2">
      <c r="A1866" t="s">
        <v>46</v>
      </c>
      <c r="B1866" t="s">
        <v>12</v>
      </c>
      <c r="C1866">
        <v>35.76</v>
      </c>
      <c r="D1866" t="s">
        <v>13</v>
      </c>
      <c r="E1866" t="s">
        <v>14</v>
      </c>
      <c r="F1866" t="s">
        <v>50</v>
      </c>
      <c r="G1866" t="s">
        <v>270</v>
      </c>
      <c r="H1866" t="s">
        <v>18</v>
      </c>
      <c r="I1866" t="s">
        <v>11</v>
      </c>
      <c r="J1866" t="s">
        <v>286</v>
      </c>
      <c r="K1866" s="1">
        <v>0.39295341435185183</v>
      </c>
      <c r="L1866">
        <f>YEAR(Coffe_sales[[#This Row],[Date]])</f>
        <v>2024</v>
      </c>
    </row>
    <row r="1867" spans="1:12" x14ac:dyDescent="0.2">
      <c r="A1867" t="s">
        <v>11</v>
      </c>
      <c r="B1867" t="s">
        <v>12</v>
      </c>
      <c r="C1867">
        <v>30.86</v>
      </c>
      <c r="D1867" t="s">
        <v>26</v>
      </c>
      <c r="E1867" t="s">
        <v>14</v>
      </c>
      <c r="F1867" t="s">
        <v>50</v>
      </c>
      <c r="G1867" t="s">
        <v>270</v>
      </c>
      <c r="H1867" t="s">
        <v>18</v>
      </c>
      <c r="I1867" t="s">
        <v>11</v>
      </c>
      <c r="J1867" t="s">
        <v>286</v>
      </c>
      <c r="K1867" s="1">
        <v>0.42763824074074075</v>
      </c>
      <c r="L1867">
        <f>YEAR(Coffe_sales[[#This Row],[Date]])</f>
        <v>2024</v>
      </c>
    </row>
    <row r="1868" spans="1:12" x14ac:dyDescent="0.2">
      <c r="A1868" t="s">
        <v>11</v>
      </c>
      <c r="B1868" t="s">
        <v>12</v>
      </c>
      <c r="C1868">
        <v>30.86</v>
      </c>
      <c r="D1868" t="s">
        <v>26</v>
      </c>
      <c r="E1868" t="s">
        <v>14</v>
      </c>
      <c r="F1868" t="s">
        <v>50</v>
      </c>
      <c r="G1868" t="s">
        <v>270</v>
      </c>
      <c r="H1868" t="s">
        <v>18</v>
      </c>
      <c r="I1868" t="s">
        <v>11</v>
      </c>
      <c r="J1868" t="s">
        <v>286</v>
      </c>
      <c r="K1868" s="1">
        <v>0.42839975694444443</v>
      </c>
      <c r="L1868">
        <f>YEAR(Coffe_sales[[#This Row],[Date]])</f>
        <v>2024</v>
      </c>
    </row>
    <row r="1869" spans="1:12" x14ac:dyDescent="0.2">
      <c r="A1869" t="s">
        <v>11</v>
      </c>
      <c r="B1869" t="s">
        <v>12</v>
      </c>
      <c r="C1869">
        <v>30.86</v>
      </c>
      <c r="D1869" t="s">
        <v>26</v>
      </c>
      <c r="E1869" t="s">
        <v>14</v>
      </c>
      <c r="F1869" t="s">
        <v>50</v>
      </c>
      <c r="G1869" t="s">
        <v>270</v>
      </c>
      <c r="H1869" t="s">
        <v>18</v>
      </c>
      <c r="I1869" t="s">
        <v>11</v>
      </c>
      <c r="J1869" t="s">
        <v>286</v>
      </c>
      <c r="K1869" s="1">
        <v>0.44820559027777779</v>
      </c>
      <c r="L1869">
        <f>YEAR(Coffe_sales[[#This Row],[Date]])</f>
        <v>2024</v>
      </c>
    </row>
    <row r="1870" spans="1:12" x14ac:dyDescent="0.2">
      <c r="A1870" t="s">
        <v>35</v>
      </c>
      <c r="B1870" t="s">
        <v>12</v>
      </c>
      <c r="C1870">
        <v>25.96</v>
      </c>
      <c r="D1870" t="s">
        <v>24</v>
      </c>
      <c r="E1870" t="s">
        <v>14</v>
      </c>
      <c r="F1870" t="s">
        <v>50</v>
      </c>
      <c r="G1870" t="s">
        <v>270</v>
      </c>
      <c r="H1870" t="s">
        <v>18</v>
      </c>
      <c r="I1870" t="s">
        <v>11</v>
      </c>
      <c r="J1870" t="s">
        <v>286</v>
      </c>
      <c r="K1870" s="1">
        <v>0.49287769675925924</v>
      </c>
      <c r="L1870">
        <f>YEAR(Coffe_sales[[#This Row],[Date]])</f>
        <v>2024</v>
      </c>
    </row>
    <row r="1871" spans="1:12" x14ac:dyDescent="0.2">
      <c r="A1871" t="s">
        <v>20</v>
      </c>
      <c r="B1871" t="s">
        <v>12</v>
      </c>
      <c r="C1871">
        <v>30.86</v>
      </c>
      <c r="D1871" t="s">
        <v>26</v>
      </c>
      <c r="E1871" t="s">
        <v>22</v>
      </c>
      <c r="F1871" t="s">
        <v>50</v>
      </c>
      <c r="G1871" t="s">
        <v>270</v>
      </c>
      <c r="H1871" t="s">
        <v>18</v>
      </c>
      <c r="I1871" t="s">
        <v>11</v>
      </c>
      <c r="J1871" t="s">
        <v>286</v>
      </c>
      <c r="K1871" s="1">
        <v>0.520651087962963</v>
      </c>
      <c r="L1871">
        <f>YEAR(Coffe_sales[[#This Row],[Date]])</f>
        <v>2024</v>
      </c>
    </row>
    <row r="1872" spans="1:12" x14ac:dyDescent="0.2">
      <c r="A1872" t="s">
        <v>23</v>
      </c>
      <c r="B1872" t="s">
        <v>12</v>
      </c>
      <c r="C1872">
        <v>25.96</v>
      </c>
      <c r="D1872" t="s">
        <v>24</v>
      </c>
      <c r="E1872" t="s">
        <v>22</v>
      </c>
      <c r="F1872" t="s">
        <v>50</v>
      </c>
      <c r="G1872" t="s">
        <v>270</v>
      </c>
      <c r="H1872" t="s">
        <v>18</v>
      </c>
      <c r="I1872" t="s">
        <v>11</v>
      </c>
      <c r="J1872" t="s">
        <v>286</v>
      </c>
      <c r="K1872" s="1">
        <v>0.55567673611111112</v>
      </c>
      <c r="L1872">
        <f>YEAR(Coffe_sales[[#This Row],[Date]])</f>
        <v>2024</v>
      </c>
    </row>
    <row r="1873" spans="1:12" x14ac:dyDescent="0.2">
      <c r="A1873" t="s">
        <v>27</v>
      </c>
      <c r="B1873" t="s">
        <v>12</v>
      </c>
      <c r="C1873">
        <v>35.76</v>
      </c>
      <c r="D1873" t="s">
        <v>13</v>
      </c>
      <c r="E1873" t="s">
        <v>22</v>
      </c>
      <c r="F1873" t="s">
        <v>50</v>
      </c>
      <c r="G1873" t="s">
        <v>270</v>
      </c>
      <c r="H1873" t="s">
        <v>18</v>
      </c>
      <c r="I1873" t="s">
        <v>11</v>
      </c>
      <c r="J1873" t="s">
        <v>286</v>
      </c>
      <c r="K1873" s="1">
        <v>0.69825853009259264</v>
      </c>
      <c r="L1873">
        <f>YEAR(Coffe_sales[[#This Row],[Date]])</f>
        <v>2024</v>
      </c>
    </row>
    <row r="1874" spans="1:12" x14ac:dyDescent="0.2">
      <c r="A1874" t="s">
        <v>37</v>
      </c>
      <c r="B1874" t="s">
        <v>12</v>
      </c>
      <c r="C1874">
        <v>30.86</v>
      </c>
      <c r="D1874" t="s">
        <v>26</v>
      </c>
      <c r="E1874" t="s">
        <v>29</v>
      </c>
      <c r="F1874" t="s">
        <v>50</v>
      </c>
      <c r="G1874" t="s">
        <v>270</v>
      </c>
      <c r="H1874" t="s">
        <v>18</v>
      </c>
      <c r="I1874" t="s">
        <v>11</v>
      </c>
      <c r="J1874" t="s">
        <v>286</v>
      </c>
      <c r="K1874" s="1">
        <v>0.7384335300925926</v>
      </c>
      <c r="L1874">
        <f>YEAR(Coffe_sales[[#This Row],[Date]])</f>
        <v>2024</v>
      </c>
    </row>
    <row r="1875" spans="1:12" x14ac:dyDescent="0.2">
      <c r="A1875" t="s">
        <v>30</v>
      </c>
      <c r="B1875" t="s">
        <v>12</v>
      </c>
      <c r="C1875">
        <v>30.86</v>
      </c>
      <c r="D1875" t="s">
        <v>26</v>
      </c>
      <c r="E1875" t="s">
        <v>29</v>
      </c>
      <c r="F1875" t="s">
        <v>50</v>
      </c>
      <c r="G1875" t="s">
        <v>270</v>
      </c>
      <c r="H1875" t="s">
        <v>18</v>
      </c>
      <c r="I1875" t="s">
        <v>11</v>
      </c>
      <c r="J1875" t="s">
        <v>286</v>
      </c>
      <c r="K1875" s="1">
        <v>0.81785197916666663</v>
      </c>
      <c r="L1875">
        <f>YEAR(Coffe_sales[[#This Row],[Date]])</f>
        <v>2024</v>
      </c>
    </row>
    <row r="1876" spans="1:12" x14ac:dyDescent="0.2">
      <c r="A1876" t="s">
        <v>30</v>
      </c>
      <c r="B1876" t="s">
        <v>12</v>
      </c>
      <c r="C1876">
        <v>30.86</v>
      </c>
      <c r="D1876" t="s">
        <v>26</v>
      </c>
      <c r="E1876" t="s">
        <v>29</v>
      </c>
      <c r="F1876" t="s">
        <v>50</v>
      </c>
      <c r="G1876" t="s">
        <v>270</v>
      </c>
      <c r="H1876" t="s">
        <v>18</v>
      </c>
      <c r="I1876" t="s">
        <v>11</v>
      </c>
      <c r="J1876" t="s">
        <v>286</v>
      </c>
      <c r="K1876" s="1">
        <v>0.81847972222222221</v>
      </c>
      <c r="L1876">
        <f>YEAR(Coffe_sales[[#This Row],[Date]])</f>
        <v>2024</v>
      </c>
    </row>
    <row r="1877" spans="1:12" x14ac:dyDescent="0.2">
      <c r="A1877" t="s">
        <v>131</v>
      </c>
      <c r="B1877" t="s">
        <v>12</v>
      </c>
      <c r="C1877">
        <v>35.76</v>
      </c>
      <c r="D1877" t="s">
        <v>21</v>
      </c>
      <c r="E1877" t="s">
        <v>29</v>
      </c>
      <c r="F1877" t="s">
        <v>50</v>
      </c>
      <c r="G1877" t="s">
        <v>270</v>
      </c>
      <c r="H1877" t="s">
        <v>18</v>
      </c>
      <c r="I1877" t="s">
        <v>11</v>
      </c>
      <c r="J1877" t="s">
        <v>286</v>
      </c>
      <c r="K1877" s="1">
        <v>0.88921913194444446</v>
      </c>
      <c r="L1877">
        <f>YEAR(Coffe_sales[[#This Row],[Date]])</f>
        <v>2024</v>
      </c>
    </row>
    <row r="1878" spans="1:12" x14ac:dyDescent="0.2">
      <c r="A1878" t="s">
        <v>39</v>
      </c>
      <c r="B1878" t="s">
        <v>12</v>
      </c>
      <c r="C1878">
        <v>35.76</v>
      </c>
      <c r="D1878" t="s">
        <v>13</v>
      </c>
      <c r="E1878" t="s">
        <v>14</v>
      </c>
      <c r="F1878" t="s">
        <v>53</v>
      </c>
      <c r="G1878" t="s">
        <v>270</v>
      </c>
      <c r="H1878" t="s">
        <v>54</v>
      </c>
      <c r="I1878" t="s">
        <v>11</v>
      </c>
      <c r="J1878" t="s">
        <v>287</v>
      </c>
      <c r="K1878" s="1">
        <v>0.32431621527777776</v>
      </c>
      <c r="L1878">
        <f>YEAR(Coffe_sales[[#This Row],[Date]])</f>
        <v>2024</v>
      </c>
    </row>
    <row r="1879" spans="1:12" x14ac:dyDescent="0.2">
      <c r="A1879" t="s">
        <v>39</v>
      </c>
      <c r="B1879" t="s">
        <v>12</v>
      </c>
      <c r="C1879">
        <v>35.76</v>
      </c>
      <c r="D1879" t="s">
        <v>13</v>
      </c>
      <c r="E1879" t="s">
        <v>14</v>
      </c>
      <c r="F1879" t="s">
        <v>53</v>
      </c>
      <c r="G1879" t="s">
        <v>270</v>
      </c>
      <c r="H1879" t="s">
        <v>54</v>
      </c>
      <c r="I1879" t="s">
        <v>11</v>
      </c>
      <c r="J1879" t="s">
        <v>287</v>
      </c>
      <c r="K1879" s="1">
        <v>0.33202271990740739</v>
      </c>
      <c r="L1879">
        <f>YEAR(Coffe_sales[[#This Row],[Date]])</f>
        <v>2024</v>
      </c>
    </row>
    <row r="1880" spans="1:12" x14ac:dyDescent="0.2">
      <c r="A1880" t="s">
        <v>46</v>
      </c>
      <c r="B1880" t="s">
        <v>12</v>
      </c>
      <c r="C1880">
        <v>30.86</v>
      </c>
      <c r="D1880" t="s">
        <v>26</v>
      </c>
      <c r="E1880" t="s">
        <v>14</v>
      </c>
      <c r="F1880" t="s">
        <v>53</v>
      </c>
      <c r="G1880" t="s">
        <v>270</v>
      </c>
      <c r="H1880" t="s">
        <v>54</v>
      </c>
      <c r="I1880" t="s">
        <v>11</v>
      </c>
      <c r="J1880" t="s">
        <v>287</v>
      </c>
      <c r="K1880" s="1">
        <v>0.39198104166666664</v>
      </c>
      <c r="L1880">
        <f>YEAR(Coffe_sales[[#This Row],[Date]])</f>
        <v>2024</v>
      </c>
    </row>
    <row r="1881" spans="1:12" x14ac:dyDescent="0.2">
      <c r="A1881" t="s">
        <v>11</v>
      </c>
      <c r="B1881" t="s">
        <v>12</v>
      </c>
      <c r="C1881">
        <v>35.76</v>
      </c>
      <c r="D1881" t="s">
        <v>13</v>
      </c>
      <c r="E1881" t="s">
        <v>14</v>
      </c>
      <c r="F1881" t="s">
        <v>53</v>
      </c>
      <c r="G1881" t="s">
        <v>270</v>
      </c>
      <c r="H1881" t="s">
        <v>54</v>
      </c>
      <c r="I1881" t="s">
        <v>11</v>
      </c>
      <c r="J1881" t="s">
        <v>287</v>
      </c>
      <c r="K1881" s="1">
        <v>0.4351596064814815</v>
      </c>
      <c r="L1881">
        <f>YEAR(Coffe_sales[[#This Row],[Date]])</f>
        <v>2024</v>
      </c>
    </row>
    <row r="1882" spans="1:12" x14ac:dyDescent="0.2">
      <c r="A1882" t="s">
        <v>11</v>
      </c>
      <c r="B1882" t="s">
        <v>12</v>
      </c>
      <c r="C1882">
        <v>35.76</v>
      </c>
      <c r="D1882" t="s">
        <v>21</v>
      </c>
      <c r="E1882" t="s">
        <v>14</v>
      </c>
      <c r="F1882" t="s">
        <v>53</v>
      </c>
      <c r="G1882" t="s">
        <v>270</v>
      </c>
      <c r="H1882" t="s">
        <v>54</v>
      </c>
      <c r="I1882" t="s">
        <v>11</v>
      </c>
      <c r="J1882" t="s">
        <v>287</v>
      </c>
      <c r="K1882" s="1">
        <v>0.44784990740740743</v>
      </c>
      <c r="L1882">
        <f>YEAR(Coffe_sales[[#This Row],[Date]])</f>
        <v>2024</v>
      </c>
    </row>
    <row r="1883" spans="1:12" x14ac:dyDescent="0.2">
      <c r="A1883" t="s">
        <v>35</v>
      </c>
      <c r="B1883" t="s">
        <v>12</v>
      </c>
      <c r="C1883">
        <v>30.86</v>
      </c>
      <c r="D1883" t="s">
        <v>26</v>
      </c>
      <c r="E1883" t="s">
        <v>14</v>
      </c>
      <c r="F1883" t="s">
        <v>53</v>
      </c>
      <c r="G1883" t="s">
        <v>270</v>
      </c>
      <c r="H1883" t="s">
        <v>54</v>
      </c>
      <c r="I1883" t="s">
        <v>11</v>
      </c>
      <c r="J1883" t="s">
        <v>287</v>
      </c>
      <c r="K1883" s="1">
        <v>0.49961635416666667</v>
      </c>
      <c r="L1883">
        <f>YEAR(Coffe_sales[[#This Row],[Date]])</f>
        <v>2024</v>
      </c>
    </row>
    <row r="1884" spans="1:12" x14ac:dyDescent="0.2">
      <c r="A1884" t="s">
        <v>23</v>
      </c>
      <c r="B1884" t="s">
        <v>12</v>
      </c>
      <c r="C1884">
        <v>35.76</v>
      </c>
      <c r="D1884" t="s">
        <v>13</v>
      </c>
      <c r="E1884" t="s">
        <v>22</v>
      </c>
      <c r="F1884" t="s">
        <v>53</v>
      </c>
      <c r="G1884" t="s">
        <v>270</v>
      </c>
      <c r="H1884" t="s">
        <v>54</v>
      </c>
      <c r="I1884" t="s">
        <v>11</v>
      </c>
      <c r="J1884" t="s">
        <v>287</v>
      </c>
      <c r="K1884" s="1">
        <v>0.58153813657407405</v>
      </c>
      <c r="L1884">
        <f>YEAR(Coffe_sales[[#This Row],[Date]])</f>
        <v>2024</v>
      </c>
    </row>
    <row r="1885" spans="1:12" x14ac:dyDescent="0.2">
      <c r="A1885" t="s">
        <v>36</v>
      </c>
      <c r="B1885" t="s">
        <v>12</v>
      </c>
      <c r="C1885">
        <v>25.96</v>
      </c>
      <c r="D1885" t="s">
        <v>24</v>
      </c>
      <c r="E1885" t="s">
        <v>22</v>
      </c>
      <c r="F1885" t="s">
        <v>53</v>
      </c>
      <c r="G1885" t="s">
        <v>270</v>
      </c>
      <c r="H1885" t="s">
        <v>54</v>
      </c>
      <c r="I1885" t="s">
        <v>11</v>
      </c>
      <c r="J1885" t="s">
        <v>287</v>
      </c>
      <c r="K1885" s="1">
        <v>0.6074374768518519</v>
      </c>
      <c r="L1885">
        <f>YEAR(Coffe_sales[[#This Row],[Date]])</f>
        <v>2024</v>
      </c>
    </row>
    <row r="1886" spans="1:12" x14ac:dyDescent="0.2">
      <c r="A1886" t="s">
        <v>27</v>
      </c>
      <c r="B1886" t="s">
        <v>12</v>
      </c>
      <c r="C1886">
        <v>35.76</v>
      </c>
      <c r="D1886" t="s">
        <v>21</v>
      </c>
      <c r="E1886" t="s">
        <v>22</v>
      </c>
      <c r="F1886" t="s">
        <v>53</v>
      </c>
      <c r="G1886" t="s">
        <v>270</v>
      </c>
      <c r="H1886" t="s">
        <v>54</v>
      </c>
      <c r="I1886" t="s">
        <v>11</v>
      </c>
      <c r="J1886" t="s">
        <v>287</v>
      </c>
      <c r="K1886" s="1">
        <v>0.69250678240740737</v>
      </c>
      <c r="L1886">
        <f>YEAR(Coffe_sales[[#This Row],[Date]])</f>
        <v>2024</v>
      </c>
    </row>
    <row r="1887" spans="1:12" x14ac:dyDescent="0.2">
      <c r="A1887" t="s">
        <v>27</v>
      </c>
      <c r="B1887" t="s">
        <v>12</v>
      </c>
      <c r="C1887">
        <v>35.76</v>
      </c>
      <c r="D1887" t="s">
        <v>21</v>
      </c>
      <c r="E1887" t="s">
        <v>22</v>
      </c>
      <c r="F1887" t="s">
        <v>53</v>
      </c>
      <c r="G1887" t="s">
        <v>270</v>
      </c>
      <c r="H1887" t="s">
        <v>54</v>
      </c>
      <c r="I1887" t="s">
        <v>11</v>
      </c>
      <c r="J1887" t="s">
        <v>287</v>
      </c>
      <c r="K1887" s="1">
        <v>0.69326353009259256</v>
      </c>
      <c r="L1887">
        <f>YEAR(Coffe_sales[[#This Row],[Date]])</f>
        <v>2024</v>
      </c>
    </row>
    <row r="1888" spans="1:12" x14ac:dyDescent="0.2">
      <c r="A1888" t="s">
        <v>27</v>
      </c>
      <c r="B1888" t="s">
        <v>12</v>
      </c>
      <c r="C1888">
        <v>35.76</v>
      </c>
      <c r="D1888" t="s">
        <v>13</v>
      </c>
      <c r="E1888" t="s">
        <v>22</v>
      </c>
      <c r="F1888" t="s">
        <v>53</v>
      </c>
      <c r="G1888" t="s">
        <v>270</v>
      </c>
      <c r="H1888" t="s">
        <v>54</v>
      </c>
      <c r="I1888" t="s">
        <v>11</v>
      </c>
      <c r="J1888" t="s">
        <v>287</v>
      </c>
      <c r="K1888" s="1">
        <v>0.69386118055555557</v>
      </c>
      <c r="L1888">
        <f>YEAR(Coffe_sales[[#This Row],[Date]])</f>
        <v>2024</v>
      </c>
    </row>
    <row r="1889" spans="1:12" x14ac:dyDescent="0.2">
      <c r="A1889" t="s">
        <v>27</v>
      </c>
      <c r="B1889" t="s">
        <v>12</v>
      </c>
      <c r="C1889">
        <v>35.76</v>
      </c>
      <c r="D1889" t="s">
        <v>21</v>
      </c>
      <c r="E1889" t="s">
        <v>22</v>
      </c>
      <c r="F1889" t="s">
        <v>53</v>
      </c>
      <c r="G1889" t="s">
        <v>270</v>
      </c>
      <c r="H1889" t="s">
        <v>54</v>
      </c>
      <c r="I1889" t="s">
        <v>11</v>
      </c>
      <c r="J1889" t="s">
        <v>287</v>
      </c>
      <c r="K1889" s="1">
        <v>0.70041501157407404</v>
      </c>
      <c r="L1889">
        <f>YEAR(Coffe_sales[[#This Row],[Date]])</f>
        <v>2024</v>
      </c>
    </row>
    <row r="1890" spans="1:12" x14ac:dyDescent="0.2">
      <c r="A1890" t="s">
        <v>27</v>
      </c>
      <c r="B1890" t="s">
        <v>12</v>
      </c>
      <c r="C1890">
        <v>35.76</v>
      </c>
      <c r="D1890" t="s">
        <v>21</v>
      </c>
      <c r="E1890" t="s">
        <v>22</v>
      </c>
      <c r="F1890" t="s">
        <v>53</v>
      </c>
      <c r="G1890" t="s">
        <v>270</v>
      </c>
      <c r="H1890" t="s">
        <v>54</v>
      </c>
      <c r="I1890" t="s">
        <v>11</v>
      </c>
      <c r="J1890" t="s">
        <v>287</v>
      </c>
      <c r="K1890" s="1">
        <v>0.70107819444444441</v>
      </c>
      <c r="L1890">
        <f>YEAR(Coffe_sales[[#This Row],[Date]])</f>
        <v>2024</v>
      </c>
    </row>
    <row r="1891" spans="1:12" x14ac:dyDescent="0.2">
      <c r="A1891" t="s">
        <v>37</v>
      </c>
      <c r="B1891" t="s">
        <v>12</v>
      </c>
      <c r="C1891">
        <v>35.76</v>
      </c>
      <c r="D1891" t="s">
        <v>52</v>
      </c>
      <c r="E1891" t="s">
        <v>29</v>
      </c>
      <c r="F1891" t="s">
        <v>53</v>
      </c>
      <c r="G1891" t="s">
        <v>270</v>
      </c>
      <c r="H1891" t="s">
        <v>54</v>
      </c>
      <c r="I1891" t="s">
        <v>11</v>
      </c>
      <c r="J1891" t="s">
        <v>287</v>
      </c>
      <c r="K1891" s="1">
        <v>0.71421008101851857</v>
      </c>
      <c r="L1891">
        <f>YEAR(Coffe_sales[[#This Row],[Date]])</f>
        <v>2024</v>
      </c>
    </row>
    <row r="1892" spans="1:12" x14ac:dyDescent="0.2">
      <c r="A1892" t="s">
        <v>37</v>
      </c>
      <c r="B1892" t="s">
        <v>12</v>
      </c>
      <c r="C1892">
        <v>35.76</v>
      </c>
      <c r="D1892" t="s">
        <v>21</v>
      </c>
      <c r="E1892" t="s">
        <v>29</v>
      </c>
      <c r="F1892" t="s">
        <v>53</v>
      </c>
      <c r="G1892" t="s">
        <v>270</v>
      </c>
      <c r="H1892" t="s">
        <v>54</v>
      </c>
      <c r="I1892" t="s">
        <v>11</v>
      </c>
      <c r="J1892" t="s">
        <v>287</v>
      </c>
      <c r="K1892" s="1">
        <v>0.71493406250000002</v>
      </c>
      <c r="L1892">
        <f>YEAR(Coffe_sales[[#This Row],[Date]])</f>
        <v>2024</v>
      </c>
    </row>
    <row r="1893" spans="1:12" x14ac:dyDescent="0.2">
      <c r="A1893" t="s">
        <v>30</v>
      </c>
      <c r="B1893" t="s">
        <v>12</v>
      </c>
      <c r="C1893">
        <v>35.76</v>
      </c>
      <c r="D1893" t="s">
        <v>13</v>
      </c>
      <c r="E1893" t="s">
        <v>29</v>
      </c>
      <c r="F1893" t="s">
        <v>53</v>
      </c>
      <c r="G1893" t="s">
        <v>270</v>
      </c>
      <c r="H1893" t="s">
        <v>54</v>
      </c>
      <c r="I1893" t="s">
        <v>11</v>
      </c>
      <c r="J1893" t="s">
        <v>287</v>
      </c>
      <c r="K1893" s="1">
        <v>0.82166859953703708</v>
      </c>
      <c r="L1893">
        <f>YEAR(Coffe_sales[[#This Row],[Date]])</f>
        <v>2024</v>
      </c>
    </row>
    <row r="1894" spans="1:12" x14ac:dyDescent="0.2">
      <c r="A1894" t="s">
        <v>91</v>
      </c>
      <c r="B1894" t="s">
        <v>12</v>
      </c>
      <c r="C1894">
        <v>30.86</v>
      </c>
      <c r="D1894" t="s">
        <v>26</v>
      </c>
      <c r="E1894" t="s">
        <v>29</v>
      </c>
      <c r="F1894" t="s">
        <v>53</v>
      </c>
      <c r="G1894" t="s">
        <v>270</v>
      </c>
      <c r="H1894" t="s">
        <v>54</v>
      </c>
      <c r="I1894" t="s">
        <v>11</v>
      </c>
      <c r="J1894" t="s">
        <v>287</v>
      </c>
      <c r="K1894" s="1">
        <v>0.84139356481481486</v>
      </c>
      <c r="L1894">
        <f>YEAR(Coffe_sales[[#This Row],[Date]])</f>
        <v>2024</v>
      </c>
    </row>
    <row r="1895" spans="1:12" x14ac:dyDescent="0.2">
      <c r="A1895" t="s">
        <v>131</v>
      </c>
      <c r="B1895" t="s">
        <v>12</v>
      </c>
      <c r="C1895">
        <v>35.76</v>
      </c>
      <c r="D1895" t="s">
        <v>13</v>
      </c>
      <c r="E1895" t="s">
        <v>29</v>
      </c>
      <c r="F1895" t="s">
        <v>53</v>
      </c>
      <c r="G1895" t="s">
        <v>270</v>
      </c>
      <c r="H1895" t="s">
        <v>54</v>
      </c>
      <c r="I1895" t="s">
        <v>11</v>
      </c>
      <c r="J1895" t="s">
        <v>287</v>
      </c>
      <c r="K1895" s="1">
        <v>0.90709427083333338</v>
      </c>
      <c r="L1895">
        <f>YEAR(Coffe_sales[[#This Row],[Date]])</f>
        <v>2024</v>
      </c>
    </row>
    <row r="1896" spans="1:12" x14ac:dyDescent="0.2">
      <c r="A1896" t="s">
        <v>131</v>
      </c>
      <c r="B1896" t="s">
        <v>12</v>
      </c>
      <c r="C1896">
        <v>35.76</v>
      </c>
      <c r="D1896" t="s">
        <v>13</v>
      </c>
      <c r="E1896" t="s">
        <v>29</v>
      </c>
      <c r="F1896" t="s">
        <v>53</v>
      </c>
      <c r="G1896" t="s">
        <v>270</v>
      </c>
      <c r="H1896" t="s">
        <v>54</v>
      </c>
      <c r="I1896" t="s">
        <v>11</v>
      </c>
      <c r="J1896" t="s">
        <v>287</v>
      </c>
      <c r="K1896" s="1">
        <v>0.90787570601851852</v>
      </c>
      <c r="L1896">
        <f>YEAR(Coffe_sales[[#This Row],[Date]])</f>
        <v>2024</v>
      </c>
    </row>
    <row r="1897" spans="1:12" x14ac:dyDescent="0.2">
      <c r="A1897" t="s">
        <v>131</v>
      </c>
      <c r="B1897" t="s">
        <v>12</v>
      </c>
      <c r="C1897">
        <v>35.76</v>
      </c>
      <c r="D1897" t="s">
        <v>13</v>
      </c>
      <c r="E1897" t="s">
        <v>29</v>
      </c>
      <c r="F1897" t="s">
        <v>53</v>
      </c>
      <c r="G1897" t="s">
        <v>270</v>
      </c>
      <c r="H1897" t="s">
        <v>54</v>
      </c>
      <c r="I1897" t="s">
        <v>11</v>
      </c>
      <c r="J1897" t="s">
        <v>287</v>
      </c>
      <c r="K1897" s="1">
        <v>0.90870021990740746</v>
      </c>
      <c r="L1897">
        <f>YEAR(Coffe_sales[[#This Row],[Date]])</f>
        <v>2024</v>
      </c>
    </row>
    <row r="1898" spans="1:12" x14ac:dyDescent="0.2">
      <c r="A1898" t="s">
        <v>131</v>
      </c>
      <c r="B1898" t="s">
        <v>12</v>
      </c>
      <c r="C1898">
        <v>35.76</v>
      </c>
      <c r="D1898" t="s">
        <v>21</v>
      </c>
      <c r="E1898" t="s">
        <v>29</v>
      </c>
      <c r="F1898" t="s">
        <v>53</v>
      </c>
      <c r="G1898" t="s">
        <v>270</v>
      </c>
      <c r="H1898" t="s">
        <v>54</v>
      </c>
      <c r="I1898" t="s">
        <v>11</v>
      </c>
      <c r="J1898" t="s">
        <v>287</v>
      </c>
      <c r="K1898" s="1">
        <v>0.90965994212962964</v>
      </c>
      <c r="L1898">
        <f>YEAR(Coffe_sales[[#This Row],[Date]])</f>
        <v>2024</v>
      </c>
    </row>
    <row r="1899" spans="1:12" x14ac:dyDescent="0.2">
      <c r="A1899" t="s">
        <v>123</v>
      </c>
      <c r="B1899" t="s">
        <v>12</v>
      </c>
      <c r="C1899">
        <v>35.76</v>
      </c>
      <c r="D1899" t="s">
        <v>31</v>
      </c>
      <c r="E1899" t="s">
        <v>14</v>
      </c>
      <c r="F1899" t="s">
        <v>15</v>
      </c>
      <c r="G1899" t="s">
        <v>270</v>
      </c>
      <c r="H1899" t="s">
        <v>17</v>
      </c>
      <c r="I1899" t="s">
        <v>11</v>
      </c>
      <c r="J1899" t="s">
        <v>288</v>
      </c>
      <c r="K1899" s="1">
        <v>0.36249408564814817</v>
      </c>
      <c r="L1899">
        <f>YEAR(Coffe_sales[[#This Row],[Date]])</f>
        <v>2024</v>
      </c>
    </row>
    <row r="1900" spans="1:12" x14ac:dyDescent="0.2">
      <c r="A1900" t="s">
        <v>123</v>
      </c>
      <c r="B1900" t="s">
        <v>12</v>
      </c>
      <c r="C1900">
        <v>35.76</v>
      </c>
      <c r="D1900" t="s">
        <v>31</v>
      </c>
      <c r="E1900" t="s">
        <v>14</v>
      </c>
      <c r="F1900" t="s">
        <v>15</v>
      </c>
      <c r="G1900" t="s">
        <v>270</v>
      </c>
      <c r="H1900" t="s">
        <v>17</v>
      </c>
      <c r="I1900" t="s">
        <v>11</v>
      </c>
      <c r="J1900" t="s">
        <v>288</v>
      </c>
      <c r="K1900" s="1">
        <v>0.36318490740740739</v>
      </c>
      <c r="L1900">
        <f>YEAR(Coffe_sales[[#This Row],[Date]])</f>
        <v>2024</v>
      </c>
    </row>
    <row r="1901" spans="1:12" x14ac:dyDescent="0.2">
      <c r="A1901" t="s">
        <v>46</v>
      </c>
      <c r="B1901" t="s">
        <v>12</v>
      </c>
      <c r="C1901">
        <v>35.76</v>
      </c>
      <c r="D1901" t="s">
        <v>31</v>
      </c>
      <c r="E1901" t="s">
        <v>14</v>
      </c>
      <c r="F1901" t="s">
        <v>15</v>
      </c>
      <c r="G1901" t="s">
        <v>270</v>
      </c>
      <c r="H1901" t="s">
        <v>17</v>
      </c>
      <c r="I1901" t="s">
        <v>11</v>
      </c>
      <c r="J1901" t="s">
        <v>288</v>
      </c>
      <c r="K1901" s="1">
        <v>0.39770255787037034</v>
      </c>
      <c r="L1901">
        <f>YEAR(Coffe_sales[[#This Row],[Date]])</f>
        <v>2024</v>
      </c>
    </row>
    <row r="1902" spans="1:12" x14ac:dyDescent="0.2">
      <c r="A1902" t="s">
        <v>46</v>
      </c>
      <c r="B1902" t="s">
        <v>12</v>
      </c>
      <c r="C1902">
        <v>35.76</v>
      </c>
      <c r="D1902" t="s">
        <v>31</v>
      </c>
      <c r="E1902" t="s">
        <v>14</v>
      </c>
      <c r="F1902" t="s">
        <v>15</v>
      </c>
      <c r="G1902" t="s">
        <v>270</v>
      </c>
      <c r="H1902" t="s">
        <v>17</v>
      </c>
      <c r="I1902" t="s">
        <v>11</v>
      </c>
      <c r="J1902" t="s">
        <v>288</v>
      </c>
      <c r="K1902" s="1">
        <v>0.39870394675925924</v>
      </c>
      <c r="L1902">
        <f>YEAR(Coffe_sales[[#This Row],[Date]])</f>
        <v>2024</v>
      </c>
    </row>
    <row r="1903" spans="1:12" x14ac:dyDescent="0.2">
      <c r="A1903" t="s">
        <v>46</v>
      </c>
      <c r="B1903" t="s">
        <v>12</v>
      </c>
      <c r="C1903">
        <v>35.76</v>
      </c>
      <c r="D1903" t="s">
        <v>52</v>
      </c>
      <c r="E1903" t="s">
        <v>14</v>
      </c>
      <c r="F1903" t="s">
        <v>15</v>
      </c>
      <c r="G1903" t="s">
        <v>270</v>
      </c>
      <c r="H1903" t="s">
        <v>17</v>
      </c>
      <c r="I1903" t="s">
        <v>11</v>
      </c>
      <c r="J1903" t="s">
        <v>288</v>
      </c>
      <c r="K1903" s="1">
        <v>0.41342857638888891</v>
      </c>
      <c r="L1903">
        <f>YEAR(Coffe_sales[[#This Row],[Date]])</f>
        <v>2024</v>
      </c>
    </row>
    <row r="1904" spans="1:12" x14ac:dyDescent="0.2">
      <c r="A1904" t="s">
        <v>35</v>
      </c>
      <c r="B1904" t="s">
        <v>12</v>
      </c>
      <c r="C1904">
        <v>35.76</v>
      </c>
      <c r="D1904" t="s">
        <v>52</v>
      </c>
      <c r="E1904" t="s">
        <v>14</v>
      </c>
      <c r="F1904" t="s">
        <v>15</v>
      </c>
      <c r="G1904" t="s">
        <v>270</v>
      </c>
      <c r="H1904" t="s">
        <v>17</v>
      </c>
      <c r="I1904" t="s">
        <v>11</v>
      </c>
      <c r="J1904" t="s">
        <v>288</v>
      </c>
      <c r="K1904" s="1">
        <v>0.49651407407407405</v>
      </c>
      <c r="L1904">
        <f>YEAR(Coffe_sales[[#This Row],[Date]])</f>
        <v>2024</v>
      </c>
    </row>
    <row r="1905" spans="1:12" x14ac:dyDescent="0.2">
      <c r="A1905" t="s">
        <v>36</v>
      </c>
      <c r="B1905" t="s">
        <v>12</v>
      </c>
      <c r="C1905">
        <v>35.76</v>
      </c>
      <c r="D1905" t="s">
        <v>13</v>
      </c>
      <c r="E1905" t="s">
        <v>22</v>
      </c>
      <c r="F1905" t="s">
        <v>15</v>
      </c>
      <c r="G1905" t="s">
        <v>270</v>
      </c>
      <c r="H1905" t="s">
        <v>17</v>
      </c>
      <c r="I1905" t="s">
        <v>11</v>
      </c>
      <c r="J1905" t="s">
        <v>288</v>
      </c>
      <c r="K1905" s="1">
        <v>0.61879765046296298</v>
      </c>
      <c r="L1905">
        <f>YEAR(Coffe_sales[[#This Row],[Date]])</f>
        <v>2024</v>
      </c>
    </row>
    <row r="1906" spans="1:12" x14ac:dyDescent="0.2">
      <c r="A1906" t="s">
        <v>36</v>
      </c>
      <c r="B1906" t="s">
        <v>12</v>
      </c>
      <c r="C1906">
        <v>35.76</v>
      </c>
      <c r="D1906" t="s">
        <v>52</v>
      </c>
      <c r="E1906" t="s">
        <v>22</v>
      </c>
      <c r="F1906" t="s">
        <v>15</v>
      </c>
      <c r="G1906" t="s">
        <v>270</v>
      </c>
      <c r="H1906" t="s">
        <v>17</v>
      </c>
      <c r="I1906" t="s">
        <v>11</v>
      </c>
      <c r="J1906" t="s">
        <v>288</v>
      </c>
      <c r="K1906" s="1">
        <v>0.6196218171296296</v>
      </c>
      <c r="L1906">
        <f>YEAR(Coffe_sales[[#This Row],[Date]])</f>
        <v>2024</v>
      </c>
    </row>
    <row r="1907" spans="1:12" x14ac:dyDescent="0.2">
      <c r="A1907" t="s">
        <v>25</v>
      </c>
      <c r="B1907" t="s">
        <v>12</v>
      </c>
      <c r="C1907">
        <v>25.96</v>
      </c>
      <c r="D1907" t="s">
        <v>24</v>
      </c>
      <c r="E1907" t="s">
        <v>22</v>
      </c>
      <c r="F1907" t="s">
        <v>15</v>
      </c>
      <c r="G1907" t="s">
        <v>270</v>
      </c>
      <c r="H1907" t="s">
        <v>17</v>
      </c>
      <c r="I1907" t="s">
        <v>11</v>
      </c>
      <c r="J1907" t="s">
        <v>288</v>
      </c>
      <c r="K1907" s="1">
        <v>0.6523144675925926</v>
      </c>
      <c r="L1907">
        <f>YEAR(Coffe_sales[[#This Row],[Date]])</f>
        <v>2024</v>
      </c>
    </row>
    <row r="1908" spans="1:12" x14ac:dyDescent="0.2">
      <c r="A1908" t="s">
        <v>27</v>
      </c>
      <c r="B1908" t="s">
        <v>12</v>
      </c>
      <c r="C1908">
        <v>35.76</v>
      </c>
      <c r="D1908" t="s">
        <v>13</v>
      </c>
      <c r="E1908" t="s">
        <v>22</v>
      </c>
      <c r="F1908" t="s">
        <v>15</v>
      </c>
      <c r="G1908" t="s">
        <v>270</v>
      </c>
      <c r="H1908" t="s">
        <v>17</v>
      </c>
      <c r="I1908" t="s">
        <v>11</v>
      </c>
      <c r="J1908" t="s">
        <v>288</v>
      </c>
      <c r="K1908" s="1">
        <v>0.67358652777777783</v>
      </c>
      <c r="L1908">
        <f>YEAR(Coffe_sales[[#This Row],[Date]])</f>
        <v>2024</v>
      </c>
    </row>
    <row r="1909" spans="1:12" x14ac:dyDescent="0.2">
      <c r="A1909" t="s">
        <v>37</v>
      </c>
      <c r="B1909" t="s">
        <v>12</v>
      </c>
      <c r="C1909">
        <v>35.76</v>
      </c>
      <c r="D1909" t="s">
        <v>21</v>
      </c>
      <c r="E1909" t="s">
        <v>29</v>
      </c>
      <c r="F1909" t="s">
        <v>15</v>
      </c>
      <c r="G1909" t="s">
        <v>270</v>
      </c>
      <c r="H1909" t="s">
        <v>17</v>
      </c>
      <c r="I1909" t="s">
        <v>11</v>
      </c>
      <c r="J1909" t="s">
        <v>288</v>
      </c>
      <c r="K1909" s="1">
        <v>0.74003446759259262</v>
      </c>
      <c r="L1909">
        <f>YEAR(Coffe_sales[[#This Row],[Date]])</f>
        <v>2024</v>
      </c>
    </row>
    <row r="1910" spans="1:12" x14ac:dyDescent="0.2">
      <c r="A1910" t="s">
        <v>131</v>
      </c>
      <c r="B1910" t="s">
        <v>12</v>
      </c>
      <c r="C1910">
        <v>35.76</v>
      </c>
      <c r="D1910" t="s">
        <v>31</v>
      </c>
      <c r="E1910" t="s">
        <v>29</v>
      </c>
      <c r="F1910" t="s">
        <v>15</v>
      </c>
      <c r="G1910" t="s">
        <v>270</v>
      </c>
      <c r="H1910" t="s">
        <v>17</v>
      </c>
      <c r="I1910" t="s">
        <v>11</v>
      </c>
      <c r="J1910" t="s">
        <v>288</v>
      </c>
      <c r="K1910" s="1">
        <v>0.88518799768518519</v>
      </c>
      <c r="L1910">
        <f>YEAR(Coffe_sales[[#This Row],[Date]])</f>
        <v>2024</v>
      </c>
    </row>
    <row r="1911" spans="1:12" x14ac:dyDescent="0.2">
      <c r="A1911" t="s">
        <v>131</v>
      </c>
      <c r="B1911" t="s">
        <v>12</v>
      </c>
      <c r="C1911">
        <v>35.76</v>
      </c>
      <c r="D1911" t="s">
        <v>31</v>
      </c>
      <c r="E1911" t="s">
        <v>29</v>
      </c>
      <c r="F1911" t="s">
        <v>15</v>
      </c>
      <c r="G1911" t="s">
        <v>270</v>
      </c>
      <c r="H1911" t="s">
        <v>17</v>
      </c>
      <c r="I1911" t="s">
        <v>11</v>
      </c>
      <c r="J1911" t="s">
        <v>288</v>
      </c>
      <c r="K1911" s="1">
        <v>0.88567723379629626</v>
      </c>
      <c r="L1911">
        <f>YEAR(Coffe_sales[[#This Row],[Date]])</f>
        <v>2024</v>
      </c>
    </row>
    <row r="1912" spans="1:12" x14ac:dyDescent="0.2">
      <c r="A1912" t="s">
        <v>131</v>
      </c>
      <c r="B1912" t="s">
        <v>12</v>
      </c>
      <c r="C1912">
        <v>30.86</v>
      </c>
      <c r="D1912" t="s">
        <v>26</v>
      </c>
      <c r="E1912" t="s">
        <v>29</v>
      </c>
      <c r="F1912" t="s">
        <v>15</v>
      </c>
      <c r="G1912" t="s">
        <v>270</v>
      </c>
      <c r="H1912" t="s">
        <v>17</v>
      </c>
      <c r="I1912" t="s">
        <v>11</v>
      </c>
      <c r="J1912" t="s">
        <v>288</v>
      </c>
      <c r="K1912" s="1">
        <v>0.91138203703703702</v>
      </c>
      <c r="L1912">
        <f>YEAR(Coffe_sales[[#This Row],[Date]])</f>
        <v>2024</v>
      </c>
    </row>
    <row r="1913" spans="1:12" x14ac:dyDescent="0.2">
      <c r="A1913" t="s">
        <v>125</v>
      </c>
      <c r="B1913" t="s">
        <v>12</v>
      </c>
      <c r="C1913">
        <v>35.76</v>
      </c>
      <c r="D1913" t="s">
        <v>13</v>
      </c>
      <c r="E1913" t="s">
        <v>29</v>
      </c>
      <c r="F1913" t="s">
        <v>15</v>
      </c>
      <c r="G1913" t="s">
        <v>270</v>
      </c>
      <c r="H1913" t="s">
        <v>17</v>
      </c>
      <c r="I1913" t="s">
        <v>11</v>
      </c>
      <c r="J1913" t="s">
        <v>288</v>
      </c>
      <c r="K1913" s="1">
        <v>0.91906208333333328</v>
      </c>
      <c r="L1913">
        <f>YEAR(Coffe_sales[[#This Row],[Date]])</f>
        <v>2024</v>
      </c>
    </row>
    <row r="1914" spans="1:12" x14ac:dyDescent="0.2">
      <c r="A1914" t="s">
        <v>123</v>
      </c>
      <c r="B1914" t="s">
        <v>12</v>
      </c>
      <c r="C1914">
        <v>30.86</v>
      </c>
      <c r="D1914" t="s">
        <v>26</v>
      </c>
      <c r="E1914" t="s">
        <v>14</v>
      </c>
      <c r="F1914" t="s">
        <v>32</v>
      </c>
      <c r="G1914" t="s">
        <v>270</v>
      </c>
      <c r="H1914" t="s">
        <v>33</v>
      </c>
      <c r="I1914" t="s">
        <v>11</v>
      </c>
      <c r="J1914" t="s">
        <v>289</v>
      </c>
      <c r="K1914" s="1">
        <v>0.35710247685185187</v>
      </c>
      <c r="L1914">
        <f>YEAR(Coffe_sales[[#This Row],[Date]])</f>
        <v>2024</v>
      </c>
    </row>
    <row r="1915" spans="1:12" x14ac:dyDescent="0.2">
      <c r="A1915" t="s">
        <v>23</v>
      </c>
      <c r="B1915" t="s">
        <v>12</v>
      </c>
      <c r="C1915">
        <v>35.76</v>
      </c>
      <c r="D1915" t="s">
        <v>13</v>
      </c>
      <c r="E1915" t="s">
        <v>22</v>
      </c>
      <c r="F1915" t="s">
        <v>32</v>
      </c>
      <c r="G1915" t="s">
        <v>270</v>
      </c>
      <c r="H1915" t="s">
        <v>33</v>
      </c>
      <c r="I1915" t="s">
        <v>11</v>
      </c>
      <c r="J1915" t="s">
        <v>289</v>
      </c>
      <c r="K1915" s="1">
        <v>0.55701490740740744</v>
      </c>
      <c r="L1915">
        <f>YEAR(Coffe_sales[[#This Row],[Date]])</f>
        <v>2024</v>
      </c>
    </row>
    <row r="1916" spans="1:12" x14ac:dyDescent="0.2">
      <c r="A1916" t="s">
        <v>36</v>
      </c>
      <c r="B1916" t="s">
        <v>12</v>
      </c>
      <c r="C1916">
        <v>35.76</v>
      </c>
      <c r="D1916" t="s">
        <v>52</v>
      </c>
      <c r="E1916" t="s">
        <v>22</v>
      </c>
      <c r="F1916" t="s">
        <v>32</v>
      </c>
      <c r="G1916" t="s">
        <v>270</v>
      </c>
      <c r="H1916" t="s">
        <v>33</v>
      </c>
      <c r="I1916" t="s">
        <v>11</v>
      </c>
      <c r="J1916" t="s">
        <v>289</v>
      </c>
      <c r="K1916" s="1">
        <v>0.59065519675925926</v>
      </c>
      <c r="L1916">
        <f>YEAR(Coffe_sales[[#This Row],[Date]])</f>
        <v>2024</v>
      </c>
    </row>
    <row r="1917" spans="1:12" x14ac:dyDescent="0.2">
      <c r="A1917" t="s">
        <v>25</v>
      </c>
      <c r="B1917" t="s">
        <v>12</v>
      </c>
      <c r="C1917">
        <v>35.76</v>
      </c>
      <c r="D1917" t="s">
        <v>21</v>
      </c>
      <c r="E1917" t="s">
        <v>22</v>
      </c>
      <c r="F1917" t="s">
        <v>32</v>
      </c>
      <c r="G1917" t="s">
        <v>270</v>
      </c>
      <c r="H1917" t="s">
        <v>33</v>
      </c>
      <c r="I1917" t="s">
        <v>11</v>
      </c>
      <c r="J1917" t="s">
        <v>289</v>
      </c>
      <c r="K1917" s="1">
        <v>0.66452798611111108</v>
      </c>
      <c r="L1917">
        <f>YEAR(Coffe_sales[[#This Row],[Date]])</f>
        <v>2024</v>
      </c>
    </row>
    <row r="1918" spans="1:12" x14ac:dyDescent="0.2">
      <c r="A1918" t="s">
        <v>25</v>
      </c>
      <c r="B1918" t="s">
        <v>12</v>
      </c>
      <c r="C1918">
        <v>35.76</v>
      </c>
      <c r="D1918" t="s">
        <v>13</v>
      </c>
      <c r="E1918" t="s">
        <v>22</v>
      </c>
      <c r="F1918" t="s">
        <v>32</v>
      </c>
      <c r="G1918" t="s">
        <v>270</v>
      </c>
      <c r="H1918" t="s">
        <v>33</v>
      </c>
      <c r="I1918" t="s">
        <v>11</v>
      </c>
      <c r="J1918" t="s">
        <v>289</v>
      </c>
      <c r="K1918" s="1">
        <v>0.66625087962962959</v>
      </c>
      <c r="L1918">
        <f>YEAR(Coffe_sales[[#This Row],[Date]])</f>
        <v>2024</v>
      </c>
    </row>
    <row r="1919" spans="1:12" x14ac:dyDescent="0.2">
      <c r="A1919" t="s">
        <v>27</v>
      </c>
      <c r="B1919" t="s">
        <v>12</v>
      </c>
      <c r="C1919">
        <v>35.76</v>
      </c>
      <c r="D1919" t="s">
        <v>13</v>
      </c>
      <c r="E1919" t="s">
        <v>22</v>
      </c>
      <c r="F1919" t="s">
        <v>32</v>
      </c>
      <c r="G1919" t="s">
        <v>270</v>
      </c>
      <c r="H1919" t="s">
        <v>33</v>
      </c>
      <c r="I1919" t="s">
        <v>11</v>
      </c>
      <c r="J1919" t="s">
        <v>289</v>
      </c>
      <c r="K1919" s="1">
        <v>0.66858600694444448</v>
      </c>
      <c r="L1919">
        <f>YEAR(Coffe_sales[[#This Row],[Date]])</f>
        <v>2024</v>
      </c>
    </row>
    <row r="1920" spans="1:12" x14ac:dyDescent="0.2">
      <c r="A1920" t="s">
        <v>27</v>
      </c>
      <c r="B1920" t="s">
        <v>12</v>
      </c>
      <c r="C1920">
        <v>35.76</v>
      </c>
      <c r="D1920" t="s">
        <v>13</v>
      </c>
      <c r="E1920" t="s">
        <v>22</v>
      </c>
      <c r="F1920" t="s">
        <v>32</v>
      </c>
      <c r="G1920" t="s">
        <v>270</v>
      </c>
      <c r="H1920" t="s">
        <v>33</v>
      </c>
      <c r="I1920" t="s">
        <v>11</v>
      </c>
      <c r="J1920" t="s">
        <v>289</v>
      </c>
      <c r="K1920" s="1">
        <v>0.6789642939814815</v>
      </c>
      <c r="L1920">
        <f>YEAR(Coffe_sales[[#This Row],[Date]])</f>
        <v>2024</v>
      </c>
    </row>
    <row r="1921" spans="1:12" x14ac:dyDescent="0.2">
      <c r="A1921" t="s">
        <v>131</v>
      </c>
      <c r="B1921" t="s">
        <v>12</v>
      </c>
      <c r="C1921">
        <v>35.76</v>
      </c>
      <c r="D1921" t="s">
        <v>31</v>
      </c>
      <c r="E1921" t="s">
        <v>29</v>
      </c>
      <c r="F1921" t="s">
        <v>32</v>
      </c>
      <c r="G1921" t="s">
        <v>270</v>
      </c>
      <c r="H1921" t="s">
        <v>33</v>
      </c>
      <c r="I1921" t="s">
        <v>11</v>
      </c>
      <c r="J1921" t="s">
        <v>289</v>
      </c>
      <c r="K1921" s="1">
        <v>0.9074712615740741</v>
      </c>
      <c r="L1921">
        <f>YEAR(Coffe_sales[[#This Row],[Date]])</f>
        <v>2024</v>
      </c>
    </row>
    <row r="1922" spans="1:12" x14ac:dyDescent="0.2">
      <c r="A1922" t="s">
        <v>125</v>
      </c>
      <c r="B1922" t="s">
        <v>12</v>
      </c>
      <c r="C1922">
        <v>35.76</v>
      </c>
      <c r="D1922" t="s">
        <v>52</v>
      </c>
      <c r="E1922" t="s">
        <v>29</v>
      </c>
      <c r="F1922" t="s">
        <v>32</v>
      </c>
      <c r="G1922" t="s">
        <v>270</v>
      </c>
      <c r="H1922" t="s">
        <v>33</v>
      </c>
      <c r="I1922" t="s">
        <v>11</v>
      </c>
      <c r="J1922" t="s">
        <v>289</v>
      </c>
      <c r="K1922" s="1">
        <v>0.94904741898148148</v>
      </c>
      <c r="L1922">
        <f>YEAR(Coffe_sales[[#This Row],[Date]])</f>
        <v>2024</v>
      </c>
    </row>
    <row r="1923" spans="1:12" x14ac:dyDescent="0.2">
      <c r="A1923" t="s">
        <v>123</v>
      </c>
      <c r="B1923" t="s">
        <v>12</v>
      </c>
      <c r="C1923">
        <v>35.76</v>
      </c>
      <c r="D1923" t="s">
        <v>13</v>
      </c>
      <c r="E1923" t="s">
        <v>14</v>
      </c>
      <c r="F1923" t="s">
        <v>38</v>
      </c>
      <c r="G1923" t="s">
        <v>270</v>
      </c>
      <c r="H1923" t="s">
        <v>39</v>
      </c>
      <c r="I1923" t="s">
        <v>11</v>
      </c>
      <c r="J1923" t="s">
        <v>290</v>
      </c>
      <c r="K1923" s="1">
        <v>0.36161997685185188</v>
      </c>
      <c r="L1923">
        <f>YEAR(Coffe_sales[[#This Row],[Date]])</f>
        <v>2024</v>
      </c>
    </row>
    <row r="1924" spans="1:12" x14ac:dyDescent="0.2">
      <c r="A1924" t="s">
        <v>123</v>
      </c>
      <c r="B1924" t="s">
        <v>12</v>
      </c>
      <c r="C1924">
        <v>35.76</v>
      </c>
      <c r="D1924" t="s">
        <v>31</v>
      </c>
      <c r="E1924" t="s">
        <v>14</v>
      </c>
      <c r="F1924" t="s">
        <v>38</v>
      </c>
      <c r="G1924" t="s">
        <v>270</v>
      </c>
      <c r="H1924" t="s">
        <v>39</v>
      </c>
      <c r="I1924" t="s">
        <v>11</v>
      </c>
      <c r="J1924" t="s">
        <v>290</v>
      </c>
      <c r="K1924" s="1">
        <v>0.36238971064814812</v>
      </c>
      <c r="L1924">
        <f>YEAR(Coffe_sales[[#This Row],[Date]])</f>
        <v>2024</v>
      </c>
    </row>
    <row r="1925" spans="1:12" x14ac:dyDescent="0.2">
      <c r="A1925" t="s">
        <v>35</v>
      </c>
      <c r="B1925" t="s">
        <v>12</v>
      </c>
      <c r="C1925">
        <v>35.76</v>
      </c>
      <c r="D1925" t="s">
        <v>13</v>
      </c>
      <c r="E1925" t="s">
        <v>14</v>
      </c>
      <c r="F1925" t="s">
        <v>38</v>
      </c>
      <c r="G1925" t="s">
        <v>270</v>
      </c>
      <c r="H1925" t="s">
        <v>39</v>
      </c>
      <c r="I1925" t="s">
        <v>11</v>
      </c>
      <c r="J1925" t="s">
        <v>290</v>
      </c>
      <c r="K1925" s="1">
        <v>0.47004445601851852</v>
      </c>
      <c r="L1925">
        <f>YEAR(Coffe_sales[[#This Row],[Date]])</f>
        <v>2024</v>
      </c>
    </row>
    <row r="1926" spans="1:12" x14ac:dyDescent="0.2">
      <c r="A1926" t="s">
        <v>36</v>
      </c>
      <c r="B1926" t="s">
        <v>12</v>
      </c>
      <c r="C1926">
        <v>35.76</v>
      </c>
      <c r="D1926" t="s">
        <v>21</v>
      </c>
      <c r="E1926" t="s">
        <v>22</v>
      </c>
      <c r="F1926" t="s">
        <v>38</v>
      </c>
      <c r="G1926" t="s">
        <v>270</v>
      </c>
      <c r="H1926" t="s">
        <v>39</v>
      </c>
      <c r="I1926" t="s">
        <v>11</v>
      </c>
      <c r="J1926" t="s">
        <v>290</v>
      </c>
      <c r="K1926" s="1">
        <v>0.60331069444444441</v>
      </c>
      <c r="L1926">
        <f>YEAR(Coffe_sales[[#This Row],[Date]])</f>
        <v>2024</v>
      </c>
    </row>
    <row r="1927" spans="1:12" x14ac:dyDescent="0.2">
      <c r="A1927" t="s">
        <v>36</v>
      </c>
      <c r="B1927" t="s">
        <v>12</v>
      </c>
      <c r="C1927">
        <v>25.96</v>
      </c>
      <c r="D1927" t="s">
        <v>41</v>
      </c>
      <c r="E1927" t="s">
        <v>22</v>
      </c>
      <c r="F1927" t="s">
        <v>38</v>
      </c>
      <c r="G1927" t="s">
        <v>270</v>
      </c>
      <c r="H1927" t="s">
        <v>39</v>
      </c>
      <c r="I1927" t="s">
        <v>11</v>
      </c>
      <c r="J1927" t="s">
        <v>290</v>
      </c>
      <c r="K1927" s="1">
        <v>0.60397621527777778</v>
      </c>
      <c r="L1927">
        <f>YEAR(Coffe_sales[[#This Row],[Date]])</f>
        <v>2024</v>
      </c>
    </row>
    <row r="1928" spans="1:12" x14ac:dyDescent="0.2">
      <c r="A1928" t="s">
        <v>25</v>
      </c>
      <c r="B1928" t="s">
        <v>12</v>
      </c>
      <c r="C1928">
        <v>30.86</v>
      </c>
      <c r="D1928" t="s">
        <v>26</v>
      </c>
      <c r="E1928" t="s">
        <v>22</v>
      </c>
      <c r="F1928" t="s">
        <v>38</v>
      </c>
      <c r="G1928" t="s">
        <v>270</v>
      </c>
      <c r="H1928" t="s">
        <v>39</v>
      </c>
      <c r="I1928" t="s">
        <v>11</v>
      </c>
      <c r="J1928" t="s">
        <v>290</v>
      </c>
      <c r="K1928" s="1">
        <v>0.66163258101851852</v>
      </c>
      <c r="L1928">
        <f>YEAR(Coffe_sales[[#This Row],[Date]])</f>
        <v>2024</v>
      </c>
    </row>
    <row r="1929" spans="1:12" x14ac:dyDescent="0.2">
      <c r="A1929" t="s">
        <v>27</v>
      </c>
      <c r="B1929" t="s">
        <v>12</v>
      </c>
      <c r="C1929">
        <v>35.76</v>
      </c>
      <c r="D1929" t="s">
        <v>13</v>
      </c>
      <c r="E1929" t="s">
        <v>22</v>
      </c>
      <c r="F1929" t="s">
        <v>38</v>
      </c>
      <c r="G1929" t="s">
        <v>270</v>
      </c>
      <c r="H1929" t="s">
        <v>39</v>
      </c>
      <c r="I1929" t="s">
        <v>11</v>
      </c>
      <c r="J1929" t="s">
        <v>290</v>
      </c>
      <c r="K1929" s="1">
        <v>0.6980298958333333</v>
      </c>
      <c r="L1929">
        <f>YEAR(Coffe_sales[[#This Row],[Date]])</f>
        <v>2024</v>
      </c>
    </row>
    <row r="1930" spans="1:12" x14ac:dyDescent="0.2">
      <c r="A1930" t="s">
        <v>27</v>
      </c>
      <c r="B1930" t="s">
        <v>12</v>
      </c>
      <c r="C1930">
        <v>35.76</v>
      </c>
      <c r="D1930" t="s">
        <v>13</v>
      </c>
      <c r="E1930" t="s">
        <v>22</v>
      </c>
      <c r="F1930" t="s">
        <v>38</v>
      </c>
      <c r="G1930" t="s">
        <v>270</v>
      </c>
      <c r="H1930" t="s">
        <v>39</v>
      </c>
      <c r="I1930" t="s">
        <v>11</v>
      </c>
      <c r="J1930" t="s">
        <v>290</v>
      </c>
      <c r="K1930" s="1">
        <v>0.69866684027777781</v>
      </c>
      <c r="L1930">
        <f>YEAR(Coffe_sales[[#This Row],[Date]])</f>
        <v>2024</v>
      </c>
    </row>
    <row r="1931" spans="1:12" x14ac:dyDescent="0.2">
      <c r="A1931" t="s">
        <v>37</v>
      </c>
      <c r="B1931" t="s">
        <v>12</v>
      </c>
      <c r="C1931">
        <v>35.76</v>
      </c>
      <c r="D1931" t="s">
        <v>13</v>
      </c>
      <c r="E1931" t="s">
        <v>29</v>
      </c>
      <c r="F1931" t="s">
        <v>38</v>
      </c>
      <c r="G1931" t="s">
        <v>270</v>
      </c>
      <c r="H1931" t="s">
        <v>39</v>
      </c>
      <c r="I1931" t="s">
        <v>11</v>
      </c>
      <c r="J1931" t="s">
        <v>290</v>
      </c>
      <c r="K1931" s="1">
        <v>0.72715077546296292</v>
      </c>
      <c r="L1931">
        <f>YEAR(Coffe_sales[[#This Row],[Date]])</f>
        <v>2024</v>
      </c>
    </row>
    <row r="1932" spans="1:12" x14ac:dyDescent="0.2">
      <c r="A1932" t="s">
        <v>28</v>
      </c>
      <c r="B1932" t="s">
        <v>12</v>
      </c>
      <c r="C1932">
        <v>35.76</v>
      </c>
      <c r="D1932" t="s">
        <v>31</v>
      </c>
      <c r="E1932" t="s">
        <v>29</v>
      </c>
      <c r="F1932" t="s">
        <v>38</v>
      </c>
      <c r="G1932" t="s">
        <v>270</v>
      </c>
      <c r="H1932" t="s">
        <v>39</v>
      </c>
      <c r="I1932" t="s">
        <v>11</v>
      </c>
      <c r="J1932" t="s">
        <v>290</v>
      </c>
      <c r="K1932" s="1">
        <v>0.773800775462963</v>
      </c>
      <c r="L1932">
        <f>YEAR(Coffe_sales[[#This Row],[Date]])</f>
        <v>2024</v>
      </c>
    </row>
    <row r="1933" spans="1:12" x14ac:dyDescent="0.2">
      <c r="A1933" t="s">
        <v>28</v>
      </c>
      <c r="B1933" t="s">
        <v>12</v>
      </c>
      <c r="C1933">
        <v>35.76</v>
      </c>
      <c r="D1933" t="s">
        <v>31</v>
      </c>
      <c r="E1933" t="s">
        <v>29</v>
      </c>
      <c r="F1933" t="s">
        <v>38</v>
      </c>
      <c r="G1933" t="s">
        <v>270</v>
      </c>
      <c r="H1933" t="s">
        <v>39</v>
      </c>
      <c r="I1933" t="s">
        <v>11</v>
      </c>
      <c r="J1933" t="s">
        <v>290</v>
      </c>
      <c r="K1933" s="1">
        <v>0.77440002314814815</v>
      </c>
      <c r="L1933">
        <f>YEAR(Coffe_sales[[#This Row],[Date]])</f>
        <v>2024</v>
      </c>
    </row>
    <row r="1934" spans="1:12" x14ac:dyDescent="0.2">
      <c r="A1934" t="s">
        <v>131</v>
      </c>
      <c r="B1934" t="s">
        <v>12</v>
      </c>
      <c r="C1934">
        <v>35.76</v>
      </c>
      <c r="D1934" t="s">
        <v>21</v>
      </c>
      <c r="E1934" t="s">
        <v>29</v>
      </c>
      <c r="F1934" t="s">
        <v>38</v>
      </c>
      <c r="G1934" t="s">
        <v>270</v>
      </c>
      <c r="H1934" t="s">
        <v>39</v>
      </c>
      <c r="I1934" t="s">
        <v>11</v>
      </c>
      <c r="J1934" t="s">
        <v>290</v>
      </c>
      <c r="K1934" s="1">
        <v>0.8849310763888889</v>
      </c>
      <c r="L1934">
        <f>YEAR(Coffe_sales[[#This Row],[Date]])</f>
        <v>2024</v>
      </c>
    </row>
    <row r="1935" spans="1:12" x14ac:dyDescent="0.2">
      <c r="A1935" t="s">
        <v>131</v>
      </c>
      <c r="B1935" t="s">
        <v>12</v>
      </c>
      <c r="C1935">
        <v>25.96</v>
      </c>
      <c r="D1935" t="s">
        <v>41</v>
      </c>
      <c r="E1935" t="s">
        <v>29</v>
      </c>
      <c r="F1935" t="s">
        <v>38</v>
      </c>
      <c r="G1935" t="s">
        <v>270</v>
      </c>
      <c r="H1935" t="s">
        <v>39</v>
      </c>
      <c r="I1935" t="s">
        <v>11</v>
      </c>
      <c r="J1935" t="s">
        <v>290</v>
      </c>
      <c r="K1935" s="1">
        <v>0.88562245370370374</v>
      </c>
      <c r="L1935">
        <f>YEAR(Coffe_sales[[#This Row],[Date]])</f>
        <v>2024</v>
      </c>
    </row>
    <row r="1936" spans="1:12" x14ac:dyDescent="0.2">
      <c r="A1936" t="s">
        <v>131</v>
      </c>
      <c r="B1936" t="s">
        <v>12</v>
      </c>
      <c r="C1936">
        <v>35.76</v>
      </c>
      <c r="D1936" t="s">
        <v>31</v>
      </c>
      <c r="E1936" t="s">
        <v>29</v>
      </c>
      <c r="F1936" t="s">
        <v>38</v>
      </c>
      <c r="G1936" t="s">
        <v>270</v>
      </c>
      <c r="H1936" t="s">
        <v>39</v>
      </c>
      <c r="I1936" t="s">
        <v>11</v>
      </c>
      <c r="J1936" t="s">
        <v>290</v>
      </c>
      <c r="K1936" s="1">
        <v>0.88711649305555551</v>
      </c>
      <c r="L1936">
        <f>YEAR(Coffe_sales[[#This Row],[Date]])</f>
        <v>2024</v>
      </c>
    </row>
    <row r="1937" spans="1:12" x14ac:dyDescent="0.2">
      <c r="A1937" t="s">
        <v>131</v>
      </c>
      <c r="B1937" t="s">
        <v>12</v>
      </c>
      <c r="C1937">
        <v>35.76</v>
      </c>
      <c r="D1937" t="s">
        <v>13</v>
      </c>
      <c r="E1937" t="s">
        <v>29</v>
      </c>
      <c r="F1937" t="s">
        <v>38</v>
      </c>
      <c r="G1937" t="s">
        <v>270</v>
      </c>
      <c r="H1937" t="s">
        <v>39</v>
      </c>
      <c r="I1937" t="s">
        <v>11</v>
      </c>
      <c r="J1937" t="s">
        <v>290</v>
      </c>
      <c r="K1937" s="1">
        <v>0.89236209490740737</v>
      </c>
      <c r="L1937">
        <f>YEAR(Coffe_sales[[#This Row],[Date]])</f>
        <v>2024</v>
      </c>
    </row>
    <row r="1938" spans="1:12" x14ac:dyDescent="0.2">
      <c r="A1938" t="s">
        <v>125</v>
      </c>
      <c r="B1938" t="s">
        <v>12</v>
      </c>
      <c r="C1938">
        <v>35.76</v>
      </c>
      <c r="D1938" t="s">
        <v>52</v>
      </c>
      <c r="E1938" t="s">
        <v>29</v>
      </c>
      <c r="F1938" t="s">
        <v>38</v>
      </c>
      <c r="G1938" t="s">
        <v>270</v>
      </c>
      <c r="H1938" t="s">
        <v>39</v>
      </c>
      <c r="I1938" t="s">
        <v>11</v>
      </c>
      <c r="J1938" t="s">
        <v>290</v>
      </c>
      <c r="K1938" s="1">
        <v>0.92880834490740738</v>
      </c>
      <c r="L1938">
        <f>YEAR(Coffe_sales[[#This Row],[Date]])</f>
        <v>2024</v>
      </c>
    </row>
    <row r="1939" spans="1:12" x14ac:dyDescent="0.2">
      <c r="A1939" t="s">
        <v>39</v>
      </c>
      <c r="B1939" t="s">
        <v>12</v>
      </c>
      <c r="C1939">
        <v>35.76</v>
      </c>
      <c r="D1939" t="s">
        <v>13</v>
      </c>
      <c r="E1939" t="s">
        <v>14</v>
      </c>
      <c r="F1939" t="s">
        <v>42</v>
      </c>
      <c r="G1939" t="s">
        <v>270</v>
      </c>
      <c r="H1939" t="s">
        <v>43</v>
      </c>
      <c r="I1939" t="s">
        <v>11</v>
      </c>
      <c r="J1939" t="s">
        <v>291</v>
      </c>
      <c r="K1939" s="1">
        <v>0.32549869212962962</v>
      </c>
      <c r="L1939">
        <f>YEAR(Coffe_sales[[#This Row],[Date]])</f>
        <v>2024</v>
      </c>
    </row>
    <row r="1940" spans="1:12" x14ac:dyDescent="0.2">
      <c r="A1940" t="s">
        <v>123</v>
      </c>
      <c r="B1940" t="s">
        <v>12</v>
      </c>
      <c r="C1940">
        <v>35.76</v>
      </c>
      <c r="D1940" t="s">
        <v>13</v>
      </c>
      <c r="E1940" t="s">
        <v>14</v>
      </c>
      <c r="F1940" t="s">
        <v>42</v>
      </c>
      <c r="G1940" t="s">
        <v>270</v>
      </c>
      <c r="H1940" t="s">
        <v>43</v>
      </c>
      <c r="I1940" t="s">
        <v>11</v>
      </c>
      <c r="J1940" t="s">
        <v>291</v>
      </c>
      <c r="K1940" s="1">
        <v>0.34718035879629627</v>
      </c>
      <c r="L1940">
        <f>YEAR(Coffe_sales[[#This Row],[Date]])</f>
        <v>2024</v>
      </c>
    </row>
    <row r="1941" spans="1:12" x14ac:dyDescent="0.2">
      <c r="A1941" t="s">
        <v>46</v>
      </c>
      <c r="B1941" t="s">
        <v>12</v>
      </c>
      <c r="C1941">
        <v>30.86</v>
      </c>
      <c r="D1941" t="s">
        <v>26</v>
      </c>
      <c r="E1941" t="s">
        <v>14</v>
      </c>
      <c r="F1941" t="s">
        <v>42</v>
      </c>
      <c r="G1941" t="s">
        <v>270</v>
      </c>
      <c r="H1941" t="s">
        <v>43</v>
      </c>
      <c r="I1941" t="s">
        <v>11</v>
      </c>
      <c r="J1941" t="s">
        <v>291</v>
      </c>
      <c r="K1941" s="1">
        <v>0.37840780092592591</v>
      </c>
      <c r="L1941">
        <f>YEAR(Coffe_sales[[#This Row],[Date]])</f>
        <v>2024</v>
      </c>
    </row>
    <row r="1942" spans="1:12" x14ac:dyDescent="0.2">
      <c r="A1942" t="s">
        <v>46</v>
      </c>
      <c r="B1942" t="s">
        <v>12</v>
      </c>
      <c r="C1942">
        <v>35.76</v>
      </c>
      <c r="D1942" t="s">
        <v>13</v>
      </c>
      <c r="E1942" t="s">
        <v>14</v>
      </c>
      <c r="F1942" t="s">
        <v>42</v>
      </c>
      <c r="G1942" t="s">
        <v>270</v>
      </c>
      <c r="H1942" t="s">
        <v>43</v>
      </c>
      <c r="I1942" t="s">
        <v>11</v>
      </c>
      <c r="J1942" t="s">
        <v>291</v>
      </c>
      <c r="K1942" s="1">
        <v>0.39890679398148149</v>
      </c>
      <c r="L1942">
        <f>YEAR(Coffe_sales[[#This Row],[Date]])</f>
        <v>2024</v>
      </c>
    </row>
    <row r="1943" spans="1:12" x14ac:dyDescent="0.2">
      <c r="A1943" t="s">
        <v>11</v>
      </c>
      <c r="B1943" t="s">
        <v>12</v>
      </c>
      <c r="C1943">
        <v>25.96</v>
      </c>
      <c r="D1943" t="s">
        <v>24</v>
      </c>
      <c r="E1943" t="s">
        <v>14</v>
      </c>
      <c r="F1943" t="s">
        <v>42</v>
      </c>
      <c r="G1943" t="s">
        <v>270</v>
      </c>
      <c r="H1943" t="s">
        <v>43</v>
      </c>
      <c r="I1943" t="s">
        <v>11</v>
      </c>
      <c r="J1943" t="s">
        <v>291</v>
      </c>
      <c r="K1943" s="1">
        <v>0.43413592592592593</v>
      </c>
      <c r="L1943">
        <f>YEAR(Coffe_sales[[#This Row],[Date]])</f>
        <v>2024</v>
      </c>
    </row>
    <row r="1944" spans="1:12" x14ac:dyDescent="0.2">
      <c r="A1944" t="s">
        <v>11</v>
      </c>
      <c r="B1944" t="s">
        <v>12</v>
      </c>
      <c r="C1944">
        <v>25.96</v>
      </c>
      <c r="D1944" t="s">
        <v>41</v>
      </c>
      <c r="E1944" t="s">
        <v>14</v>
      </c>
      <c r="F1944" t="s">
        <v>42</v>
      </c>
      <c r="G1944" t="s">
        <v>270</v>
      </c>
      <c r="H1944" t="s">
        <v>43</v>
      </c>
      <c r="I1944" t="s">
        <v>11</v>
      </c>
      <c r="J1944" t="s">
        <v>291</v>
      </c>
      <c r="K1944" s="1">
        <v>0.44565653935185184</v>
      </c>
      <c r="L1944">
        <f>YEAR(Coffe_sales[[#This Row],[Date]])</f>
        <v>2024</v>
      </c>
    </row>
    <row r="1945" spans="1:12" x14ac:dyDescent="0.2">
      <c r="A1945" t="s">
        <v>11</v>
      </c>
      <c r="B1945" t="s">
        <v>12</v>
      </c>
      <c r="C1945">
        <v>25.96</v>
      </c>
      <c r="D1945" t="s">
        <v>41</v>
      </c>
      <c r="E1945" t="s">
        <v>14</v>
      </c>
      <c r="F1945" t="s">
        <v>42</v>
      </c>
      <c r="G1945" t="s">
        <v>270</v>
      </c>
      <c r="H1945" t="s">
        <v>43</v>
      </c>
      <c r="I1945" t="s">
        <v>11</v>
      </c>
      <c r="J1945" t="s">
        <v>291</v>
      </c>
      <c r="K1945" s="1">
        <v>0.44624484953703702</v>
      </c>
      <c r="L1945">
        <f>YEAR(Coffe_sales[[#This Row],[Date]])</f>
        <v>2024</v>
      </c>
    </row>
    <row r="1946" spans="1:12" x14ac:dyDescent="0.2">
      <c r="A1946" t="s">
        <v>35</v>
      </c>
      <c r="B1946" t="s">
        <v>12</v>
      </c>
      <c r="C1946">
        <v>21.06</v>
      </c>
      <c r="D1946" t="s">
        <v>45</v>
      </c>
      <c r="E1946" t="s">
        <v>14</v>
      </c>
      <c r="F1946" t="s">
        <v>42</v>
      </c>
      <c r="G1946" t="s">
        <v>270</v>
      </c>
      <c r="H1946" t="s">
        <v>43</v>
      </c>
      <c r="I1946" t="s">
        <v>11</v>
      </c>
      <c r="J1946" t="s">
        <v>291</v>
      </c>
      <c r="K1946" s="1">
        <v>0.47756543981481481</v>
      </c>
      <c r="L1946">
        <f>YEAR(Coffe_sales[[#This Row],[Date]])</f>
        <v>2024</v>
      </c>
    </row>
    <row r="1947" spans="1:12" x14ac:dyDescent="0.2">
      <c r="A1947" t="s">
        <v>20</v>
      </c>
      <c r="B1947" t="s">
        <v>12</v>
      </c>
      <c r="C1947">
        <v>35.76</v>
      </c>
      <c r="D1947" t="s">
        <v>52</v>
      </c>
      <c r="E1947" t="s">
        <v>22</v>
      </c>
      <c r="F1947" t="s">
        <v>42</v>
      </c>
      <c r="G1947" t="s">
        <v>270</v>
      </c>
      <c r="H1947" t="s">
        <v>43</v>
      </c>
      <c r="I1947" t="s">
        <v>11</v>
      </c>
      <c r="J1947" t="s">
        <v>291</v>
      </c>
      <c r="K1947" s="1">
        <v>0.52805895833333338</v>
      </c>
      <c r="L1947">
        <f>YEAR(Coffe_sales[[#This Row],[Date]])</f>
        <v>2024</v>
      </c>
    </row>
    <row r="1948" spans="1:12" x14ac:dyDescent="0.2">
      <c r="A1948" t="s">
        <v>36</v>
      </c>
      <c r="B1948" t="s">
        <v>12</v>
      </c>
      <c r="C1948">
        <v>35.76</v>
      </c>
      <c r="D1948" t="s">
        <v>13</v>
      </c>
      <c r="E1948" t="s">
        <v>22</v>
      </c>
      <c r="F1948" t="s">
        <v>42</v>
      </c>
      <c r="G1948" t="s">
        <v>270</v>
      </c>
      <c r="H1948" t="s">
        <v>43</v>
      </c>
      <c r="I1948" t="s">
        <v>11</v>
      </c>
      <c r="J1948" t="s">
        <v>291</v>
      </c>
      <c r="K1948" s="1">
        <v>0.61314871527777781</v>
      </c>
      <c r="L1948">
        <f>YEAR(Coffe_sales[[#This Row],[Date]])</f>
        <v>2024</v>
      </c>
    </row>
    <row r="1949" spans="1:12" x14ac:dyDescent="0.2">
      <c r="A1949" t="s">
        <v>36</v>
      </c>
      <c r="B1949" t="s">
        <v>12</v>
      </c>
      <c r="C1949">
        <v>35.76</v>
      </c>
      <c r="D1949" t="s">
        <v>13</v>
      </c>
      <c r="E1949" t="s">
        <v>22</v>
      </c>
      <c r="F1949" t="s">
        <v>42</v>
      </c>
      <c r="G1949" t="s">
        <v>270</v>
      </c>
      <c r="H1949" t="s">
        <v>43</v>
      </c>
      <c r="I1949" t="s">
        <v>11</v>
      </c>
      <c r="J1949" t="s">
        <v>291</v>
      </c>
      <c r="K1949" s="1">
        <v>0.61386628472222227</v>
      </c>
      <c r="L1949">
        <f>YEAR(Coffe_sales[[#This Row],[Date]])</f>
        <v>2024</v>
      </c>
    </row>
    <row r="1950" spans="1:12" x14ac:dyDescent="0.2">
      <c r="A1950" t="s">
        <v>25</v>
      </c>
      <c r="B1950" t="s">
        <v>12</v>
      </c>
      <c r="C1950">
        <v>30.86</v>
      </c>
      <c r="D1950" t="s">
        <v>26</v>
      </c>
      <c r="E1950" t="s">
        <v>22</v>
      </c>
      <c r="F1950" t="s">
        <v>42</v>
      </c>
      <c r="G1950" t="s">
        <v>270</v>
      </c>
      <c r="H1950" t="s">
        <v>43</v>
      </c>
      <c r="I1950" t="s">
        <v>11</v>
      </c>
      <c r="J1950" t="s">
        <v>291</v>
      </c>
      <c r="K1950" s="1">
        <v>0.64377825231481478</v>
      </c>
      <c r="L1950">
        <f>YEAR(Coffe_sales[[#This Row],[Date]])</f>
        <v>2024</v>
      </c>
    </row>
    <row r="1951" spans="1:12" x14ac:dyDescent="0.2">
      <c r="A1951" t="s">
        <v>25</v>
      </c>
      <c r="B1951" t="s">
        <v>12</v>
      </c>
      <c r="C1951">
        <v>25.96</v>
      </c>
      <c r="D1951" t="s">
        <v>41</v>
      </c>
      <c r="E1951" t="s">
        <v>22</v>
      </c>
      <c r="F1951" t="s">
        <v>42</v>
      </c>
      <c r="G1951" t="s">
        <v>270</v>
      </c>
      <c r="H1951" t="s">
        <v>43</v>
      </c>
      <c r="I1951" t="s">
        <v>11</v>
      </c>
      <c r="J1951" t="s">
        <v>291</v>
      </c>
      <c r="K1951" s="1">
        <v>0.65213756944444445</v>
      </c>
      <c r="L1951">
        <f>YEAR(Coffe_sales[[#This Row],[Date]])</f>
        <v>2024</v>
      </c>
    </row>
    <row r="1952" spans="1:12" x14ac:dyDescent="0.2">
      <c r="A1952" t="s">
        <v>27</v>
      </c>
      <c r="B1952" t="s">
        <v>12</v>
      </c>
      <c r="C1952">
        <v>35.76</v>
      </c>
      <c r="D1952" t="s">
        <v>31</v>
      </c>
      <c r="E1952" t="s">
        <v>22</v>
      </c>
      <c r="F1952" t="s">
        <v>42</v>
      </c>
      <c r="G1952" t="s">
        <v>270</v>
      </c>
      <c r="H1952" t="s">
        <v>43</v>
      </c>
      <c r="I1952" t="s">
        <v>11</v>
      </c>
      <c r="J1952" t="s">
        <v>291</v>
      </c>
      <c r="K1952" s="1">
        <v>0.69649847222222228</v>
      </c>
      <c r="L1952">
        <f>YEAR(Coffe_sales[[#This Row],[Date]])</f>
        <v>2024</v>
      </c>
    </row>
    <row r="1953" spans="1:12" x14ac:dyDescent="0.2">
      <c r="A1953" t="s">
        <v>27</v>
      </c>
      <c r="B1953" t="s">
        <v>12</v>
      </c>
      <c r="C1953">
        <v>35.76</v>
      </c>
      <c r="D1953" t="s">
        <v>13</v>
      </c>
      <c r="E1953" t="s">
        <v>22</v>
      </c>
      <c r="F1953" t="s">
        <v>42</v>
      </c>
      <c r="G1953" t="s">
        <v>270</v>
      </c>
      <c r="H1953" t="s">
        <v>43</v>
      </c>
      <c r="I1953" t="s">
        <v>11</v>
      </c>
      <c r="J1953" t="s">
        <v>291</v>
      </c>
      <c r="K1953" s="1">
        <v>0.7051220949074074</v>
      </c>
      <c r="L1953">
        <f>YEAR(Coffe_sales[[#This Row],[Date]])</f>
        <v>2024</v>
      </c>
    </row>
    <row r="1954" spans="1:12" x14ac:dyDescent="0.2">
      <c r="A1954" t="s">
        <v>30</v>
      </c>
      <c r="B1954" t="s">
        <v>12</v>
      </c>
      <c r="C1954">
        <v>35.76</v>
      </c>
      <c r="D1954" t="s">
        <v>21</v>
      </c>
      <c r="E1954" t="s">
        <v>29</v>
      </c>
      <c r="F1954" t="s">
        <v>42</v>
      </c>
      <c r="G1954" t="s">
        <v>270</v>
      </c>
      <c r="H1954" t="s">
        <v>43</v>
      </c>
      <c r="I1954" t="s">
        <v>11</v>
      </c>
      <c r="J1954" t="s">
        <v>291</v>
      </c>
      <c r="K1954" s="1">
        <v>0.80640453703703707</v>
      </c>
      <c r="L1954">
        <f>YEAR(Coffe_sales[[#This Row],[Date]])</f>
        <v>2024</v>
      </c>
    </row>
    <row r="1955" spans="1:12" x14ac:dyDescent="0.2">
      <c r="A1955" t="s">
        <v>131</v>
      </c>
      <c r="B1955" t="s">
        <v>12</v>
      </c>
      <c r="C1955">
        <v>35.76</v>
      </c>
      <c r="D1955" t="s">
        <v>13</v>
      </c>
      <c r="E1955" t="s">
        <v>29</v>
      </c>
      <c r="F1955" t="s">
        <v>42</v>
      </c>
      <c r="G1955" t="s">
        <v>270</v>
      </c>
      <c r="H1955" t="s">
        <v>43</v>
      </c>
      <c r="I1955" t="s">
        <v>11</v>
      </c>
      <c r="J1955" t="s">
        <v>291</v>
      </c>
      <c r="K1955" s="1">
        <v>0.87889011574074072</v>
      </c>
      <c r="L1955">
        <f>YEAR(Coffe_sales[[#This Row],[Date]])</f>
        <v>2024</v>
      </c>
    </row>
    <row r="1956" spans="1:12" x14ac:dyDescent="0.2">
      <c r="A1956" t="s">
        <v>125</v>
      </c>
      <c r="B1956" t="s">
        <v>12</v>
      </c>
      <c r="C1956">
        <v>35.76</v>
      </c>
      <c r="D1956" t="s">
        <v>31</v>
      </c>
      <c r="E1956" t="s">
        <v>29</v>
      </c>
      <c r="F1956" t="s">
        <v>42</v>
      </c>
      <c r="G1956" t="s">
        <v>270</v>
      </c>
      <c r="H1956" t="s">
        <v>43</v>
      </c>
      <c r="I1956" t="s">
        <v>11</v>
      </c>
      <c r="J1956" t="s">
        <v>291</v>
      </c>
      <c r="K1956" s="1">
        <v>0.93801446759259255</v>
      </c>
      <c r="L1956">
        <f>YEAR(Coffe_sales[[#This Row],[Date]])</f>
        <v>2024</v>
      </c>
    </row>
    <row r="1957" spans="1:12" x14ac:dyDescent="0.2">
      <c r="A1957" t="s">
        <v>125</v>
      </c>
      <c r="B1957" t="s">
        <v>12</v>
      </c>
      <c r="C1957">
        <v>35.76</v>
      </c>
      <c r="D1957" t="s">
        <v>21</v>
      </c>
      <c r="E1957" t="s">
        <v>29</v>
      </c>
      <c r="F1957" t="s">
        <v>42</v>
      </c>
      <c r="G1957" t="s">
        <v>270</v>
      </c>
      <c r="H1957" t="s">
        <v>43</v>
      </c>
      <c r="I1957" t="s">
        <v>11</v>
      </c>
      <c r="J1957" t="s">
        <v>291</v>
      </c>
      <c r="K1957" s="1">
        <v>0.93858756944444444</v>
      </c>
      <c r="L1957">
        <f>YEAR(Coffe_sales[[#This Row],[Date]])</f>
        <v>2024</v>
      </c>
    </row>
    <row r="1958" spans="1:12" x14ac:dyDescent="0.2">
      <c r="A1958" t="s">
        <v>39</v>
      </c>
      <c r="B1958" t="s">
        <v>12</v>
      </c>
      <c r="C1958">
        <v>35.76</v>
      </c>
      <c r="D1958" t="s">
        <v>13</v>
      </c>
      <c r="E1958" t="s">
        <v>14</v>
      </c>
      <c r="F1958" t="s">
        <v>47</v>
      </c>
      <c r="G1958" t="s">
        <v>270</v>
      </c>
      <c r="H1958" t="s">
        <v>48</v>
      </c>
      <c r="I1958" t="s">
        <v>11</v>
      </c>
      <c r="J1958" t="s">
        <v>292</v>
      </c>
      <c r="K1958" s="1">
        <v>0.3145778935185185</v>
      </c>
      <c r="L1958">
        <f>YEAR(Coffe_sales[[#This Row],[Date]])</f>
        <v>2024</v>
      </c>
    </row>
    <row r="1959" spans="1:12" x14ac:dyDescent="0.2">
      <c r="A1959" t="s">
        <v>39</v>
      </c>
      <c r="B1959" t="s">
        <v>12</v>
      </c>
      <c r="C1959">
        <v>35.76</v>
      </c>
      <c r="D1959" t="s">
        <v>52</v>
      </c>
      <c r="E1959" t="s">
        <v>14</v>
      </c>
      <c r="F1959" t="s">
        <v>47</v>
      </c>
      <c r="G1959" t="s">
        <v>270</v>
      </c>
      <c r="H1959" t="s">
        <v>48</v>
      </c>
      <c r="I1959" t="s">
        <v>11</v>
      </c>
      <c r="J1959" t="s">
        <v>292</v>
      </c>
      <c r="K1959" s="1">
        <v>0.31527828703703703</v>
      </c>
      <c r="L1959">
        <f>YEAR(Coffe_sales[[#This Row],[Date]])</f>
        <v>2024</v>
      </c>
    </row>
    <row r="1960" spans="1:12" x14ac:dyDescent="0.2">
      <c r="A1960" t="s">
        <v>123</v>
      </c>
      <c r="B1960" t="s">
        <v>12</v>
      </c>
      <c r="C1960">
        <v>30.86</v>
      </c>
      <c r="D1960" t="s">
        <v>26</v>
      </c>
      <c r="E1960" t="s">
        <v>14</v>
      </c>
      <c r="F1960" t="s">
        <v>47</v>
      </c>
      <c r="G1960" t="s">
        <v>270</v>
      </c>
      <c r="H1960" t="s">
        <v>48</v>
      </c>
      <c r="I1960" t="s">
        <v>11</v>
      </c>
      <c r="J1960" t="s">
        <v>292</v>
      </c>
      <c r="K1960" s="1">
        <v>0.35106736111111109</v>
      </c>
      <c r="L1960">
        <f>YEAR(Coffe_sales[[#This Row],[Date]])</f>
        <v>2024</v>
      </c>
    </row>
    <row r="1961" spans="1:12" x14ac:dyDescent="0.2">
      <c r="A1961" t="s">
        <v>46</v>
      </c>
      <c r="B1961" t="s">
        <v>12</v>
      </c>
      <c r="C1961">
        <v>25.96</v>
      </c>
      <c r="D1961" t="s">
        <v>41</v>
      </c>
      <c r="E1961" t="s">
        <v>14</v>
      </c>
      <c r="F1961" t="s">
        <v>47</v>
      </c>
      <c r="G1961" t="s">
        <v>270</v>
      </c>
      <c r="H1961" t="s">
        <v>48</v>
      </c>
      <c r="I1961" t="s">
        <v>11</v>
      </c>
      <c r="J1961" t="s">
        <v>292</v>
      </c>
      <c r="K1961" s="1">
        <v>0.3873889699074074</v>
      </c>
      <c r="L1961">
        <f>YEAR(Coffe_sales[[#This Row],[Date]])</f>
        <v>2024</v>
      </c>
    </row>
    <row r="1962" spans="1:12" x14ac:dyDescent="0.2">
      <c r="A1962" t="s">
        <v>11</v>
      </c>
      <c r="B1962" t="s">
        <v>12</v>
      </c>
      <c r="C1962">
        <v>21.06</v>
      </c>
      <c r="D1962" t="s">
        <v>45</v>
      </c>
      <c r="E1962" t="s">
        <v>14</v>
      </c>
      <c r="F1962" t="s">
        <v>47</v>
      </c>
      <c r="G1962" t="s">
        <v>270</v>
      </c>
      <c r="H1962" t="s">
        <v>48</v>
      </c>
      <c r="I1962" t="s">
        <v>11</v>
      </c>
      <c r="J1962" t="s">
        <v>292</v>
      </c>
      <c r="K1962" s="1">
        <v>0.45245701388888887</v>
      </c>
      <c r="L1962">
        <f>YEAR(Coffe_sales[[#This Row],[Date]])</f>
        <v>2024</v>
      </c>
    </row>
    <row r="1963" spans="1:12" x14ac:dyDescent="0.2">
      <c r="A1963" t="s">
        <v>11</v>
      </c>
      <c r="B1963" t="s">
        <v>12</v>
      </c>
      <c r="C1963">
        <v>25.96</v>
      </c>
      <c r="D1963" t="s">
        <v>41</v>
      </c>
      <c r="E1963" t="s">
        <v>14</v>
      </c>
      <c r="F1963" t="s">
        <v>47</v>
      </c>
      <c r="G1963" t="s">
        <v>270</v>
      </c>
      <c r="H1963" t="s">
        <v>48</v>
      </c>
      <c r="I1963" t="s">
        <v>11</v>
      </c>
      <c r="J1963" t="s">
        <v>292</v>
      </c>
      <c r="K1963" s="1">
        <v>0.4529757060185185</v>
      </c>
      <c r="L1963">
        <f>YEAR(Coffe_sales[[#This Row],[Date]])</f>
        <v>2024</v>
      </c>
    </row>
    <row r="1964" spans="1:12" x14ac:dyDescent="0.2">
      <c r="A1964" t="s">
        <v>28</v>
      </c>
      <c r="B1964" t="s">
        <v>12</v>
      </c>
      <c r="C1964">
        <v>25.96</v>
      </c>
      <c r="D1964" t="s">
        <v>24</v>
      </c>
      <c r="E1964" t="s">
        <v>29</v>
      </c>
      <c r="F1964" t="s">
        <v>47</v>
      </c>
      <c r="G1964" t="s">
        <v>270</v>
      </c>
      <c r="H1964" t="s">
        <v>48</v>
      </c>
      <c r="I1964" t="s">
        <v>11</v>
      </c>
      <c r="J1964" t="s">
        <v>292</v>
      </c>
      <c r="K1964" s="1">
        <v>0.75489090277777782</v>
      </c>
      <c r="L1964">
        <f>YEAR(Coffe_sales[[#This Row],[Date]])</f>
        <v>2024</v>
      </c>
    </row>
    <row r="1965" spans="1:12" x14ac:dyDescent="0.2">
      <c r="A1965" t="s">
        <v>30</v>
      </c>
      <c r="B1965" t="s">
        <v>12</v>
      </c>
      <c r="C1965">
        <v>35.76</v>
      </c>
      <c r="D1965" t="s">
        <v>21</v>
      </c>
      <c r="E1965" t="s">
        <v>29</v>
      </c>
      <c r="F1965" t="s">
        <v>47</v>
      </c>
      <c r="G1965" t="s">
        <v>270</v>
      </c>
      <c r="H1965" t="s">
        <v>48</v>
      </c>
      <c r="I1965" t="s">
        <v>11</v>
      </c>
      <c r="J1965" t="s">
        <v>292</v>
      </c>
      <c r="K1965" s="1">
        <v>0.82406496527777773</v>
      </c>
      <c r="L1965">
        <f>YEAR(Coffe_sales[[#This Row],[Date]])</f>
        <v>2024</v>
      </c>
    </row>
    <row r="1966" spans="1:12" x14ac:dyDescent="0.2">
      <c r="A1966" t="s">
        <v>30</v>
      </c>
      <c r="B1966" t="s">
        <v>12</v>
      </c>
      <c r="C1966">
        <v>35.76</v>
      </c>
      <c r="D1966" t="s">
        <v>13</v>
      </c>
      <c r="E1966" t="s">
        <v>29</v>
      </c>
      <c r="F1966" t="s">
        <v>47</v>
      </c>
      <c r="G1966" t="s">
        <v>270</v>
      </c>
      <c r="H1966" t="s">
        <v>48</v>
      </c>
      <c r="I1966" t="s">
        <v>11</v>
      </c>
      <c r="J1966" t="s">
        <v>292</v>
      </c>
      <c r="K1966" s="1">
        <v>0.82488965277777782</v>
      </c>
      <c r="L1966">
        <f>YEAR(Coffe_sales[[#This Row],[Date]])</f>
        <v>2024</v>
      </c>
    </row>
    <row r="1967" spans="1:12" x14ac:dyDescent="0.2">
      <c r="A1967" t="s">
        <v>39</v>
      </c>
      <c r="B1967" t="s">
        <v>12</v>
      </c>
      <c r="C1967">
        <v>35.76</v>
      </c>
      <c r="D1967" t="s">
        <v>13</v>
      </c>
      <c r="E1967" t="s">
        <v>14</v>
      </c>
      <c r="F1967" t="s">
        <v>50</v>
      </c>
      <c r="G1967" t="s">
        <v>270</v>
      </c>
      <c r="H1967" t="s">
        <v>18</v>
      </c>
      <c r="I1967" t="s">
        <v>11</v>
      </c>
      <c r="J1967" t="s">
        <v>293</v>
      </c>
      <c r="K1967" s="1">
        <v>0.33202276620370369</v>
      </c>
      <c r="L1967">
        <f>YEAR(Coffe_sales[[#This Row],[Date]])</f>
        <v>2024</v>
      </c>
    </row>
    <row r="1968" spans="1:12" x14ac:dyDescent="0.2">
      <c r="A1968" t="s">
        <v>123</v>
      </c>
      <c r="B1968" t="s">
        <v>12</v>
      </c>
      <c r="C1968">
        <v>30.86</v>
      </c>
      <c r="D1968" t="s">
        <v>26</v>
      </c>
      <c r="E1968" t="s">
        <v>14</v>
      </c>
      <c r="F1968" t="s">
        <v>50</v>
      </c>
      <c r="G1968" t="s">
        <v>270</v>
      </c>
      <c r="H1968" t="s">
        <v>18</v>
      </c>
      <c r="I1968" t="s">
        <v>11</v>
      </c>
      <c r="J1968" t="s">
        <v>293</v>
      </c>
      <c r="K1968" s="1">
        <v>0.3647546064814815</v>
      </c>
      <c r="L1968">
        <f>YEAR(Coffe_sales[[#This Row],[Date]])</f>
        <v>2024</v>
      </c>
    </row>
    <row r="1969" spans="1:12" x14ac:dyDescent="0.2">
      <c r="A1969" t="s">
        <v>11</v>
      </c>
      <c r="B1969" t="s">
        <v>12</v>
      </c>
      <c r="C1969">
        <v>25.96</v>
      </c>
      <c r="D1969" t="s">
        <v>41</v>
      </c>
      <c r="E1969" t="s">
        <v>14</v>
      </c>
      <c r="F1969" t="s">
        <v>50</v>
      </c>
      <c r="G1969" t="s">
        <v>270</v>
      </c>
      <c r="H1969" t="s">
        <v>18</v>
      </c>
      <c r="I1969" t="s">
        <v>11</v>
      </c>
      <c r="J1969" t="s">
        <v>293</v>
      </c>
      <c r="K1969" s="1">
        <v>0.43400218750000003</v>
      </c>
      <c r="L1969">
        <f>YEAR(Coffe_sales[[#This Row],[Date]])</f>
        <v>2024</v>
      </c>
    </row>
    <row r="1970" spans="1:12" x14ac:dyDescent="0.2">
      <c r="A1970" t="s">
        <v>20</v>
      </c>
      <c r="B1970" t="s">
        <v>12</v>
      </c>
      <c r="C1970">
        <v>30.86</v>
      </c>
      <c r="D1970" t="s">
        <v>26</v>
      </c>
      <c r="E1970" t="s">
        <v>22</v>
      </c>
      <c r="F1970" t="s">
        <v>50</v>
      </c>
      <c r="G1970" t="s">
        <v>270</v>
      </c>
      <c r="H1970" t="s">
        <v>18</v>
      </c>
      <c r="I1970" t="s">
        <v>11</v>
      </c>
      <c r="J1970" t="s">
        <v>293</v>
      </c>
      <c r="K1970" s="1">
        <v>0.52159056712962959</v>
      </c>
      <c r="L1970">
        <f>YEAR(Coffe_sales[[#This Row],[Date]])</f>
        <v>2024</v>
      </c>
    </row>
    <row r="1971" spans="1:12" x14ac:dyDescent="0.2">
      <c r="A1971" t="s">
        <v>27</v>
      </c>
      <c r="B1971" t="s">
        <v>12</v>
      </c>
      <c r="C1971">
        <v>30.86</v>
      </c>
      <c r="D1971" t="s">
        <v>26</v>
      </c>
      <c r="E1971" t="s">
        <v>22</v>
      </c>
      <c r="F1971" t="s">
        <v>50</v>
      </c>
      <c r="G1971" t="s">
        <v>270</v>
      </c>
      <c r="H1971" t="s">
        <v>18</v>
      </c>
      <c r="I1971" t="s">
        <v>11</v>
      </c>
      <c r="J1971" t="s">
        <v>293</v>
      </c>
      <c r="K1971" s="1">
        <v>0.68058173611111106</v>
      </c>
      <c r="L1971">
        <f>YEAR(Coffe_sales[[#This Row],[Date]])</f>
        <v>2024</v>
      </c>
    </row>
    <row r="1972" spans="1:12" x14ac:dyDescent="0.2">
      <c r="A1972" t="s">
        <v>27</v>
      </c>
      <c r="B1972" t="s">
        <v>12</v>
      </c>
      <c r="C1972">
        <v>30.86</v>
      </c>
      <c r="D1972" t="s">
        <v>26</v>
      </c>
      <c r="E1972" t="s">
        <v>22</v>
      </c>
      <c r="F1972" t="s">
        <v>50</v>
      </c>
      <c r="G1972" t="s">
        <v>270</v>
      </c>
      <c r="H1972" t="s">
        <v>18</v>
      </c>
      <c r="I1972" t="s">
        <v>11</v>
      </c>
      <c r="J1972" t="s">
        <v>293</v>
      </c>
      <c r="K1972" s="1">
        <v>0.68135457175925929</v>
      </c>
      <c r="L1972">
        <f>YEAR(Coffe_sales[[#This Row],[Date]])</f>
        <v>2024</v>
      </c>
    </row>
    <row r="1973" spans="1:12" x14ac:dyDescent="0.2">
      <c r="A1973" t="s">
        <v>27</v>
      </c>
      <c r="B1973" t="s">
        <v>12</v>
      </c>
      <c r="C1973">
        <v>35.76</v>
      </c>
      <c r="D1973" t="s">
        <v>52</v>
      </c>
      <c r="E1973" t="s">
        <v>22</v>
      </c>
      <c r="F1973" t="s">
        <v>50</v>
      </c>
      <c r="G1973" t="s">
        <v>270</v>
      </c>
      <c r="H1973" t="s">
        <v>18</v>
      </c>
      <c r="I1973" t="s">
        <v>11</v>
      </c>
      <c r="J1973" t="s">
        <v>293</v>
      </c>
      <c r="K1973" s="1">
        <v>0.69618310185185184</v>
      </c>
      <c r="L1973">
        <f>YEAR(Coffe_sales[[#This Row],[Date]])</f>
        <v>2024</v>
      </c>
    </row>
    <row r="1974" spans="1:12" x14ac:dyDescent="0.2">
      <c r="A1974" t="s">
        <v>37</v>
      </c>
      <c r="B1974" t="s">
        <v>12</v>
      </c>
      <c r="C1974">
        <v>21.06</v>
      </c>
      <c r="D1974" t="s">
        <v>45</v>
      </c>
      <c r="E1974" t="s">
        <v>29</v>
      </c>
      <c r="F1974" t="s">
        <v>50</v>
      </c>
      <c r="G1974" t="s">
        <v>270</v>
      </c>
      <c r="H1974" t="s">
        <v>18</v>
      </c>
      <c r="I1974" t="s">
        <v>11</v>
      </c>
      <c r="J1974" t="s">
        <v>293</v>
      </c>
      <c r="K1974" s="1">
        <v>0.71025843749999995</v>
      </c>
      <c r="L1974">
        <f>YEAR(Coffe_sales[[#This Row],[Date]])</f>
        <v>2024</v>
      </c>
    </row>
    <row r="1975" spans="1:12" x14ac:dyDescent="0.2">
      <c r="A1975" t="s">
        <v>28</v>
      </c>
      <c r="B1975" t="s">
        <v>12</v>
      </c>
      <c r="C1975">
        <v>35.76</v>
      </c>
      <c r="D1975" t="s">
        <v>31</v>
      </c>
      <c r="E1975" t="s">
        <v>29</v>
      </c>
      <c r="F1975" t="s">
        <v>50</v>
      </c>
      <c r="G1975" t="s">
        <v>270</v>
      </c>
      <c r="H1975" t="s">
        <v>18</v>
      </c>
      <c r="I1975" t="s">
        <v>11</v>
      </c>
      <c r="J1975" t="s">
        <v>293</v>
      </c>
      <c r="K1975" s="1">
        <v>0.79095498842592593</v>
      </c>
      <c r="L1975">
        <f>YEAR(Coffe_sales[[#This Row],[Date]])</f>
        <v>2024</v>
      </c>
    </row>
    <row r="1976" spans="1:12" x14ac:dyDescent="0.2">
      <c r="A1976" t="s">
        <v>30</v>
      </c>
      <c r="B1976" t="s">
        <v>12</v>
      </c>
      <c r="C1976">
        <v>35.76</v>
      </c>
      <c r="D1976" t="s">
        <v>52</v>
      </c>
      <c r="E1976" t="s">
        <v>29</v>
      </c>
      <c r="F1976" t="s">
        <v>50</v>
      </c>
      <c r="G1976" t="s">
        <v>270</v>
      </c>
      <c r="H1976" t="s">
        <v>18</v>
      </c>
      <c r="I1976" t="s">
        <v>11</v>
      </c>
      <c r="J1976" t="s">
        <v>293</v>
      </c>
      <c r="K1976" s="1">
        <v>0.79216468750000002</v>
      </c>
      <c r="L1976">
        <f>YEAR(Coffe_sales[[#This Row],[Date]])</f>
        <v>2024</v>
      </c>
    </row>
    <row r="1977" spans="1:12" x14ac:dyDescent="0.2">
      <c r="A1977" t="s">
        <v>131</v>
      </c>
      <c r="B1977" t="s">
        <v>12</v>
      </c>
      <c r="C1977">
        <v>30.86</v>
      </c>
      <c r="D1977" t="s">
        <v>26</v>
      </c>
      <c r="E1977" t="s">
        <v>29</v>
      </c>
      <c r="F1977" t="s">
        <v>50</v>
      </c>
      <c r="G1977" t="s">
        <v>270</v>
      </c>
      <c r="H1977" t="s">
        <v>18</v>
      </c>
      <c r="I1977" t="s">
        <v>11</v>
      </c>
      <c r="J1977" t="s">
        <v>293</v>
      </c>
      <c r="K1977" s="1">
        <v>0.91482343749999995</v>
      </c>
      <c r="L1977">
        <f>YEAR(Coffe_sales[[#This Row],[Date]])</f>
        <v>2024</v>
      </c>
    </row>
    <row r="1978" spans="1:12" x14ac:dyDescent="0.2">
      <c r="A1978" t="s">
        <v>131</v>
      </c>
      <c r="B1978" t="s">
        <v>12</v>
      </c>
      <c r="C1978">
        <v>35.76</v>
      </c>
      <c r="D1978" t="s">
        <v>21</v>
      </c>
      <c r="E1978" t="s">
        <v>29</v>
      </c>
      <c r="F1978" t="s">
        <v>50</v>
      </c>
      <c r="G1978" t="s">
        <v>270</v>
      </c>
      <c r="H1978" t="s">
        <v>18</v>
      </c>
      <c r="I1978" t="s">
        <v>11</v>
      </c>
      <c r="J1978" t="s">
        <v>293</v>
      </c>
      <c r="K1978" s="1">
        <v>0.91555262731481479</v>
      </c>
      <c r="L1978">
        <f>YEAR(Coffe_sales[[#This Row],[Date]])</f>
        <v>2024</v>
      </c>
    </row>
    <row r="1979" spans="1:12" x14ac:dyDescent="0.2">
      <c r="A1979" t="s">
        <v>125</v>
      </c>
      <c r="B1979" t="s">
        <v>12</v>
      </c>
      <c r="C1979">
        <v>35.76</v>
      </c>
      <c r="D1979" t="s">
        <v>13</v>
      </c>
      <c r="E1979" t="s">
        <v>29</v>
      </c>
      <c r="F1979" t="s">
        <v>50</v>
      </c>
      <c r="G1979" t="s">
        <v>270</v>
      </c>
      <c r="H1979" t="s">
        <v>18</v>
      </c>
      <c r="I1979" t="s">
        <v>11</v>
      </c>
      <c r="J1979" t="s">
        <v>293</v>
      </c>
      <c r="K1979" s="1">
        <v>0.93308229166666667</v>
      </c>
      <c r="L1979">
        <f>YEAR(Coffe_sales[[#This Row],[Date]])</f>
        <v>2024</v>
      </c>
    </row>
    <row r="1980" spans="1:12" x14ac:dyDescent="0.2">
      <c r="A1980" t="s">
        <v>20</v>
      </c>
      <c r="B1980" t="s">
        <v>12</v>
      </c>
      <c r="C1980">
        <v>25.96</v>
      </c>
      <c r="D1980" t="s">
        <v>24</v>
      </c>
      <c r="E1980" t="s">
        <v>22</v>
      </c>
      <c r="F1980" t="s">
        <v>53</v>
      </c>
      <c r="G1980" t="s">
        <v>270</v>
      </c>
      <c r="H1980" t="s">
        <v>54</v>
      </c>
      <c r="I1980" t="s">
        <v>11</v>
      </c>
      <c r="J1980" t="s">
        <v>294</v>
      </c>
      <c r="K1980" s="1">
        <v>0.50540002314814814</v>
      </c>
      <c r="L1980">
        <f>YEAR(Coffe_sales[[#This Row],[Date]])</f>
        <v>2024</v>
      </c>
    </row>
    <row r="1981" spans="1:12" x14ac:dyDescent="0.2">
      <c r="A1981" t="s">
        <v>23</v>
      </c>
      <c r="B1981" t="s">
        <v>12</v>
      </c>
      <c r="C1981">
        <v>35.76</v>
      </c>
      <c r="D1981" t="s">
        <v>52</v>
      </c>
      <c r="E1981" t="s">
        <v>22</v>
      </c>
      <c r="F1981" t="s">
        <v>53</v>
      </c>
      <c r="G1981" t="s">
        <v>270</v>
      </c>
      <c r="H1981" t="s">
        <v>54</v>
      </c>
      <c r="I1981" t="s">
        <v>11</v>
      </c>
      <c r="J1981" t="s">
        <v>294</v>
      </c>
      <c r="K1981" s="1">
        <v>0.55832848379629629</v>
      </c>
      <c r="L1981">
        <f>YEAR(Coffe_sales[[#This Row],[Date]])</f>
        <v>2024</v>
      </c>
    </row>
    <row r="1982" spans="1:12" x14ac:dyDescent="0.2">
      <c r="A1982" t="s">
        <v>36</v>
      </c>
      <c r="B1982" t="s">
        <v>12</v>
      </c>
      <c r="C1982">
        <v>35.76</v>
      </c>
      <c r="D1982" t="s">
        <v>52</v>
      </c>
      <c r="E1982" t="s">
        <v>22</v>
      </c>
      <c r="F1982" t="s">
        <v>53</v>
      </c>
      <c r="G1982" t="s">
        <v>270</v>
      </c>
      <c r="H1982" t="s">
        <v>54</v>
      </c>
      <c r="I1982" t="s">
        <v>11</v>
      </c>
      <c r="J1982" t="s">
        <v>294</v>
      </c>
      <c r="K1982" s="1">
        <v>0.59012396990740745</v>
      </c>
      <c r="L1982">
        <f>YEAR(Coffe_sales[[#This Row],[Date]])</f>
        <v>2024</v>
      </c>
    </row>
    <row r="1983" spans="1:12" x14ac:dyDescent="0.2">
      <c r="A1983" t="s">
        <v>36</v>
      </c>
      <c r="B1983" t="s">
        <v>12</v>
      </c>
      <c r="C1983">
        <v>35.76</v>
      </c>
      <c r="D1983" t="s">
        <v>21</v>
      </c>
      <c r="E1983" t="s">
        <v>22</v>
      </c>
      <c r="F1983" t="s">
        <v>53</v>
      </c>
      <c r="G1983" t="s">
        <v>270</v>
      </c>
      <c r="H1983" t="s">
        <v>54</v>
      </c>
      <c r="I1983" t="s">
        <v>11</v>
      </c>
      <c r="J1983" t="s">
        <v>294</v>
      </c>
      <c r="K1983" s="1">
        <v>0.61738262731481486</v>
      </c>
      <c r="L1983">
        <f>YEAR(Coffe_sales[[#This Row],[Date]])</f>
        <v>2024</v>
      </c>
    </row>
    <row r="1984" spans="1:12" x14ac:dyDescent="0.2">
      <c r="A1984" t="s">
        <v>36</v>
      </c>
      <c r="B1984" t="s">
        <v>12</v>
      </c>
      <c r="C1984">
        <v>35.76</v>
      </c>
      <c r="D1984" t="s">
        <v>13</v>
      </c>
      <c r="E1984" t="s">
        <v>22</v>
      </c>
      <c r="F1984" t="s">
        <v>53</v>
      </c>
      <c r="G1984" t="s">
        <v>270</v>
      </c>
      <c r="H1984" t="s">
        <v>54</v>
      </c>
      <c r="I1984" t="s">
        <v>11</v>
      </c>
      <c r="J1984" t="s">
        <v>294</v>
      </c>
      <c r="K1984" s="1">
        <v>0.61793217592592597</v>
      </c>
      <c r="L1984">
        <f>YEAR(Coffe_sales[[#This Row],[Date]])</f>
        <v>2024</v>
      </c>
    </row>
    <row r="1985" spans="1:12" x14ac:dyDescent="0.2">
      <c r="A1985" t="s">
        <v>25</v>
      </c>
      <c r="B1985" t="s">
        <v>12</v>
      </c>
      <c r="C1985">
        <v>35.76</v>
      </c>
      <c r="D1985" t="s">
        <v>13</v>
      </c>
      <c r="E1985" t="s">
        <v>22</v>
      </c>
      <c r="F1985" t="s">
        <v>53</v>
      </c>
      <c r="G1985" t="s">
        <v>270</v>
      </c>
      <c r="H1985" t="s">
        <v>54</v>
      </c>
      <c r="I1985" t="s">
        <v>11</v>
      </c>
      <c r="J1985" t="s">
        <v>294</v>
      </c>
      <c r="K1985" s="1">
        <v>0.65801842592592596</v>
      </c>
      <c r="L1985">
        <f>YEAR(Coffe_sales[[#This Row],[Date]])</f>
        <v>2024</v>
      </c>
    </row>
    <row r="1986" spans="1:12" x14ac:dyDescent="0.2">
      <c r="A1986" t="s">
        <v>25</v>
      </c>
      <c r="B1986" t="s">
        <v>12</v>
      </c>
      <c r="C1986">
        <v>35.76</v>
      </c>
      <c r="D1986" t="s">
        <v>13</v>
      </c>
      <c r="E1986" t="s">
        <v>22</v>
      </c>
      <c r="F1986" t="s">
        <v>53</v>
      </c>
      <c r="G1986" t="s">
        <v>270</v>
      </c>
      <c r="H1986" t="s">
        <v>54</v>
      </c>
      <c r="I1986" t="s">
        <v>11</v>
      </c>
      <c r="J1986" t="s">
        <v>294</v>
      </c>
      <c r="K1986" s="1">
        <v>0.65867982638888889</v>
      </c>
      <c r="L1986">
        <f>YEAR(Coffe_sales[[#This Row],[Date]])</f>
        <v>2024</v>
      </c>
    </row>
    <row r="1987" spans="1:12" x14ac:dyDescent="0.2">
      <c r="A1987" t="s">
        <v>28</v>
      </c>
      <c r="B1987" t="s">
        <v>12</v>
      </c>
      <c r="C1987">
        <v>25.96</v>
      </c>
      <c r="D1987" t="s">
        <v>24</v>
      </c>
      <c r="E1987" t="s">
        <v>29</v>
      </c>
      <c r="F1987" t="s">
        <v>53</v>
      </c>
      <c r="G1987" t="s">
        <v>270</v>
      </c>
      <c r="H1987" t="s">
        <v>54</v>
      </c>
      <c r="I1987" t="s">
        <v>11</v>
      </c>
      <c r="J1987" t="s">
        <v>294</v>
      </c>
      <c r="K1987" s="1">
        <v>0.78735321759259258</v>
      </c>
      <c r="L1987">
        <f>YEAR(Coffe_sales[[#This Row],[Date]])</f>
        <v>2024</v>
      </c>
    </row>
    <row r="1988" spans="1:12" x14ac:dyDescent="0.2">
      <c r="A1988" t="s">
        <v>28</v>
      </c>
      <c r="B1988" t="s">
        <v>12</v>
      </c>
      <c r="C1988">
        <v>25.96</v>
      </c>
      <c r="D1988" t="s">
        <v>24</v>
      </c>
      <c r="E1988" t="s">
        <v>29</v>
      </c>
      <c r="F1988" t="s">
        <v>53</v>
      </c>
      <c r="G1988" t="s">
        <v>270</v>
      </c>
      <c r="H1988" t="s">
        <v>54</v>
      </c>
      <c r="I1988" t="s">
        <v>11</v>
      </c>
      <c r="J1988" t="s">
        <v>294</v>
      </c>
      <c r="K1988" s="1">
        <v>0.78828210648148145</v>
      </c>
      <c r="L1988">
        <f>YEAR(Coffe_sales[[#This Row],[Date]])</f>
        <v>2024</v>
      </c>
    </row>
    <row r="1989" spans="1:12" x14ac:dyDescent="0.2">
      <c r="A1989" t="s">
        <v>30</v>
      </c>
      <c r="B1989" t="s">
        <v>12</v>
      </c>
      <c r="C1989">
        <v>35.76</v>
      </c>
      <c r="D1989" t="s">
        <v>13</v>
      </c>
      <c r="E1989" t="s">
        <v>29</v>
      </c>
      <c r="F1989" t="s">
        <v>53</v>
      </c>
      <c r="G1989" t="s">
        <v>270</v>
      </c>
      <c r="H1989" t="s">
        <v>54</v>
      </c>
      <c r="I1989" t="s">
        <v>11</v>
      </c>
      <c r="J1989" t="s">
        <v>294</v>
      </c>
      <c r="K1989" s="1">
        <v>0.82660574074074078</v>
      </c>
      <c r="L1989">
        <f>YEAR(Coffe_sales[[#This Row],[Date]])</f>
        <v>2024</v>
      </c>
    </row>
    <row r="1990" spans="1:12" x14ac:dyDescent="0.2">
      <c r="A1990" t="s">
        <v>91</v>
      </c>
      <c r="B1990" t="s">
        <v>12</v>
      </c>
      <c r="C1990">
        <v>25.96</v>
      </c>
      <c r="D1990" t="s">
        <v>24</v>
      </c>
      <c r="E1990" t="s">
        <v>29</v>
      </c>
      <c r="F1990" t="s">
        <v>53</v>
      </c>
      <c r="G1990" t="s">
        <v>270</v>
      </c>
      <c r="H1990" t="s">
        <v>54</v>
      </c>
      <c r="I1990" t="s">
        <v>11</v>
      </c>
      <c r="J1990" t="s">
        <v>294</v>
      </c>
      <c r="K1990" s="1">
        <v>0.86402171296296293</v>
      </c>
      <c r="L1990">
        <f>YEAR(Coffe_sales[[#This Row],[Date]])</f>
        <v>2024</v>
      </c>
    </row>
    <row r="1991" spans="1:12" x14ac:dyDescent="0.2">
      <c r="A1991" t="s">
        <v>131</v>
      </c>
      <c r="B1991" t="s">
        <v>12</v>
      </c>
      <c r="C1991">
        <v>35.76</v>
      </c>
      <c r="D1991" t="s">
        <v>21</v>
      </c>
      <c r="E1991" t="s">
        <v>29</v>
      </c>
      <c r="F1991" t="s">
        <v>53</v>
      </c>
      <c r="G1991" t="s">
        <v>270</v>
      </c>
      <c r="H1991" t="s">
        <v>54</v>
      </c>
      <c r="I1991" t="s">
        <v>11</v>
      </c>
      <c r="J1991" t="s">
        <v>294</v>
      </c>
      <c r="K1991" s="1">
        <v>0.8852417592592593</v>
      </c>
      <c r="L1991">
        <f>YEAR(Coffe_sales[[#This Row],[Date]])</f>
        <v>2024</v>
      </c>
    </row>
    <row r="1992" spans="1:12" x14ac:dyDescent="0.2">
      <c r="A1992" t="s">
        <v>131</v>
      </c>
      <c r="B1992" t="s">
        <v>12</v>
      </c>
      <c r="C1992">
        <v>35.76</v>
      </c>
      <c r="D1992" t="s">
        <v>21</v>
      </c>
      <c r="E1992" t="s">
        <v>29</v>
      </c>
      <c r="F1992" t="s">
        <v>53</v>
      </c>
      <c r="G1992" t="s">
        <v>270</v>
      </c>
      <c r="H1992" t="s">
        <v>54</v>
      </c>
      <c r="I1992" t="s">
        <v>11</v>
      </c>
      <c r="J1992" t="s">
        <v>294</v>
      </c>
      <c r="K1992" s="1">
        <v>0.88575377314814818</v>
      </c>
      <c r="L1992">
        <f>YEAR(Coffe_sales[[#This Row],[Date]])</f>
        <v>2024</v>
      </c>
    </row>
    <row r="1993" spans="1:12" x14ac:dyDescent="0.2">
      <c r="A1993" t="s">
        <v>131</v>
      </c>
      <c r="B1993" t="s">
        <v>12</v>
      </c>
      <c r="C1993">
        <v>35.76</v>
      </c>
      <c r="D1993" t="s">
        <v>21</v>
      </c>
      <c r="E1993" t="s">
        <v>29</v>
      </c>
      <c r="F1993" t="s">
        <v>53</v>
      </c>
      <c r="G1993" t="s">
        <v>270</v>
      </c>
      <c r="H1993" t="s">
        <v>54</v>
      </c>
      <c r="I1993" t="s">
        <v>11</v>
      </c>
      <c r="J1993" t="s">
        <v>294</v>
      </c>
      <c r="K1993" s="1">
        <v>0.91412109953703702</v>
      </c>
      <c r="L1993">
        <f>YEAR(Coffe_sales[[#This Row],[Date]])</f>
        <v>2024</v>
      </c>
    </row>
    <row r="1994" spans="1:12" x14ac:dyDescent="0.2">
      <c r="A1994" t="s">
        <v>131</v>
      </c>
      <c r="B1994" t="s">
        <v>12</v>
      </c>
      <c r="C1994">
        <v>35.76</v>
      </c>
      <c r="D1994" t="s">
        <v>52</v>
      </c>
      <c r="E1994" t="s">
        <v>29</v>
      </c>
      <c r="F1994" t="s">
        <v>53</v>
      </c>
      <c r="G1994" t="s">
        <v>270</v>
      </c>
      <c r="H1994" t="s">
        <v>54</v>
      </c>
      <c r="I1994" t="s">
        <v>11</v>
      </c>
      <c r="J1994" t="s">
        <v>294</v>
      </c>
      <c r="K1994" s="1">
        <v>0.91469939814814816</v>
      </c>
      <c r="L1994">
        <f>YEAR(Coffe_sales[[#This Row],[Date]])</f>
        <v>2024</v>
      </c>
    </row>
    <row r="1995" spans="1:12" x14ac:dyDescent="0.2">
      <c r="A1995" t="s">
        <v>39</v>
      </c>
      <c r="B1995" t="s">
        <v>12</v>
      </c>
      <c r="C1995">
        <v>35.76</v>
      </c>
      <c r="D1995" t="s">
        <v>52</v>
      </c>
      <c r="E1995" t="s">
        <v>14</v>
      </c>
      <c r="F1995" t="s">
        <v>15</v>
      </c>
      <c r="G1995" t="s">
        <v>270</v>
      </c>
      <c r="H1995" t="s">
        <v>17</v>
      </c>
      <c r="I1995" t="s">
        <v>11</v>
      </c>
      <c r="J1995" t="s">
        <v>295</v>
      </c>
      <c r="K1995" s="1">
        <v>0.31818454861111112</v>
      </c>
      <c r="L1995">
        <f>YEAR(Coffe_sales[[#This Row],[Date]])</f>
        <v>2024</v>
      </c>
    </row>
    <row r="1996" spans="1:12" x14ac:dyDescent="0.2">
      <c r="A1996" t="s">
        <v>39</v>
      </c>
      <c r="B1996" t="s">
        <v>12</v>
      </c>
      <c r="C1996">
        <v>21.06</v>
      </c>
      <c r="D1996" t="s">
        <v>45</v>
      </c>
      <c r="E1996" t="s">
        <v>14</v>
      </c>
      <c r="F1996" t="s">
        <v>15</v>
      </c>
      <c r="G1996" t="s">
        <v>270</v>
      </c>
      <c r="H1996" t="s">
        <v>17</v>
      </c>
      <c r="I1996" t="s">
        <v>11</v>
      </c>
      <c r="J1996" t="s">
        <v>295</v>
      </c>
      <c r="K1996" s="1">
        <v>0.32318116898148147</v>
      </c>
      <c r="L1996">
        <f>YEAR(Coffe_sales[[#This Row],[Date]])</f>
        <v>2024</v>
      </c>
    </row>
    <row r="1997" spans="1:12" x14ac:dyDescent="0.2">
      <c r="A1997" t="s">
        <v>123</v>
      </c>
      <c r="B1997" t="s">
        <v>12</v>
      </c>
      <c r="C1997">
        <v>35.76</v>
      </c>
      <c r="D1997" t="s">
        <v>31</v>
      </c>
      <c r="E1997" t="s">
        <v>14</v>
      </c>
      <c r="F1997" t="s">
        <v>15</v>
      </c>
      <c r="G1997" t="s">
        <v>270</v>
      </c>
      <c r="H1997" t="s">
        <v>17</v>
      </c>
      <c r="I1997" t="s">
        <v>11</v>
      </c>
      <c r="J1997" t="s">
        <v>295</v>
      </c>
      <c r="K1997" s="1">
        <v>0.3403334837962963</v>
      </c>
      <c r="L1997">
        <f>YEAR(Coffe_sales[[#This Row],[Date]])</f>
        <v>2024</v>
      </c>
    </row>
    <row r="1998" spans="1:12" x14ac:dyDescent="0.2">
      <c r="A1998" t="s">
        <v>123</v>
      </c>
      <c r="B1998" t="s">
        <v>12</v>
      </c>
      <c r="C1998">
        <v>35.76</v>
      </c>
      <c r="D1998" t="s">
        <v>13</v>
      </c>
      <c r="E1998" t="s">
        <v>14</v>
      </c>
      <c r="F1998" t="s">
        <v>15</v>
      </c>
      <c r="G1998" t="s">
        <v>270</v>
      </c>
      <c r="H1998" t="s">
        <v>17</v>
      </c>
      <c r="I1998" t="s">
        <v>11</v>
      </c>
      <c r="J1998" t="s">
        <v>295</v>
      </c>
      <c r="K1998" s="1">
        <v>0.34090934027777775</v>
      </c>
      <c r="L1998">
        <f>YEAR(Coffe_sales[[#This Row],[Date]])</f>
        <v>2024</v>
      </c>
    </row>
    <row r="1999" spans="1:12" x14ac:dyDescent="0.2">
      <c r="A1999" t="s">
        <v>123</v>
      </c>
      <c r="B1999" t="s">
        <v>12</v>
      </c>
      <c r="C1999">
        <v>35.76</v>
      </c>
      <c r="D1999" t="s">
        <v>31</v>
      </c>
      <c r="E1999" t="s">
        <v>14</v>
      </c>
      <c r="F1999" t="s">
        <v>15</v>
      </c>
      <c r="G1999" t="s">
        <v>270</v>
      </c>
      <c r="H1999" t="s">
        <v>17</v>
      </c>
      <c r="I1999" t="s">
        <v>11</v>
      </c>
      <c r="J1999" t="s">
        <v>295</v>
      </c>
      <c r="K1999" s="1">
        <v>0.34640949074074073</v>
      </c>
      <c r="L1999">
        <f>YEAR(Coffe_sales[[#This Row],[Date]])</f>
        <v>2024</v>
      </c>
    </row>
    <row r="2000" spans="1:12" x14ac:dyDescent="0.2">
      <c r="A2000" t="s">
        <v>11</v>
      </c>
      <c r="B2000" t="s">
        <v>12</v>
      </c>
      <c r="C2000">
        <v>25.96</v>
      </c>
      <c r="D2000" t="s">
        <v>24</v>
      </c>
      <c r="E2000" t="s">
        <v>14</v>
      </c>
      <c r="F2000" t="s">
        <v>15</v>
      </c>
      <c r="G2000" t="s">
        <v>270</v>
      </c>
      <c r="H2000" t="s">
        <v>17</v>
      </c>
      <c r="I2000" t="s">
        <v>11</v>
      </c>
      <c r="J2000" t="s">
        <v>295</v>
      </c>
      <c r="K2000" s="1">
        <v>0.41907759259259258</v>
      </c>
      <c r="L2000">
        <f>YEAR(Coffe_sales[[#This Row],[Date]])</f>
        <v>2024</v>
      </c>
    </row>
    <row r="2001" spans="1:12" x14ac:dyDescent="0.2">
      <c r="A2001" t="s">
        <v>11</v>
      </c>
      <c r="B2001" t="s">
        <v>12</v>
      </c>
      <c r="C2001">
        <v>25.96</v>
      </c>
      <c r="D2001" t="s">
        <v>24</v>
      </c>
      <c r="E2001" t="s">
        <v>14</v>
      </c>
      <c r="F2001" t="s">
        <v>15</v>
      </c>
      <c r="G2001" t="s">
        <v>270</v>
      </c>
      <c r="H2001" t="s">
        <v>17</v>
      </c>
      <c r="I2001" t="s">
        <v>11</v>
      </c>
      <c r="J2001" t="s">
        <v>295</v>
      </c>
      <c r="K2001" s="1">
        <v>0.42038208333333332</v>
      </c>
      <c r="L2001">
        <f>YEAR(Coffe_sales[[#This Row],[Date]])</f>
        <v>2024</v>
      </c>
    </row>
    <row r="2002" spans="1:12" x14ac:dyDescent="0.2">
      <c r="A2002" t="s">
        <v>11</v>
      </c>
      <c r="B2002" t="s">
        <v>12</v>
      </c>
      <c r="C2002">
        <v>30.86</v>
      </c>
      <c r="D2002" t="s">
        <v>26</v>
      </c>
      <c r="E2002" t="s">
        <v>14</v>
      </c>
      <c r="F2002" t="s">
        <v>15</v>
      </c>
      <c r="G2002" t="s">
        <v>270</v>
      </c>
      <c r="H2002" t="s">
        <v>17</v>
      </c>
      <c r="I2002" t="s">
        <v>11</v>
      </c>
      <c r="J2002" t="s">
        <v>295</v>
      </c>
      <c r="K2002" s="1">
        <v>0.4520983564814815</v>
      </c>
      <c r="L2002">
        <f>YEAR(Coffe_sales[[#This Row],[Date]])</f>
        <v>2024</v>
      </c>
    </row>
    <row r="2003" spans="1:12" x14ac:dyDescent="0.2">
      <c r="A2003" t="s">
        <v>35</v>
      </c>
      <c r="B2003" t="s">
        <v>12</v>
      </c>
      <c r="C2003">
        <v>35.76</v>
      </c>
      <c r="D2003" t="s">
        <v>31</v>
      </c>
      <c r="E2003" t="s">
        <v>14</v>
      </c>
      <c r="F2003" t="s">
        <v>15</v>
      </c>
      <c r="G2003" t="s">
        <v>270</v>
      </c>
      <c r="H2003" t="s">
        <v>17</v>
      </c>
      <c r="I2003" t="s">
        <v>11</v>
      </c>
      <c r="J2003" t="s">
        <v>295</v>
      </c>
      <c r="K2003" s="1">
        <v>0.49285736111111111</v>
      </c>
      <c r="L2003">
        <f>YEAR(Coffe_sales[[#This Row],[Date]])</f>
        <v>2024</v>
      </c>
    </row>
    <row r="2004" spans="1:12" x14ac:dyDescent="0.2">
      <c r="A2004" t="s">
        <v>35</v>
      </c>
      <c r="B2004" t="s">
        <v>12</v>
      </c>
      <c r="C2004">
        <v>35.76</v>
      </c>
      <c r="D2004" t="s">
        <v>31</v>
      </c>
      <c r="E2004" t="s">
        <v>14</v>
      </c>
      <c r="F2004" t="s">
        <v>15</v>
      </c>
      <c r="G2004" t="s">
        <v>270</v>
      </c>
      <c r="H2004" t="s">
        <v>17</v>
      </c>
      <c r="I2004" t="s">
        <v>11</v>
      </c>
      <c r="J2004" t="s">
        <v>295</v>
      </c>
      <c r="K2004" s="1">
        <v>0.49340738425925929</v>
      </c>
      <c r="L2004">
        <f>YEAR(Coffe_sales[[#This Row],[Date]])</f>
        <v>2024</v>
      </c>
    </row>
    <row r="2005" spans="1:12" x14ac:dyDescent="0.2">
      <c r="A2005" t="s">
        <v>20</v>
      </c>
      <c r="B2005" t="s">
        <v>12</v>
      </c>
      <c r="C2005">
        <v>25.96</v>
      </c>
      <c r="D2005" t="s">
        <v>41</v>
      </c>
      <c r="E2005" t="s">
        <v>22</v>
      </c>
      <c r="F2005" t="s">
        <v>15</v>
      </c>
      <c r="G2005" t="s">
        <v>270</v>
      </c>
      <c r="H2005" t="s">
        <v>17</v>
      </c>
      <c r="I2005" t="s">
        <v>11</v>
      </c>
      <c r="J2005" t="s">
        <v>295</v>
      </c>
      <c r="K2005" s="1">
        <v>0.50474740740740742</v>
      </c>
      <c r="L2005">
        <f>YEAR(Coffe_sales[[#This Row],[Date]])</f>
        <v>2024</v>
      </c>
    </row>
    <row r="2006" spans="1:12" x14ac:dyDescent="0.2">
      <c r="A2006" t="s">
        <v>20</v>
      </c>
      <c r="B2006" t="s">
        <v>12</v>
      </c>
      <c r="C2006">
        <v>35.76</v>
      </c>
      <c r="D2006" t="s">
        <v>13</v>
      </c>
      <c r="E2006" t="s">
        <v>22</v>
      </c>
      <c r="F2006" t="s">
        <v>15</v>
      </c>
      <c r="G2006" t="s">
        <v>270</v>
      </c>
      <c r="H2006" t="s">
        <v>17</v>
      </c>
      <c r="I2006" t="s">
        <v>11</v>
      </c>
      <c r="J2006" t="s">
        <v>295</v>
      </c>
      <c r="K2006" s="1">
        <v>0.52821141203703703</v>
      </c>
      <c r="L2006">
        <f>YEAR(Coffe_sales[[#This Row],[Date]])</f>
        <v>2024</v>
      </c>
    </row>
    <row r="2007" spans="1:12" x14ac:dyDescent="0.2">
      <c r="A2007" t="s">
        <v>36</v>
      </c>
      <c r="B2007" t="s">
        <v>12</v>
      </c>
      <c r="C2007">
        <v>35.76</v>
      </c>
      <c r="D2007" t="s">
        <v>52</v>
      </c>
      <c r="E2007" t="s">
        <v>22</v>
      </c>
      <c r="F2007" t="s">
        <v>15</v>
      </c>
      <c r="G2007" t="s">
        <v>270</v>
      </c>
      <c r="H2007" t="s">
        <v>17</v>
      </c>
      <c r="I2007" t="s">
        <v>11</v>
      </c>
      <c r="J2007" t="s">
        <v>295</v>
      </c>
      <c r="K2007" s="1">
        <v>0.59949731481481483</v>
      </c>
      <c r="L2007">
        <f>YEAR(Coffe_sales[[#This Row],[Date]])</f>
        <v>2024</v>
      </c>
    </row>
    <row r="2008" spans="1:12" x14ac:dyDescent="0.2">
      <c r="A2008" t="s">
        <v>125</v>
      </c>
      <c r="B2008" t="s">
        <v>12</v>
      </c>
      <c r="C2008">
        <v>35.76</v>
      </c>
      <c r="D2008" t="s">
        <v>21</v>
      </c>
      <c r="E2008" t="s">
        <v>29</v>
      </c>
      <c r="F2008" t="s">
        <v>15</v>
      </c>
      <c r="G2008" t="s">
        <v>270</v>
      </c>
      <c r="H2008" t="s">
        <v>17</v>
      </c>
      <c r="I2008" t="s">
        <v>11</v>
      </c>
      <c r="J2008" t="s">
        <v>295</v>
      </c>
      <c r="K2008" s="1">
        <v>0.93013841435185185</v>
      </c>
      <c r="L2008">
        <f>YEAR(Coffe_sales[[#This Row],[Date]])</f>
        <v>2024</v>
      </c>
    </row>
    <row r="2009" spans="1:12" x14ac:dyDescent="0.2">
      <c r="A2009" t="s">
        <v>125</v>
      </c>
      <c r="B2009" t="s">
        <v>12</v>
      </c>
      <c r="C2009">
        <v>21.06</v>
      </c>
      <c r="D2009" t="s">
        <v>45</v>
      </c>
      <c r="E2009" t="s">
        <v>29</v>
      </c>
      <c r="F2009" t="s">
        <v>15</v>
      </c>
      <c r="G2009" t="s">
        <v>270</v>
      </c>
      <c r="H2009" t="s">
        <v>17</v>
      </c>
      <c r="I2009" t="s">
        <v>11</v>
      </c>
      <c r="J2009" t="s">
        <v>295</v>
      </c>
      <c r="K2009" s="1">
        <v>0.93231186342592598</v>
      </c>
      <c r="L2009">
        <f>YEAR(Coffe_sales[[#This Row],[Date]])</f>
        <v>2024</v>
      </c>
    </row>
    <row r="2010" spans="1:12" x14ac:dyDescent="0.2">
      <c r="A2010" t="s">
        <v>39</v>
      </c>
      <c r="B2010" t="s">
        <v>12</v>
      </c>
      <c r="C2010">
        <v>35.76</v>
      </c>
      <c r="D2010" t="s">
        <v>52</v>
      </c>
      <c r="E2010" t="s">
        <v>14</v>
      </c>
      <c r="F2010" t="s">
        <v>32</v>
      </c>
      <c r="G2010" t="s">
        <v>270</v>
      </c>
      <c r="H2010" t="s">
        <v>33</v>
      </c>
      <c r="I2010" t="s">
        <v>11</v>
      </c>
      <c r="J2010" t="s">
        <v>296</v>
      </c>
      <c r="K2010" s="1">
        <v>0.32637993055555553</v>
      </c>
      <c r="L2010">
        <f>YEAR(Coffe_sales[[#This Row],[Date]])</f>
        <v>2024</v>
      </c>
    </row>
    <row r="2011" spans="1:12" x14ac:dyDescent="0.2">
      <c r="A2011" t="s">
        <v>123</v>
      </c>
      <c r="B2011" t="s">
        <v>12</v>
      </c>
      <c r="C2011">
        <v>25.96</v>
      </c>
      <c r="D2011" t="s">
        <v>41</v>
      </c>
      <c r="E2011" t="s">
        <v>14</v>
      </c>
      <c r="F2011" t="s">
        <v>32</v>
      </c>
      <c r="G2011" t="s">
        <v>270</v>
      </c>
      <c r="H2011" t="s">
        <v>33</v>
      </c>
      <c r="I2011" t="s">
        <v>11</v>
      </c>
      <c r="J2011" t="s">
        <v>296</v>
      </c>
      <c r="K2011" s="1">
        <v>0.36232062500000001</v>
      </c>
      <c r="L2011">
        <f>YEAR(Coffe_sales[[#This Row],[Date]])</f>
        <v>2024</v>
      </c>
    </row>
    <row r="2012" spans="1:12" x14ac:dyDescent="0.2">
      <c r="A2012" t="s">
        <v>123</v>
      </c>
      <c r="B2012" t="s">
        <v>12</v>
      </c>
      <c r="C2012">
        <v>35.76</v>
      </c>
      <c r="D2012" t="s">
        <v>52</v>
      </c>
      <c r="E2012" t="s">
        <v>14</v>
      </c>
      <c r="F2012" t="s">
        <v>32</v>
      </c>
      <c r="G2012" t="s">
        <v>270</v>
      </c>
      <c r="H2012" t="s">
        <v>33</v>
      </c>
      <c r="I2012" t="s">
        <v>11</v>
      </c>
      <c r="J2012" t="s">
        <v>296</v>
      </c>
      <c r="K2012" s="1">
        <v>0.37013374999999998</v>
      </c>
      <c r="L2012">
        <f>YEAR(Coffe_sales[[#This Row],[Date]])</f>
        <v>2024</v>
      </c>
    </row>
    <row r="2013" spans="1:12" x14ac:dyDescent="0.2">
      <c r="A2013" t="s">
        <v>11</v>
      </c>
      <c r="B2013" t="s">
        <v>12</v>
      </c>
      <c r="C2013">
        <v>25.96</v>
      </c>
      <c r="D2013" t="s">
        <v>24</v>
      </c>
      <c r="E2013" t="s">
        <v>14</v>
      </c>
      <c r="F2013" t="s">
        <v>32</v>
      </c>
      <c r="G2013" t="s">
        <v>270</v>
      </c>
      <c r="H2013" t="s">
        <v>33</v>
      </c>
      <c r="I2013" t="s">
        <v>11</v>
      </c>
      <c r="J2013" t="s">
        <v>296</v>
      </c>
      <c r="K2013" s="1">
        <v>0.43377663194444444</v>
      </c>
      <c r="L2013">
        <f>YEAR(Coffe_sales[[#This Row],[Date]])</f>
        <v>2024</v>
      </c>
    </row>
    <row r="2014" spans="1:12" x14ac:dyDescent="0.2">
      <c r="A2014" t="s">
        <v>20</v>
      </c>
      <c r="B2014" t="s">
        <v>12</v>
      </c>
      <c r="C2014">
        <v>35.76</v>
      </c>
      <c r="D2014" t="s">
        <v>31</v>
      </c>
      <c r="E2014" t="s">
        <v>22</v>
      </c>
      <c r="F2014" t="s">
        <v>32</v>
      </c>
      <c r="G2014" t="s">
        <v>270</v>
      </c>
      <c r="H2014" t="s">
        <v>33</v>
      </c>
      <c r="I2014" t="s">
        <v>11</v>
      </c>
      <c r="J2014" t="s">
        <v>296</v>
      </c>
      <c r="K2014" s="1">
        <v>0.51260812499999997</v>
      </c>
      <c r="L2014">
        <f>YEAR(Coffe_sales[[#This Row],[Date]])</f>
        <v>2024</v>
      </c>
    </row>
    <row r="2015" spans="1:12" x14ac:dyDescent="0.2">
      <c r="A2015" t="s">
        <v>23</v>
      </c>
      <c r="B2015" t="s">
        <v>12</v>
      </c>
      <c r="C2015">
        <v>35.76</v>
      </c>
      <c r="D2015" t="s">
        <v>13</v>
      </c>
      <c r="E2015" t="s">
        <v>22</v>
      </c>
      <c r="F2015" t="s">
        <v>32</v>
      </c>
      <c r="G2015" t="s">
        <v>270</v>
      </c>
      <c r="H2015" t="s">
        <v>33</v>
      </c>
      <c r="I2015" t="s">
        <v>11</v>
      </c>
      <c r="J2015" t="s">
        <v>296</v>
      </c>
      <c r="K2015" s="1">
        <v>0.5441092476851852</v>
      </c>
      <c r="L2015">
        <f>YEAR(Coffe_sales[[#This Row],[Date]])</f>
        <v>2024</v>
      </c>
    </row>
    <row r="2016" spans="1:12" x14ac:dyDescent="0.2">
      <c r="A2016" t="s">
        <v>36</v>
      </c>
      <c r="B2016" t="s">
        <v>12</v>
      </c>
      <c r="C2016">
        <v>35.76</v>
      </c>
      <c r="D2016" t="s">
        <v>13</v>
      </c>
      <c r="E2016" t="s">
        <v>22</v>
      </c>
      <c r="F2016" t="s">
        <v>32</v>
      </c>
      <c r="G2016" t="s">
        <v>270</v>
      </c>
      <c r="H2016" t="s">
        <v>33</v>
      </c>
      <c r="I2016" t="s">
        <v>11</v>
      </c>
      <c r="J2016" t="s">
        <v>296</v>
      </c>
      <c r="K2016" s="1">
        <v>0.60762331018518523</v>
      </c>
      <c r="L2016">
        <f>YEAR(Coffe_sales[[#This Row],[Date]])</f>
        <v>2024</v>
      </c>
    </row>
    <row r="2017" spans="1:12" x14ac:dyDescent="0.2">
      <c r="A2017" t="s">
        <v>36</v>
      </c>
      <c r="B2017" t="s">
        <v>12</v>
      </c>
      <c r="C2017">
        <v>30.86</v>
      </c>
      <c r="D2017" t="s">
        <v>26</v>
      </c>
      <c r="E2017" t="s">
        <v>22</v>
      </c>
      <c r="F2017" t="s">
        <v>32</v>
      </c>
      <c r="G2017" t="s">
        <v>270</v>
      </c>
      <c r="H2017" t="s">
        <v>33</v>
      </c>
      <c r="I2017" t="s">
        <v>11</v>
      </c>
      <c r="J2017" t="s">
        <v>296</v>
      </c>
      <c r="K2017" s="1">
        <v>0.60850628472222223</v>
      </c>
      <c r="L2017">
        <f>YEAR(Coffe_sales[[#This Row],[Date]])</f>
        <v>2024</v>
      </c>
    </row>
    <row r="2018" spans="1:12" x14ac:dyDescent="0.2">
      <c r="A2018" t="s">
        <v>25</v>
      </c>
      <c r="B2018" t="s">
        <v>12</v>
      </c>
      <c r="C2018">
        <v>25.96</v>
      </c>
      <c r="D2018" t="s">
        <v>41</v>
      </c>
      <c r="E2018" t="s">
        <v>22</v>
      </c>
      <c r="F2018" t="s">
        <v>32</v>
      </c>
      <c r="G2018" t="s">
        <v>270</v>
      </c>
      <c r="H2018" t="s">
        <v>33</v>
      </c>
      <c r="I2018" t="s">
        <v>11</v>
      </c>
      <c r="J2018" t="s">
        <v>296</v>
      </c>
      <c r="K2018" s="1">
        <v>0.62872768518518518</v>
      </c>
      <c r="L2018">
        <f>YEAR(Coffe_sales[[#This Row],[Date]])</f>
        <v>2024</v>
      </c>
    </row>
    <row r="2019" spans="1:12" x14ac:dyDescent="0.2">
      <c r="A2019" t="s">
        <v>25</v>
      </c>
      <c r="B2019" t="s">
        <v>12</v>
      </c>
      <c r="C2019">
        <v>25.96</v>
      </c>
      <c r="D2019" t="s">
        <v>41</v>
      </c>
      <c r="E2019" t="s">
        <v>22</v>
      </c>
      <c r="F2019" t="s">
        <v>32</v>
      </c>
      <c r="G2019" t="s">
        <v>270</v>
      </c>
      <c r="H2019" t="s">
        <v>33</v>
      </c>
      <c r="I2019" t="s">
        <v>11</v>
      </c>
      <c r="J2019" t="s">
        <v>296</v>
      </c>
      <c r="K2019" s="1">
        <v>0.62938743055555557</v>
      </c>
      <c r="L2019">
        <f>YEAR(Coffe_sales[[#This Row],[Date]])</f>
        <v>2024</v>
      </c>
    </row>
    <row r="2020" spans="1:12" x14ac:dyDescent="0.2">
      <c r="A2020" t="s">
        <v>25</v>
      </c>
      <c r="B2020" t="s">
        <v>12</v>
      </c>
      <c r="C2020">
        <v>35.76</v>
      </c>
      <c r="D2020" t="s">
        <v>13</v>
      </c>
      <c r="E2020" t="s">
        <v>22</v>
      </c>
      <c r="F2020" t="s">
        <v>32</v>
      </c>
      <c r="G2020" t="s">
        <v>270</v>
      </c>
      <c r="H2020" t="s">
        <v>33</v>
      </c>
      <c r="I2020" t="s">
        <v>11</v>
      </c>
      <c r="J2020" t="s">
        <v>296</v>
      </c>
      <c r="K2020" s="1">
        <v>0.65172140046296301</v>
      </c>
      <c r="L2020">
        <f>YEAR(Coffe_sales[[#This Row],[Date]])</f>
        <v>2024</v>
      </c>
    </row>
    <row r="2021" spans="1:12" x14ac:dyDescent="0.2">
      <c r="A2021" t="s">
        <v>25</v>
      </c>
      <c r="B2021" t="s">
        <v>12</v>
      </c>
      <c r="C2021">
        <v>35.76</v>
      </c>
      <c r="D2021" t="s">
        <v>13</v>
      </c>
      <c r="E2021" t="s">
        <v>22</v>
      </c>
      <c r="F2021" t="s">
        <v>32</v>
      </c>
      <c r="G2021" t="s">
        <v>270</v>
      </c>
      <c r="H2021" t="s">
        <v>33</v>
      </c>
      <c r="I2021" t="s">
        <v>11</v>
      </c>
      <c r="J2021" t="s">
        <v>296</v>
      </c>
      <c r="K2021" s="1">
        <v>0.65242561342592598</v>
      </c>
      <c r="L2021">
        <f>YEAR(Coffe_sales[[#This Row],[Date]])</f>
        <v>2024</v>
      </c>
    </row>
    <row r="2022" spans="1:12" x14ac:dyDescent="0.2">
      <c r="A2022" t="s">
        <v>25</v>
      </c>
      <c r="B2022" t="s">
        <v>12</v>
      </c>
      <c r="C2022">
        <v>30.86</v>
      </c>
      <c r="D2022" t="s">
        <v>26</v>
      </c>
      <c r="E2022" t="s">
        <v>22</v>
      </c>
      <c r="F2022" t="s">
        <v>32</v>
      </c>
      <c r="G2022" t="s">
        <v>270</v>
      </c>
      <c r="H2022" t="s">
        <v>33</v>
      </c>
      <c r="I2022" t="s">
        <v>11</v>
      </c>
      <c r="J2022" t="s">
        <v>296</v>
      </c>
      <c r="K2022" s="1">
        <v>0.66113032407407413</v>
      </c>
      <c r="L2022">
        <f>YEAR(Coffe_sales[[#This Row],[Date]])</f>
        <v>2024</v>
      </c>
    </row>
    <row r="2023" spans="1:12" x14ac:dyDescent="0.2">
      <c r="A2023" t="s">
        <v>25</v>
      </c>
      <c r="B2023" t="s">
        <v>12</v>
      </c>
      <c r="C2023">
        <v>30.86</v>
      </c>
      <c r="D2023" t="s">
        <v>26</v>
      </c>
      <c r="E2023" t="s">
        <v>22</v>
      </c>
      <c r="F2023" t="s">
        <v>32</v>
      </c>
      <c r="G2023" t="s">
        <v>270</v>
      </c>
      <c r="H2023" t="s">
        <v>33</v>
      </c>
      <c r="I2023" t="s">
        <v>11</v>
      </c>
      <c r="J2023" t="s">
        <v>296</v>
      </c>
      <c r="K2023" s="1">
        <v>0.66205446759259257</v>
      </c>
      <c r="L2023">
        <f>YEAR(Coffe_sales[[#This Row],[Date]])</f>
        <v>2024</v>
      </c>
    </row>
    <row r="2024" spans="1:12" x14ac:dyDescent="0.2">
      <c r="A2024" t="s">
        <v>30</v>
      </c>
      <c r="B2024" t="s">
        <v>12</v>
      </c>
      <c r="C2024">
        <v>35.76</v>
      </c>
      <c r="D2024" t="s">
        <v>52</v>
      </c>
      <c r="E2024" t="s">
        <v>29</v>
      </c>
      <c r="F2024" t="s">
        <v>32</v>
      </c>
      <c r="G2024" t="s">
        <v>270</v>
      </c>
      <c r="H2024" t="s">
        <v>33</v>
      </c>
      <c r="I2024" t="s">
        <v>11</v>
      </c>
      <c r="J2024" t="s">
        <v>296</v>
      </c>
      <c r="K2024" s="1">
        <v>0.80510769675925931</v>
      </c>
      <c r="L2024">
        <f>YEAR(Coffe_sales[[#This Row],[Date]])</f>
        <v>2024</v>
      </c>
    </row>
    <row r="2025" spans="1:12" x14ac:dyDescent="0.2">
      <c r="A2025" t="s">
        <v>91</v>
      </c>
      <c r="B2025" t="s">
        <v>12</v>
      </c>
      <c r="C2025">
        <v>30.86</v>
      </c>
      <c r="D2025" t="s">
        <v>26</v>
      </c>
      <c r="E2025" t="s">
        <v>29</v>
      </c>
      <c r="F2025" t="s">
        <v>32</v>
      </c>
      <c r="G2025" t="s">
        <v>270</v>
      </c>
      <c r="H2025" t="s">
        <v>33</v>
      </c>
      <c r="I2025" t="s">
        <v>11</v>
      </c>
      <c r="J2025" t="s">
        <v>296</v>
      </c>
      <c r="K2025" s="1">
        <v>0.85748516203703706</v>
      </c>
      <c r="L2025">
        <f>YEAR(Coffe_sales[[#This Row],[Date]])</f>
        <v>2024</v>
      </c>
    </row>
    <row r="2026" spans="1:12" x14ac:dyDescent="0.2">
      <c r="A2026" t="s">
        <v>35</v>
      </c>
      <c r="B2026" t="s">
        <v>12</v>
      </c>
      <c r="C2026">
        <v>30.86</v>
      </c>
      <c r="D2026" t="s">
        <v>26</v>
      </c>
      <c r="E2026" t="s">
        <v>14</v>
      </c>
      <c r="F2026" t="s">
        <v>38</v>
      </c>
      <c r="G2026" t="s">
        <v>270</v>
      </c>
      <c r="H2026" t="s">
        <v>39</v>
      </c>
      <c r="I2026" t="s">
        <v>11</v>
      </c>
      <c r="J2026" t="s">
        <v>297</v>
      </c>
      <c r="K2026" s="1">
        <v>0.45968636574074073</v>
      </c>
      <c r="L2026">
        <f>YEAR(Coffe_sales[[#This Row],[Date]])</f>
        <v>2024</v>
      </c>
    </row>
    <row r="2027" spans="1:12" x14ac:dyDescent="0.2">
      <c r="A2027" t="s">
        <v>20</v>
      </c>
      <c r="B2027" t="s">
        <v>12</v>
      </c>
      <c r="C2027">
        <v>35.76</v>
      </c>
      <c r="D2027" t="s">
        <v>13</v>
      </c>
      <c r="E2027" t="s">
        <v>22</v>
      </c>
      <c r="F2027" t="s">
        <v>38</v>
      </c>
      <c r="G2027" t="s">
        <v>270</v>
      </c>
      <c r="H2027" t="s">
        <v>39</v>
      </c>
      <c r="I2027" t="s">
        <v>11</v>
      </c>
      <c r="J2027" t="s">
        <v>297</v>
      </c>
      <c r="K2027" s="1">
        <v>0.53710635416666663</v>
      </c>
      <c r="L2027">
        <f>YEAR(Coffe_sales[[#This Row],[Date]])</f>
        <v>2024</v>
      </c>
    </row>
    <row r="2028" spans="1:12" x14ac:dyDescent="0.2">
      <c r="A2028" t="s">
        <v>20</v>
      </c>
      <c r="B2028" t="s">
        <v>12</v>
      </c>
      <c r="C2028">
        <v>30.86</v>
      </c>
      <c r="D2028" t="s">
        <v>26</v>
      </c>
      <c r="E2028" t="s">
        <v>22</v>
      </c>
      <c r="F2028" t="s">
        <v>38</v>
      </c>
      <c r="G2028" t="s">
        <v>270</v>
      </c>
      <c r="H2028" t="s">
        <v>39</v>
      </c>
      <c r="I2028" t="s">
        <v>11</v>
      </c>
      <c r="J2028" t="s">
        <v>297</v>
      </c>
      <c r="K2028" s="1">
        <v>0.53781841435185185</v>
      </c>
      <c r="L2028">
        <f>YEAR(Coffe_sales[[#This Row],[Date]])</f>
        <v>2024</v>
      </c>
    </row>
    <row r="2029" spans="1:12" x14ac:dyDescent="0.2">
      <c r="A2029" t="s">
        <v>23</v>
      </c>
      <c r="B2029" t="s">
        <v>12</v>
      </c>
      <c r="C2029">
        <v>35.76</v>
      </c>
      <c r="D2029" t="s">
        <v>52</v>
      </c>
      <c r="E2029" t="s">
        <v>22</v>
      </c>
      <c r="F2029" t="s">
        <v>38</v>
      </c>
      <c r="G2029" t="s">
        <v>270</v>
      </c>
      <c r="H2029" t="s">
        <v>39</v>
      </c>
      <c r="I2029" t="s">
        <v>11</v>
      </c>
      <c r="J2029" t="s">
        <v>297</v>
      </c>
      <c r="K2029" s="1">
        <v>0.57206723379629631</v>
      </c>
      <c r="L2029">
        <f>YEAR(Coffe_sales[[#This Row],[Date]])</f>
        <v>2024</v>
      </c>
    </row>
    <row r="2030" spans="1:12" x14ac:dyDescent="0.2">
      <c r="A2030" t="s">
        <v>27</v>
      </c>
      <c r="B2030" t="s">
        <v>12</v>
      </c>
      <c r="C2030">
        <v>35.76</v>
      </c>
      <c r="D2030" t="s">
        <v>13</v>
      </c>
      <c r="E2030" t="s">
        <v>22</v>
      </c>
      <c r="F2030" t="s">
        <v>38</v>
      </c>
      <c r="G2030" t="s">
        <v>270</v>
      </c>
      <c r="H2030" t="s">
        <v>39</v>
      </c>
      <c r="I2030" t="s">
        <v>11</v>
      </c>
      <c r="J2030" t="s">
        <v>297</v>
      </c>
      <c r="K2030" s="1">
        <v>0.67854369212962962</v>
      </c>
      <c r="L2030">
        <f>YEAR(Coffe_sales[[#This Row],[Date]])</f>
        <v>2024</v>
      </c>
    </row>
    <row r="2031" spans="1:12" x14ac:dyDescent="0.2">
      <c r="A2031" t="s">
        <v>39</v>
      </c>
      <c r="B2031" t="s">
        <v>12</v>
      </c>
      <c r="C2031">
        <v>35.76</v>
      </c>
      <c r="D2031" t="s">
        <v>52</v>
      </c>
      <c r="E2031" t="s">
        <v>14</v>
      </c>
      <c r="F2031" t="s">
        <v>42</v>
      </c>
      <c r="G2031" t="s">
        <v>270</v>
      </c>
      <c r="H2031" t="s">
        <v>43</v>
      </c>
      <c r="I2031" t="s">
        <v>11</v>
      </c>
      <c r="J2031" t="s">
        <v>298</v>
      </c>
      <c r="K2031" s="1">
        <v>0.32393734953703701</v>
      </c>
      <c r="L2031">
        <f>YEAR(Coffe_sales[[#This Row],[Date]])</f>
        <v>2024</v>
      </c>
    </row>
    <row r="2032" spans="1:12" x14ac:dyDescent="0.2">
      <c r="A2032" t="s">
        <v>123</v>
      </c>
      <c r="B2032" t="s">
        <v>12</v>
      </c>
      <c r="C2032">
        <v>25.96</v>
      </c>
      <c r="D2032" t="s">
        <v>24</v>
      </c>
      <c r="E2032" t="s">
        <v>14</v>
      </c>
      <c r="F2032" t="s">
        <v>42</v>
      </c>
      <c r="G2032" t="s">
        <v>270</v>
      </c>
      <c r="H2032" t="s">
        <v>43</v>
      </c>
      <c r="I2032" t="s">
        <v>11</v>
      </c>
      <c r="J2032" t="s">
        <v>298</v>
      </c>
      <c r="K2032" s="1">
        <v>0.33417012731481482</v>
      </c>
      <c r="L2032">
        <f>YEAR(Coffe_sales[[#This Row],[Date]])</f>
        <v>2024</v>
      </c>
    </row>
    <row r="2033" spans="1:12" x14ac:dyDescent="0.2">
      <c r="A2033" t="s">
        <v>123</v>
      </c>
      <c r="B2033" t="s">
        <v>12</v>
      </c>
      <c r="C2033">
        <v>35.76</v>
      </c>
      <c r="D2033" t="s">
        <v>13</v>
      </c>
      <c r="E2033" t="s">
        <v>14</v>
      </c>
      <c r="F2033" t="s">
        <v>42</v>
      </c>
      <c r="G2033" t="s">
        <v>270</v>
      </c>
      <c r="H2033" t="s">
        <v>43</v>
      </c>
      <c r="I2033" t="s">
        <v>11</v>
      </c>
      <c r="J2033" t="s">
        <v>298</v>
      </c>
      <c r="K2033" s="1">
        <v>0.3576724652777778</v>
      </c>
      <c r="L2033">
        <f>YEAR(Coffe_sales[[#This Row],[Date]])</f>
        <v>2024</v>
      </c>
    </row>
    <row r="2034" spans="1:12" x14ac:dyDescent="0.2">
      <c r="A2034" t="s">
        <v>46</v>
      </c>
      <c r="B2034" t="s">
        <v>12</v>
      </c>
      <c r="C2034">
        <v>30.86</v>
      </c>
      <c r="D2034" t="s">
        <v>26</v>
      </c>
      <c r="E2034" t="s">
        <v>14</v>
      </c>
      <c r="F2034" t="s">
        <v>42</v>
      </c>
      <c r="G2034" t="s">
        <v>270</v>
      </c>
      <c r="H2034" t="s">
        <v>43</v>
      </c>
      <c r="I2034" t="s">
        <v>11</v>
      </c>
      <c r="J2034" t="s">
        <v>298</v>
      </c>
      <c r="K2034" s="1">
        <v>0.38591181712962963</v>
      </c>
      <c r="L2034">
        <f>YEAR(Coffe_sales[[#This Row],[Date]])</f>
        <v>2024</v>
      </c>
    </row>
    <row r="2035" spans="1:12" x14ac:dyDescent="0.2">
      <c r="A2035" t="s">
        <v>35</v>
      </c>
      <c r="B2035" t="s">
        <v>12</v>
      </c>
      <c r="C2035">
        <v>35.76</v>
      </c>
      <c r="D2035" t="s">
        <v>13</v>
      </c>
      <c r="E2035" t="s">
        <v>14</v>
      </c>
      <c r="F2035" t="s">
        <v>42</v>
      </c>
      <c r="G2035" t="s">
        <v>270</v>
      </c>
      <c r="H2035" t="s">
        <v>43</v>
      </c>
      <c r="I2035" t="s">
        <v>11</v>
      </c>
      <c r="J2035" t="s">
        <v>298</v>
      </c>
      <c r="K2035" s="1">
        <v>0.48792239583333336</v>
      </c>
      <c r="L2035">
        <f>YEAR(Coffe_sales[[#This Row],[Date]])</f>
        <v>2024</v>
      </c>
    </row>
    <row r="2036" spans="1:12" x14ac:dyDescent="0.2">
      <c r="A2036" t="s">
        <v>35</v>
      </c>
      <c r="B2036" t="s">
        <v>12</v>
      </c>
      <c r="C2036">
        <v>35.76</v>
      </c>
      <c r="D2036" t="s">
        <v>13</v>
      </c>
      <c r="E2036" t="s">
        <v>14</v>
      </c>
      <c r="F2036" t="s">
        <v>42</v>
      </c>
      <c r="G2036" t="s">
        <v>270</v>
      </c>
      <c r="H2036" t="s">
        <v>43</v>
      </c>
      <c r="I2036" t="s">
        <v>11</v>
      </c>
      <c r="J2036" t="s">
        <v>298</v>
      </c>
      <c r="K2036" s="1">
        <v>0.48869585648148151</v>
      </c>
      <c r="L2036">
        <f>YEAR(Coffe_sales[[#This Row],[Date]])</f>
        <v>2024</v>
      </c>
    </row>
    <row r="2037" spans="1:12" x14ac:dyDescent="0.2">
      <c r="A2037" t="s">
        <v>20</v>
      </c>
      <c r="B2037" t="s">
        <v>12</v>
      </c>
      <c r="C2037">
        <v>35.76</v>
      </c>
      <c r="D2037" t="s">
        <v>21</v>
      </c>
      <c r="E2037" t="s">
        <v>22</v>
      </c>
      <c r="F2037" t="s">
        <v>42</v>
      </c>
      <c r="G2037" t="s">
        <v>270</v>
      </c>
      <c r="H2037" t="s">
        <v>43</v>
      </c>
      <c r="I2037" t="s">
        <v>11</v>
      </c>
      <c r="J2037" t="s">
        <v>298</v>
      </c>
      <c r="K2037" s="1">
        <v>0.50111173611111115</v>
      </c>
      <c r="L2037">
        <f>YEAR(Coffe_sales[[#This Row],[Date]])</f>
        <v>2024</v>
      </c>
    </row>
    <row r="2038" spans="1:12" x14ac:dyDescent="0.2">
      <c r="A2038" t="s">
        <v>20</v>
      </c>
      <c r="B2038" t="s">
        <v>12</v>
      </c>
      <c r="C2038">
        <v>30.86</v>
      </c>
      <c r="D2038" t="s">
        <v>26</v>
      </c>
      <c r="E2038" t="s">
        <v>22</v>
      </c>
      <c r="F2038" t="s">
        <v>42</v>
      </c>
      <c r="G2038" t="s">
        <v>270</v>
      </c>
      <c r="H2038" t="s">
        <v>43</v>
      </c>
      <c r="I2038" t="s">
        <v>11</v>
      </c>
      <c r="J2038" t="s">
        <v>298</v>
      </c>
      <c r="K2038" s="1">
        <v>0.5017917476851852</v>
      </c>
      <c r="L2038">
        <f>YEAR(Coffe_sales[[#This Row],[Date]])</f>
        <v>2024</v>
      </c>
    </row>
    <row r="2039" spans="1:12" x14ac:dyDescent="0.2">
      <c r="A2039" t="s">
        <v>20</v>
      </c>
      <c r="B2039" t="s">
        <v>12</v>
      </c>
      <c r="C2039">
        <v>35.76</v>
      </c>
      <c r="D2039" t="s">
        <v>52</v>
      </c>
      <c r="E2039" t="s">
        <v>22</v>
      </c>
      <c r="F2039" t="s">
        <v>42</v>
      </c>
      <c r="G2039" t="s">
        <v>270</v>
      </c>
      <c r="H2039" t="s">
        <v>43</v>
      </c>
      <c r="I2039" t="s">
        <v>11</v>
      </c>
      <c r="J2039" t="s">
        <v>298</v>
      </c>
      <c r="K2039" s="1">
        <v>0.51493539351851847</v>
      </c>
      <c r="L2039">
        <f>YEAR(Coffe_sales[[#This Row],[Date]])</f>
        <v>2024</v>
      </c>
    </row>
    <row r="2040" spans="1:12" x14ac:dyDescent="0.2">
      <c r="A2040" t="s">
        <v>36</v>
      </c>
      <c r="B2040" t="s">
        <v>12</v>
      </c>
      <c r="C2040">
        <v>30.86</v>
      </c>
      <c r="D2040" t="s">
        <v>26</v>
      </c>
      <c r="E2040" t="s">
        <v>22</v>
      </c>
      <c r="F2040" t="s">
        <v>42</v>
      </c>
      <c r="G2040" t="s">
        <v>270</v>
      </c>
      <c r="H2040" t="s">
        <v>43</v>
      </c>
      <c r="I2040" t="s">
        <v>11</v>
      </c>
      <c r="J2040" t="s">
        <v>298</v>
      </c>
      <c r="K2040" s="1">
        <v>0.59090984953703707</v>
      </c>
      <c r="L2040">
        <f>YEAR(Coffe_sales[[#This Row],[Date]])</f>
        <v>2024</v>
      </c>
    </row>
    <row r="2041" spans="1:12" x14ac:dyDescent="0.2">
      <c r="A2041" t="s">
        <v>36</v>
      </c>
      <c r="B2041" t="s">
        <v>12</v>
      </c>
      <c r="C2041">
        <v>30.86</v>
      </c>
      <c r="D2041" t="s">
        <v>26</v>
      </c>
      <c r="E2041" t="s">
        <v>22</v>
      </c>
      <c r="F2041" t="s">
        <v>42</v>
      </c>
      <c r="G2041" t="s">
        <v>270</v>
      </c>
      <c r="H2041" t="s">
        <v>43</v>
      </c>
      <c r="I2041" t="s">
        <v>11</v>
      </c>
      <c r="J2041" t="s">
        <v>298</v>
      </c>
      <c r="K2041" s="1">
        <v>0.59162402777777778</v>
      </c>
      <c r="L2041">
        <f>YEAR(Coffe_sales[[#This Row],[Date]])</f>
        <v>2024</v>
      </c>
    </row>
    <row r="2042" spans="1:12" x14ac:dyDescent="0.2">
      <c r="A2042" t="s">
        <v>36</v>
      </c>
      <c r="B2042" t="s">
        <v>12</v>
      </c>
      <c r="C2042">
        <v>30.86</v>
      </c>
      <c r="D2042" t="s">
        <v>26</v>
      </c>
      <c r="E2042" t="s">
        <v>22</v>
      </c>
      <c r="F2042" t="s">
        <v>42</v>
      </c>
      <c r="G2042" t="s">
        <v>270</v>
      </c>
      <c r="H2042" t="s">
        <v>43</v>
      </c>
      <c r="I2042" t="s">
        <v>11</v>
      </c>
      <c r="J2042" t="s">
        <v>298</v>
      </c>
      <c r="K2042" s="1">
        <v>0.60485603009259259</v>
      </c>
      <c r="L2042">
        <f>YEAR(Coffe_sales[[#This Row],[Date]])</f>
        <v>2024</v>
      </c>
    </row>
    <row r="2043" spans="1:12" x14ac:dyDescent="0.2">
      <c r="A2043" t="s">
        <v>27</v>
      </c>
      <c r="B2043" t="s">
        <v>12</v>
      </c>
      <c r="C2043">
        <v>35.76</v>
      </c>
      <c r="D2043" t="s">
        <v>13</v>
      </c>
      <c r="E2043" t="s">
        <v>22</v>
      </c>
      <c r="F2043" t="s">
        <v>42</v>
      </c>
      <c r="G2043" t="s">
        <v>270</v>
      </c>
      <c r="H2043" t="s">
        <v>43</v>
      </c>
      <c r="I2043" t="s">
        <v>11</v>
      </c>
      <c r="J2043" t="s">
        <v>298</v>
      </c>
      <c r="K2043" s="1">
        <v>0.6675984606481481</v>
      </c>
      <c r="L2043">
        <f>YEAR(Coffe_sales[[#This Row],[Date]])</f>
        <v>2024</v>
      </c>
    </row>
    <row r="2044" spans="1:12" x14ac:dyDescent="0.2">
      <c r="A2044" t="s">
        <v>37</v>
      </c>
      <c r="B2044" t="s">
        <v>12</v>
      </c>
      <c r="C2044">
        <v>35.76</v>
      </c>
      <c r="D2044" t="s">
        <v>31</v>
      </c>
      <c r="E2044" t="s">
        <v>29</v>
      </c>
      <c r="F2044" t="s">
        <v>42</v>
      </c>
      <c r="G2044" t="s">
        <v>270</v>
      </c>
      <c r="H2044" t="s">
        <v>43</v>
      </c>
      <c r="I2044" t="s">
        <v>11</v>
      </c>
      <c r="J2044" t="s">
        <v>298</v>
      </c>
      <c r="K2044" s="1">
        <v>0.74673748842592591</v>
      </c>
      <c r="L2044">
        <f>YEAR(Coffe_sales[[#This Row],[Date]])</f>
        <v>2024</v>
      </c>
    </row>
    <row r="2045" spans="1:12" x14ac:dyDescent="0.2">
      <c r="A2045" t="s">
        <v>37</v>
      </c>
      <c r="B2045" t="s">
        <v>12</v>
      </c>
      <c r="C2045">
        <v>35.76</v>
      </c>
      <c r="D2045" t="s">
        <v>31</v>
      </c>
      <c r="E2045" t="s">
        <v>29</v>
      </c>
      <c r="F2045" t="s">
        <v>42</v>
      </c>
      <c r="G2045" t="s">
        <v>270</v>
      </c>
      <c r="H2045" t="s">
        <v>43</v>
      </c>
      <c r="I2045" t="s">
        <v>11</v>
      </c>
      <c r="J2045" t="s">
        <v>298</v>
      </c>
      <c r="K2045" s="1">
        <v>0.74724996527777776</v>
      </c>
      <c r="L2045">
        <f>YEAR(Coffe_sales[[#This Row],[Date]])</f>
        <v>2024</v>
      </c>
    </row>
    <row r="2046" spans="1:12" x14ac:dyDescent="0.2">
      <c r="A2046" t="s">
        <v>30</v>
      </c>
      <c r="B2046" t="s">
        <v>12</v>
      </c>
      <c r="C2046">
        <v>35.76</v>
      </c>
      <c r="D2046" t="s">
        <v>52</v>
      </c>
      <c r="E2046" t="s">
        <v>29</v>
      </c>
      <c r="F2046" t="s">
        <v>42</v>
      </c>
      <c r="G2046" t="s">
        <v>270</v>
      </c>
      <c r="H2046" t="s">
        <v>43</v>
      </c>
      <c r="I2046" t="s">
        <v>11</v>
      </c>
      <c r="J2046" t="s">
        <v>298</v>
      </c>
      <c r="K2046" s="1">
        <v>0.79890341435185186</v>
      </c>
      <c r="L2046">
        <f>YEAR(Coffe_sales[[#This Row],[Date]])</f>
        <v>2024</v>
      </c>
    </row>
    <row r="2047" spans="1:12" x14ac:dyDescent="0.2">
      <c r="A2047" t="s">
        <v>131</v>
      </c>
      <c r="B2047" t="s">
        <v>12</v>
      </c>
      <c r="C2047">
        <v>30.86</v>
      </c>
      <c r="D2047" t="s">
        <v>26</v>
      </c>
      <c r="E2047" t="s">
        <v>29</v>
      </c>
      <c r="F2047" t="s">
        <v>42</v>
      </c>
      <c r="G2047" t="s">
        <v>270</v>
      </c>
      <c r="H2047" t="s">
        <v>43</v>
      </c>
      <c r="I2047" t="s">
        <v>11</v>
      </c>
      <c r="J2047" t="s">
        <v>298</v>
      </c>
      <c r="K2047" s="1">
        <v>0.88893081018518516</v>
      </c>
      <c r="L2047">
        <f>YEAR(Coffe_sales[[#This Row],[Date]])</f>
        <v>2024</v>
      </c>
    </row>
    <row r="2048" spans="1:12" x14ac:dyDescent="0.2">
      <c r="A2048" t="s">
        <v>125</v>
      </c>
      <c r="B2048" t="s">
        <v>12</v>
      </c>
      <c r="C2048">
        <v>30.86</v>
      </c>
      <c r="D2048" t="s">
        <v>26</v>
      </c>
      <c r="E2048" t="s">
        <v>29</v>
      </c>
      <c r="F2048" t="s">
        <v>42</v>
      </c>
      <c r="G2048" t="s">
        <v>270</v>
      </c>
      <c r="H2048" t="s">
        <v>43</v>
      </c>
      <c r="I2048" t="s">
        <v>11</v>
      </c>
      <c r="J2048" t="s">
        <v>298</v>
      </c>
      <c r="K2048" s="1">
        <v>0.92072652777777775</v>
      </c>
      <c r="L2048">
        <f>YEAR(Coffe_sales[[#This Row],[Date]])</f>
        <v>2024</v>
      </c>
    </row>
    <row r="2049" spans="1:12" x14ac:dyDescent="0.2">
      <c r="A2049" t="s">
        <v>123</v>
      </c>
      <c r="B2049" t="s">
        <v>12</v>
      </c>
      <c r="C2049">
        <v>35.76</v>
      </c>
      <c r="D2049" t="s">
        <v>13</v>
      </c>
      <c r="E2049" t="s">
        <v>14</v>
      </c>
      <c r="F2049" t="s">
        <v>47</v>
      </c>
      <c r="G2049" t="s">
        <v>270</v>
      </c>
      <c r="H2049" t="s">
        <v>48</v>
      </c>
      <c r="I2049" t="s">
        <v>11</v>
      </c>
      <c r="J2049" t="s">
        <v>299</v>
      </c>
      <c r="K2049" s="1">
        <v>0.36171707175925927</v>
      </c>
      <c r="L2049">
        <f>YEAR(Coffe_sales[[#This Row],[Date]])</f>
        <v>2024</v>
      </c>
    </row>
    <row r="2050" spans="1:12" x14ac:dyDescent="0.2">
      <c r="A2050" t="s">
        <v>123</v>
      </c>
      <c r="B2050" t="s">
        <v>12</v>
      </c>
      <c r="C2050">
        <v>35.76</v>
      </c>
      <c r="D2050" t="s">
        <v>13</v>
      </c>
      <c r="E2050" t="s">
        <v>14</v>
      </c>
      <c r="F2050" t="s">
        <v>47</v>
      </c>
      <c r="G2050" t="s">
        <v>270</v>
      </c>
      <c r="H2050" t="s">
        <v>48</v>
      </c>
      <c r="I2050" t="s">
        <v>11</v>
      </c>
      <c r="J2050" t="s">
        <v>299</v>
      </c>
      <c r="K2050" s="1">
        <v>0.36603756944444443</v>
      </c>
      <c r="L2050">
        <f>YEAR(Coffe_sales[[#This Row],[Date]])</f>
        <v>2024</v>
      </c>
    </row>
    <row r="2051" spans="1:12" x14ac:dyDescent="0.2">
      <c r="A2051" t="s">
        <v>46</v>
      </c>
      <c r="B2051" t="s">
        <v>12</v>
      </c>
      <c r="C2051">
        <v>35.76</v>
      </c>
      <c r="D2051" t="s">
        <v>13</v>
      </c>
      <c r="E2051" t="s">
        <v>14</v>
      </c>
      <c r="F2051" t="s">
        <v>47</v>
      </c>
      <c r="G2051" t="s">
        <v>270</v>
      </c>
      <c r="H2051" t="s">
        <v>48</v>
      </c>
      <c r="I2051" t="s">
        <v>11</v>
      </c>
      <c r="J2051" t="s">
        <v>299</v>
      </c>
      <c r="K2051" s="1">
        <v>0.39719537037037039</v>
      </c>
      <c r="L2051">
        <f>YEAR(Coffe_sales[[#This Row],[Date]])</f>
        <v>2024</v>
      </c>
    </row>
    <row r="2052" spans="1:12" x14ac:dyDescent="0.2">
      <c r="A2052" t="s">
        <v>35</v>
      </c>
      <c r="B2052" t="s">
        <v>12</v>
      </c>
      <c r="C2052">
        <v>30.86</v>
      </c>
      <c r="D2052" t="s">
        <v>26</v>
      </c>
      <c r="E2052" t="s">
        <v>14</v>
      </c>
      <c r="F2052" t="s">
        <v>47</v>
      </c>
      <c r="G2052" t="s">
        <v>270</v>
      </c>
      <c r="H2052" t="s">
        <v>48</v>
      </c>
      <c r="I2052" t="s">
        <v>11</v>
      </c>
      <c r="J2052" t="s">
        <v>299</v>
      </c>
      <c r="K2052" s="1">
        <v>0.49984583333333332</v>
      </c>
      <c r="L2052">
        <f>YEAR(Coffe_sales[[#This Row],[Date]])</f>
        <v>2024</v>
      </c>
    </row>
    <row r="2053" spans="1:12" x14ac:dyDescent="0.2">
      <c r="A2053" t="s">
        <v>20</v>
      </c>
      <c r="B2053" t="s">
        <v>12</v>
      </c>
      <c r="C2053">
        <v>21.06</v>
      </c>
      <c r="D2053" t="s">
        <v>45</v>
      </c>
      <c r="E2053" t="s">
        <v>22</v>
      </c>
      <c r="F2053" t="s">
        <v>47</v>
      </c>
      <c r="G2053" t="s">
        <v>270</v>
      </c>
      <c r="H2053" t="s">
        <v>48</v>
      </c>
      <c r="I2053" t="s">
        <v>11</v>
      </c>
      <c r="J2053" t="s">
        <v>299</v>
      </c>
      <c r="K2053" s="1">
        <v>0.51500932870370375</v>
      </c>
      <c r="L2053">
        <f>YEAR(Coffe_sales[[#This Row],[Date]])</f>
        <v>2024</v>
      </c>
    </row>
    <row r="2054" spans="1:12" x14ac:dyDescent="0.2">
      <c r="A2054" t="s">
        <v>36</v>
      </c>
      <c r="B2054" t="s">
        <v>12</v>
      </c>
      <c r="C2054">
        <v>25.96</v>
      </c>
      <c r="D2054" t="s">
        <v>41</v>
      </c>
      <c r="E2054" t="s">
        <v>22</v>
      </c>
      <c r="F2054" t="s">
        <v>47</v>
      </c>
      <c r="G2054" t="s">
        <v>270</v>
      </c>
      <c r="H2054" t="s">
        <v>48</v>
      </c>
      <c r="I2054" t="s">
        <v>11</v>
      </c>
      <c r="J2054" t="s">
        <v>299</v>
      </c>
      <c r="K2054" s="1">
        <v>0.59425738425925922</v>
      </c>
      <c r="L2054">
        <f>YEAR(Coffe_sales[[#This Row],[Date]])</f>
        <v>2024</v>
      </c>
    </row>
    <row r="2055" spans="1:12" x14ac:dyDescent="0.2">
      <c r="A2055" t="s">
        <v>36</v>
      </c>
      <c r="B2055" t="s">
        <v>12</v>
      </c>
      <c r="C2055">
        <v>25.96</v>
      </c>
      <c r="D2055" t="s">
        <v>41</v>
      </c>
      <c r="E2055" t="s">
        <v>22</v>
      </c>
      <c r="F2055" t="s">
        <v>47</v>
      </c>
      <c r="G2055" t="s">
        <v>270</v>
      </c>
      <c r="H2055" t="s">
        <v>48</v>
      </c>
      <c r="I2055" t="s">
        <v>11</v>
      </c>
      <c r="J2055" t="s">
        <v>299</v>
      </c>
      <c r="K2055" s="1">
        <v>0.59514695601851852</v>
      </c>
      <c r="L2055">
        <f>YEAR(Coffe_sales[[#This Row],[Date]])</f>
        <v>2024</v>
      </c>
    </row>
    <row r="2056" spans="1:12" x14ac:dyDescent="0.2">
      <c r="A2056" t="s">
        <v>36</v>
      </c>
      <c r="B2056" t="s">
        <v>12</v>
      </c>
      <c r="C2056">
        <v>35.76</v>
      </c>
      <c r="D2056" t="s">
        <v>52</v>
      </c>
      <c r="E2056" t="s">
        <v>22</v>
      </c>
      <c r="F2056" t="s">
        <v>47</v>
      </c>
      <c r="G2056" t="s">
        <v>270</v>
      </c>
      <c r="H2056" t="s">
        <v>48</v>
      </c>
      <c r="I2056" t="s">
        <v>11</v>
      </c>
      <c r="J2056" t="s">
        <v>299</v>
      </c>
      <c r="K2056" s="1">
        <v>0.60944399305555552</v>
      </c>
      <c r="L2056">
        <f>YEAR(Coffe_sales[[#This Row],[Date]])</f>
        <v>2024</v>
      </c>
    </row>
    <row r="2057" spans="1:12" x14ac:dyDescent="0.2">
      <c r="A2057" t="s">
        <v>27</v>
      </c>
      <c r="B2057" t="s">
        <v>12</v>
      </c>
      <c r="C2057">
        <v>35.76</v>
      </c>
      <c r="D2057" t="s">
        <v>21</v>
      </c>
      <c r="E2057" t="s">
        <v>22</v>
      </c>
      <c r="F2057" t="s">
        <v>47</v>
      </c>
      <c r="G2057" t="s">
        <v>270</v>
      </c>
      <c r="H2057" t="s">
        <v>48</v>
      </c>
      <c r="I2057" t="s">
        <v>11</v>
      </c>
      <c r="J2057" t="s">
        <v>299</v>
      </c>
      <c r="K2057" s="1">
        <v>0.6733071990740741</v>
      </c>
      <c r="L2057">
        <f>YEAR(Coffe_sales[[#This Row],[Date]])</f>
        <v>2024</v>
      </c>
    </row>
    <row r="2058" spans="1:12" x14ac:dyDescent="0.2">
      <c r="A2058" t="s">
        <v>27</v>
      </c>
      <c r="B2058" t="s">
        <v>12</v>
      </c>
      <c r="C2058">
        <v>35.76</v>
      </c>
      <c r="D2058" t="s">
        <v>31</v>
      </c>
      <c r="E2058" t="s">
        <v>22</v>
      </c>
      <c r="F2058" t="s">
        <v>47</v>
      </c>
      <c r="G2058" t="s">
        <v>270</v>
      </c>
      <c r="H2058" t="s">
        <v>48</v>
      </c>
      <c r="I2058" t="s">
        <v>11</v>
      </c>
      <c r="J2058" t="s">
        <v>299</v>
      </c>
      <c r="K2058" s="1">
        <v>0.67426869212962959</v>
      </c>
      <c r="L2058">
        <f>YEAR(Coffe_sales[[#This Row],[Date]])</f>
        <v>2024</v>
      </c>
    </row>
    <row r="2059" spans="1:12" x14ac:dyDescent="0.2">
      <c r="A2059" t="s">
        <v>27</v>
      </c>
      <c r="B2059" t="s">
        <v>12</v>
      </c>
      <c r="C2059">
        <v>35.76</v>
      </c>
      <c r="D2059" t="s">
        <v>31</v>
      </c>
      <c r="E2059" t="s">
        <v>22</v>
      </c>
      <c r="F2059" t="s">
        <v>47</v>
      </c>
      <c r="G2059" t="s">
        <v>270</v>
      </c>
      <c r="H2059" t="s">
        <v>48</v>
      </c>
      <c r="I2059" t="s">
        <v>11</v>
      </c>
      <c r="J2059" t="s">
        <v>299</v>
      </c>
      <c r="K2059" s="1">
        <v>0.67885929398148148</v>
      </c>
      <c r="L2059">
        <f>YEAR(Coffe_sales[[#This Row],[Date]])</f>
        <v>2024</v>
      </c>
    </row>
    <row r="2060" spans="1:12" x14ac:dyDescent="0.2">
      <c r="A2060" t="s">
        <v>28</v>
      </c>
      <c r="B2060" t="s">
        <v>12</v>
      </c>
      <c r="C2060">
        <v>30.86</v>
      </c>
      <c r="D2060" t="s">
        <v>26</v>
      </c>
      <c r="E2060" t="s">
        <v>29</v>
      </c>
      <c r="F2060" t="s">
        <v>47</v>
      </c>
      <c r="G2060" t="s">
        <v>270</v>
      </c>
      <c r="H2060" t="s">
        <v>48</v>
      </c>
      <c r="I2060" t="s">
        <v>11</v>
      </c>
      <c r="J2060" t="s">
        <v>299</v>
      </c>
      <c r="K2060" s="1">
        <v>0.75143944444444444</v>
      </c>
      <c r="L2060">
        <f>YEAR(Coffe_sales[[#This Row],[Date]])</f>
        <v>2024</v>
      </c>
    </row>
    <row r="2061" spans="1:12" x14ac:dyDescent="0.2">
      <c r="A2061" t="s">
        <v>28</v>
      </c>
      <c r="B2061" t="s">
        <v>12</v>
      </c>
      <c r="C2061">
        <v>30.86</v>
      </c>
      <c r="D2061" t="s">
        <v>26</v>
      </c>
      <c r="E2061" t="s">
        <v>29</v>
      </c>
      <c r="F2061" t="s">
        <v>47</v>
      </c>
      <c r="G2061" t="s">
        <v>270</v>
      </c>
      <c r="H2061" t="s">
        <v>48</v>
      </c>
      <c r="I2061" t="s">
        <v>11</v>
      </c>
      <c r="J2061" t="s">
        <v>299</v>
      </c>
      <c r="K2061" s="1">
        <v>0.75205361111111113</v>
      </c>
      <c r="L2061">
        <f>YEAR(Coffe_sales[[#This Row],[Date]])</f>
        <v>2024</v>
      </c>
    </row>
    <row r="2062" spans="1:12" x14ac:dyDescent="0.2">
      <c r="A2062" t="s">
        <v>30</v>
      </c>
      <c r="B2062" t="s">
        <v>12</v>
      </c>
      <c r="C2062">
        <v>30.86</v>
      </c>
      <c r="D2062" t="s">
        <v>26</v>
      </c>
      <c r="E2062" t="s">
        <v>29</v>
      </c>
      <c r="F2062" t="s">
        <v>47</v>
      </c>
      <c r="G2062" t="s">
        <v>270</v>
      </c>
      <c r="H2062" t="s">
        <v>48</v>
      </c>
      <c r="I2062" t="s">
        <v>11</v>
      </c>
      <c r="J2062" t="s">
        <v>299</v>
      </c>
      <c r="K2062" s="1">
        <v>0.79311761574074069</v>
      </c>
      <c r="L2062">
        <f>YEAR(Coffe_sales[[#This Row],[Date]])</f>
        <v>2024</v>
      </c>
    </row>
    <row r="2063" spans="1:12" x14ac:dyDescent="0.2">
      <c r="A2063" t="s">
        <v>30</v>
      </c>
      <c r="B2063" t="s">
        <v>12</v>
      </c>
      <c r="C2063">
        <v>35.76</v>
      </c>
      <c r="D2063" t="s">
        <v>52</v>
      </c>
      <c r="E2063" t="s">
        <v>29</v>
      </c>
      <c r="F2063" t="s">
        <v>47</v>
      </c>
      <c r="G2063" t="s">
        <v>270</v>
      </c>
      <c r="H2063" t="s">
        <v>48</v>
      </c>
      <c r="I2063" t="s">
        <v>11</v>
      </c>
      <c r="J2063" t="s">
        <v>299</v>
      </c>
      <c r="K2063" s="1">
        <v>0.79565319444444449</v>
      </c>
      <c r="L2063">
        <f>YEAR(Coffe_sales[[#This Row],[Date]])</f>
        <v>2024</v>
      </c>
    </row>
    <row r="2064" spans="1:12" x14ac:dyDescent="0.2">
      <c r="A2064" t="s">
        <v>30</v>
      </c>
      <c r="B2064" t="s">
        <v>12</v>
      </c>
      <c r="C2064">
        <v>35.76</v>
      </c>
      <c r="D2064" t="s">
        <v>21</v>
      </c>
      <c r="E2064" t="s">
        <v>29</v>
      </c>
      <c r="F2064" t="s">
        <v>47</v>
      </c>
      <c r="G2064" t="s">
        <v>270</v>
      </c>
      <c r="H2064" t="s">
        <v>48</v>
      </c>
      <c r="I2064" t="s">
        <v>11</v>
      </c>
      <c r="J2064" t="s">
        <v>299</v>
      </c>
      <c r="K2064" s="1">
        <v>0.82723293981481483</v>
      </c>
      <c r="L2064">
        <f>YEAR(Coffe_sales[[#This Row],[Date]])</f>
        <v>2024</v>
      </c>
    </row>
    <row r="2065" spans="1:12" x14ac:dyDescent="0.2">
      <c r="A2065" t="s">
        <v>30</v>
      </c>
      <c r="B2065" t="s">
        <v>12</v>
      </c>
      <c r="C2065">
        <v>35.76</v>
      </c>
      <c r="D2065" t="s">
        <v>13</v>
      </c>
      <c r="E2065" t="s">
        <v>29</v>
      </c>
      <c r="F2065" t="s">
        <v>47</v>
      </c>
      <c r="G2065" t="s">
        <v>270</v>
      </c>
      <c r="H2065" t="s">
        <v>48</v>
      </c>
      <c r="I2065" t="s">
        <v>11</v>
      </c>
      <c r="J2065" t="s">
        <v>299</v>
      </c>
      <c r="K2065" s="1">
        <v>0.82919431712962965</v>
      </c>
      <c r="L2065">
        <f>YEAR(Coffe_sales[[#This Row],[Date]])</f>
        <v>2024</v>
      </c>
    </row>
    <row r="2066" spans="1:12" x14ac:dyDescent="0.2">
      <c r="A2066" t="s">
        <v>91</v>
      </c>
      <c r="B2066" t="s">
        <v>12</v>
      </c>
      <c r="C2066">
        <v>35.76</v>
      </c>
      <c r="D2066" t="s">
        <v>13</v>
      </c>
      <c r="E2066" t="s">
        <v>29</v>
      </c>
      <c r="F2066" t="s">
        <v>47</v>
      </c>
      <c r="G2066" t="s">
        <v>270</v>
      </c>
      <c r="H2066" t="s">
        <v>48</v>
      </c>
      <c r="I2066" t="s">
        <v>11</v>
      </c>
      <c r="J2066" t="s">
        <v>299</v>
      </c>
      <c r="K2066" s="1">
        <v>0.8386071643518519</v>
      </c>
      <c r="L2066">
        <f>YEAR(Coffe_sales[[#This Row],[Date]])</f>
        <v>2024</v>
      </c>
    </row>
    <row r="2067" spans="1:12" x14ac:dyDescent="0.2">
      <c r="A2067" t="s">
        <v>39</v>
      </c>
      <c r="B2067" t="s">
        <v>12</v>
      </c>
      <c r="C2067">
        <v>35.76</v>
      </c>
      <c r="D2067" t="s">
        <v>13</v>
      </c>
      <c r="E2067" t="s">
        <v>14</v>
      </c>
      <c r="F2067" t="s">
        <v>50</v>
      </c>
      <c r="G2067" t="s">
        <v>270</v>
      </c>
      <c r="H2067" t="s">
        <v>18</v>
      </c>
      <c r="I2067" t="s">
        <v>11</v>
      </c>
      <c r="J2067" t="s">
        <v>300</v>
      </c>
      <c r="K2067" s="1">
        <v>0.32784130787037036</v>
      </c>
      <c r="L2067">
        <f>YEAR(Coffe_sales[[#This Row],[Date]])</f>
        <v>2024</v>
      </c>
    </row>
    <row r="2068" spans="1:12" x14ac:dyDescent="0.2">
      <c r="A2068" t="s">
        <v>123</v>
      </c>
      <c r="B2068" t="s">
        <v>12</v>
      </c>
      <c r="C2068">
        <v>30.86</v>
      </c>
      <c r="D2068" t="s">
        <v>26</v>
      </c>
      <c r="E2068" t="s">
        <v>14</v>
      </c>
      <c r="F2068" t="s">
        <v>50</v>
      </c>
      <c r="G2068" t="s">
        <v>270</v>
      </c>
      <c r="H2068" t="s">
        <v>18</v>
      </c>
      <c r="I2068" t="s">
        <v>11</v>
      </c>
      <c r="J2068" t="s">
        <v>300</v>
      </c>
      <c r="K2068" s="1">
        <v>0.36558769675925928</v>
      </c>
      <c r="L2068">
        <f>YEAR(Coffe_sales[[#This Row],[Date]])</f>
        <v>2024</v>
      </c>
    </row>
    <row r="2069" spans="1:12" x14ac:dyDescent="0.2">
      <c r="A2069" t="s">
        <v>123</v>
      </c>
      <c r="B2069" t="s">
        <v>12</v>
      </c>
      <c r="C2069">
        <v>30.86</v>
      </c>
      <c r="D2069" t="s">
        <v>26</v>
      </c>
      <c r="E2069" t="s">
        <v>14</v>
      </c>
      <c r="F2069" t="s">
        <v>50</v>
      </c>
      <c r="G2069" t="s">
        <v>270</v>
      </c>
      <c r="H2069" t="s">
        <v>18</v>
      </c>
      <c r="I2069" t="s">
        <v>11</v>
      </c>
      <c r="J2069" t="s">
        <v>300</v>
      </c>
      <c r="K2069" s="1">
        <v>0.36631112268518518</v>
      </c>
      <c r="L2069">
        <f>YEAR(Coffe_sales[[#This Row],[Date]])</f>
        <v>2024</v>
      </c>
    </row>
    <row r="2070" spans="1:12" x14ac:dyDescent="0.2">
      <c r="A2070" t="s">
        <v>46</v>
      </c>
      <c r="B2070" t="s">
        <v>12</v>
      </c>
      <c r="C2070">
        <v>35.76</v>
      </c>
      <c r="D2070" t="s">
        <v>13</v>
      </c>
      <c r="E2070" t="s">
        <v>14</v>
      </c>
      <c r="F2070" t="s">
        <v>50</v>
      </c>
      <c r="G2070" t="s">
        <v>270</v>
      </c>
      <c r="H2070" t="s">
        <v>18</v>
      </c>
      <c r="I2070" t="s">
        <v>11</v>
      </c>
      <c r="J2070" t="s">
        <v>300</v>
      </c>
      <c r="K2070" s="1">
        <v>0.38297869212962965</v>
      </c>
      <c r="L2070">
        <f>YEAR(Coffe_sales[[#This Row],[Date]])</f>
        <v>2024</v>
      </c>
    </row>
    <row r="2071" spans="1:12" x14ac:dyDescent="0.2">
      <c r="A2071" t="s">
        <v>11</v>
      </c>
      <c r="B2071" t="s">
        <v>12</v>
      </c>
      <c r="C2071">
        <v>35.76</v>
      </c>
      <c r="D2071" t="s">
        <v>13</v>
      </c>
      <c r="E2071" t="s">
        <v>14</v>
      </c>
      <c r="F2071" t="s">
        <v>50</v>
      </c>
      <c r="G2071" t="s">
        <v>270</v>
      </c>
      <c r="H2071" t="s">
        <v>18</v>
      </c>
      <c r="I2071" t="s">
        <v>11</v>
      </c>
      <c r="J2071" t="s">
        <v>300</v>
      </c>
      <c r="K2071" s="1">
        <v>0.43880961805555557</v>
      </c>
      <c r="L2071">
        <f>YEAR(Coffe_sales[[#This Row],[Date]])</f>
        <v>2024</v>
      </c>
    </row>
    <row r="2072" spans="1:12" x14ac:dyDescent="0.2">
      <c r="A2072" t="s">
        <v>11</v>
      </c>
      <c r="B2072" t="s">
        <v>12</v>
      </c>
      <c r="C2072">
        <v>35.76</v>
      </c>
      <c r="D2072" t="s">
        <v>13</v>
      </c>
      <c r="E2072" t="s">
        <v>14</v>
      </c>
      <c r="F2072" t="s">
        <v>50</v>
      </c>
      <c r="G2072" t="s">
        <v>270</v>
      </c>
      <c r="H2072" t="s">
        <v>18</v>
      </c>
      <c r="I2072" t="s">
        <v>11</v>
      </c>
      <c r="J2072" t="s">
        <v>300</v>
      </c>
      <c r="K2072" s="1">
        <v>0.43967244212962964</v>
      </c>
      <c r="L2072">
        <f>YEAR(Coffe_sales[[#This Row],[Date]])</f>
        <v>2024</v>
      </c>
    </row>
    <row r="2073" spans="1:12" x14ac:dyDescent="0.2">
      <c r="A2073" t="s">
        <v>20</v>
      </c>
      <c r="B2073" t="s">
        <v>12</v>
      </c>
      <c r="C2073">
        <v>35.76</v>
      </c>
      <c r="D2073" t="s">
        <v>13</v>
      </c>
      <c r="E2073" t="s">
        <v>22</v>
      </c>
      <c r="F2073" t="s">
        <v>50</v>
      </c>
      <c r="G2073" t="s">
        <v>270</v>
      </c>
      <c r="H2073" t="s">
        <v>18</v>
      </c>
      <c r="I2073" t="s">
        <v>11</v>
      </c>
      <c r="J2073" t="s">
        <v>300</v>
      </c>
      <c r="K2073" s="1">
        <v>0.50608718750000004</v>
      </c>
      <c r="L2073">
        <f>YEAR(Coffe_sales[[#This Row],[Date]])</f>
        <v>2024</v>
      </c>
    </row>
    <row r="2074" spans="1:12" x14ac:dyDescent="0.2">
      <c r="A2074" t="s">
        <v>20</v>
      </c>
      <c r="B2074" t="s">
        <v>12</v>
      </c>
      <c r="C2074">
        <v>25.96</v>
      </c>
      <c r="D2074" t="s">
        <v>24</v>
      </c>
      <c r="E2074" t="s">
        <v>22</v>
      </c>
      <c r="F2074" t="s">
        <v>50</v>
      </c>
      <c r="G2074" t="s">
        <v>270</v>
      </c>
      <c r="H2074" t="s">
        <v>18</v>
      </c>
      <c r="I2074" t="s">
        <v>11</v>
      </c>
      <c r="J2074" t="s">
        <v>300</v>
      </c>
      <c r="K2074" s="1">
        <v>0.50679153935185184</v>
      </c>
      <c r="L2074">
        <f>YEAR(Coffe_sales[[#This Row],[Date]])</f>
        <v>2024</v>
      </c>
    </row>
    <row r="2075" spans="1:12" x14ac:dyDescent="0.2">
      <c r="A2075" t="s">
        <v>20</v>
      </c>
      <c r="B2075" t="s">
        <v>12</v>
      </c>
      <c r="C2075">
        <v>30.86</v>
      </c>
      <c r="D2075" t="s">
        <v>26</v>
      </c>
      <c r="E2075" t="s">
        <v>22</v>
      </c>
      <c r="F2075" t="s">
        <v>50</v>
      </c>
      <c r="G2075" t="s">
        <v>270</v>
      </c>
      <c r="H2075" t="s">
        <v>18</v>
      </c>
      <c r="I2075" t="s">
        <v>11</v>
      </c>
      <c r="J2075" t="s">
        <v>300</v>
      </c>
      <c r="K2075" s="1">
        <v>0.50762026620370371</v>
      </c>
      <c r="L2075">
        <f>YEAR(Coffe_sales[[#This Row],[Date]])</f>
        <v>2024</v>
      </c>
    </row>
    <row r="2076" spans="1:12" x14ac:dyDescent="0.2">
      <c r="A2076" t="s">
        <v>20</v>
      </c>
      <c r="B2076" t="s">
        <v>12</v>
      </c>
      <c r="C2076">
        <v>25.96</v>
      </c>
      <c r="D2076" t="s">
        <v>24</v>
      </c>
      <c r="E2076" t="s">
        <v>22</v>
      </c>
      <c r="F2076" t="s">
        <v>50</v>
      </c>
      <c r="G2076" t="s">
        <v>270</v>
      </c>
      <c r="H2076" t="s">
        <v>18</v>
      </c>
      <c r="I2076" t="s">
        <v>11</v>
      </c>
      <c r="J2076" t="s">
        <v>300</v>
      </c>
      <c r="K2076" s="1">
        <v>0.52570329861111109</v>
      </c>
      <c r="L2076">
        <f>YEAR(Coffe_sales[[#This Row],[Date]])</f>
        <v>2024</v>
      </c>
    </row>
    <row r="2077" spans="1:12" x14ac:dyDescent="0.2">
      <c r="A2077" t="s">
        <v>25</v>
      </c>
      <c r="B2077" t="s">
        <v>12</v>
      </c>
      <c r="C2077">
        <v>35.76</v>
      </c>
      <c r="D2077" t="s">
        <v>13</v>
      </c>
      <c r="E2077" t="s">
        <v>22</v>
      </c>
      <c r="F2077" t="s">
        <v>50</v>
      </c>
      <c r="G2077" t="s">
        <v>270</v>
      </c>
      <c r="H2077" t="s">
        <v>18</v>
      </c>
      <c r="I2077" t="s">
        <v>11</v>
      </c>
      <c r="J2077" t="s">
        <v>300</v>
      </c>
      <c r="K2077" s="1">
        <v>0.62864806712962962</v>
      </c>
      <c r="L2077">
        <f>YEAR(Coffe_sales[[#This Row],[Date]])</f>
        <v>2024</v>
      </c>
    </row>
    <row r="2078" spans="1:12" x14ac:dyDescent="0.2">
      <c r="A2078" t="s">
        <v>25</v>
      </c>
      <c r="B2078" t="s">
        <v>12</v>
      </c>
      <c r="C2078">
        <v>35.76</v>
      </c>
      <c r="D2078" t="s">
        <v>13</v>
      </c>
      <c r="E2078" t="s">
        <v>22</v>
      </c>
      <c r="F2078" t="s">
        <v>50</v>
      </c>
      <c r="G2078" t="s">
        <v>270</v>
      </c>
      <c r="H2078" t="s">
        <v>18</v>
      </c>
      <c r="I2078" t="s">
        <v>11</v>
      </c>
      <c r="J2078" t="s">
        <v>300</v>
      </c>
      <c r="K2078" s="1">
        <v>0.6298963310185185</v>
      </c>
      <c r="L2078">
        <f>YEAR(Coffe_sales[[#This Row],[Date]])</f>
        <v>2024</v>
      </c>
    </row>
    <row r="2079" spans="1:12" x14ac:dyDescent="0.2">
      <c r="A2079" t="s">
        <v>27</v>
      </c>
      <c r="B2079" t="s">
        <v>12</v>
      </c>
      <c r="C2079">
        <v>30.86</v>
      </c>
      <c r="D2079" t="s">
        <v>26</v>
      </c>
      <c r="E2079" t="s">
        <v>22</v>
      </c>
      <c r="F2079" t="s">
        <v>50</v>
      </c>
      <c r="G2079" t="s">
        <v>270</v>
      </c>
      <c r="H2079" t="s">
        <v>18</v>
      </c>
      <c r="I2079" t="s">
        <v>11</v>
      </c>
      <c r="J2079" t="s">
        <v>300</v>
      </c>
      <c r="K2079" s="1">
        <v>0.67000434027777778</v>
      </c>
      <c r="L2079">
        <f>YEAR(Coffe_sales[[#This Row],[Date]])</f>
        <v>2024</v>
      </c>
    </row>
    <row r="2080" spans="1:12" x14ac:dyDescent="0.2">
      <c r="A2080" t="s">
        <v>28</v>
      </c>
      <c r="B2080" t="s">
        <v>12</v>
      </c>
      <c r="C2080">
        <v>35.76</v>
      </c>
      <c r="D2080" t="s">
        <v>21</v>
      </c>
      <c r="E2080" t="s">
        <v>29</v>
      </c>
      <c r="F2080" t="s">
        <v>50</v>
      </c>
      <c r="G2080" t="s">
        <v>270</v>
      </c>
      <c r="H2080" t="s">
        <v>18</v>
      </c>
      <c r="I2080" t="s">
        <v>11</v>
      </c>
      <c r="J2080" t="s">
        <v>300</v>
      </c>
      <c r="K2080" s="1">
        <v>0.75570015046296302</v>
      </c>
      <c r="L2080">
        <f>YEAR(Coffe_sales[[#This Row],[Date]])</f>
        <v>2024</v>
      </c>
    </row>
    <row r="2081" spans="1:12" x14ac:dyDescent="0.2">
      <c r="A2081" t="s">
        <v>30</v>
      </c>
      <c r="B2081" t="s">
        <v>12</v>
      </c>
      <c r="C2081">
        <v>30.86</v>
      </c>
      <c r="D2081" t="s">
        <v>26</v>
      </c>
      <c r="E2081" t="s">
        <v>29</v>
      </c>
      <c r="F2081" t="s">
        <v>50</v>
      </c>
      <c r="G2081" t="s">
        <v>270</v>
      </c>
      <c r="H2081" t="s">
        <v>18</v>
      </c>
      <c r="I2081" t="s">
        <v>11</v>
      </c>
      <c r="J2081" t="s">
        <v>300</v>
      </c>
      <c r="K2081" s="1">
        <v>0.80453107638888888</v>
      </c>
      <c r="L2081">
        <f>YEAR(Coffe_sales[[#This Row],[Date]])</f>
        <v>2024</v>
      </c>
    </row>
    <row r="2082" spans="1:12" x14ac:dyDescent="0.2">
      <c r="A2082" t="s">
        <v>30</v>
      </c>
      <c r="B2082" t="s">
        <v>12</v>
      </c>
      <c r="C2082">
        <v>30.86</v>
      </c>
      <c r="D2082" t="s">
        <v>26</v>
      </c>
      <c r="E2082" t="s">
        <v>29</v>
      </c>
      <c r="F2082" t="s">
        <v>50</v>
      </c>
      <c r="G2082" t="s">
        <v>270</v>
      </c>
      <c r="H2082" t="s">
        <v>18</v>
      </c>
      <c r="I2082" t="s">
        <v>11</v>
      </c>
      <c r="J2082" t="s">
        <v>300</v>
      </c>
      <c r="K2082" s="1">
        <v>0.8217730324074074</v>
      </c>
      <c r="L2082">
        <f>YEAR(Coffe_sales[[#This Row],[Date]])</f>
        <v>2024</v>
      </c>
    </row>
    <row r="2083" spans="1:12" x14ac:dyDescent="0.2">
      <c r="A2083" t="s">
        <v>39</v>
      </c>
      <c r="B2083" t="s">
        <v>12</v>
      </c>
      <c r="C2083">
        <v>35.76</v>
      </c>
      <c r="D2083" t="s">
        <v>13</v>
      </c>
      <c r="E2083" t="s">
        <v>14</v>
      </c>
      <c r="F2083" t="s">
        <v>53</v>
      </c>
      <c r="G2083" t="s">
        <v>270</v>
      </c>
      <c r="H2083" t="s">
        <v>54</v>
      </c>
      <c r="I2083" t="s">
        <v>11</v>
      </c>
      <c r="J2083" t="s">
        <v>301</v>
      </c>
      <c r="K2083" s="1">
        <v>0.32936725694444446</v>
      </c>
      <c r="L2083">
        <f>YEAR(Coffe_sales[[#This Row],[Date]])</f>
        <v>2024</v>
      </c>
    </row>
    <row r="2084" spans="1:12" x14ac:dyDescent="0.2">
      <c r="A2084" t="s">
        <v>123</v>
      </c>
      <c r="B2084" t="s">
        <v>12</v>
      </c>
      <c r="C2084">
        <v>35.76</v>
      </c>
      <c r="D2084" t="s">
        <v>13</v>
      </c>
      <c r="E2084" t="s">
        <v>14</v>
      </c>
      <c r="F2084" t="s">
        <v>53</v>
      </c>
      <c r="G2084" t="s">
        <v>270</v>
      </c>
      <c r="H2084" t="s">
        <v>54</v>
      </c>
      <c r="I2084" t="s">
        <v>11</v>
      </c>
      <c r="J2084" t="s">
        <v>301</v>
      </c>
      <c r="K2084" s="1">
        <v>0.36034604166666667</v>
      </c>
      <c r="L2084">
        <f>YEAR(Coffe_sales[[#This Row],[Date]])</f>
        <v>2024</v>
      </c>
    </row>
    <row r="2085" spans="1:12" x14ac:dyDescent="0.2">
      <c r="A2085" t="s">
        <v>46</v>
      </c>
      <c r="B2085" t="s">
        <v>12</v>
      </c>
      <c r="C2085">
        <v>30.86</v>
      </c>
      <c r="D2085" t="s">
        <v>26</v>
      </c>
      <c r="E2085" t="s">
        <v>14</v>
      </c>
      <c r="F2085" t="s">
        <v>53</v>
      </c>
      <c r="G2085" t="s">
        <v>270</v>
      </c>
      <c r="H2085" t="s">
        <v>54</v>
      </c>
      <c r="I2085" t="s">
        <v>11</v>
      </c>
      <c r="J2085" t="s">
        <v>301</v>
      </c>
      <c r="K2085" s="1">
        <v>0.38772106481481483</v>
      </c>
      <c r="L2085">
        <f>YEAR(Coffe_sales[[#This Row],[Date]])</f>
        <v>2024</v>
      </c>
    </row>
    <row r="2086" spans="1:12" x14ac:dyDescent="0.2">
      <c r="A2086" t="s">
        <v>25</v>
      </c>
      <c r="B2086" t="s">
        <v>12</v>
      </c>
      <c r="C2086">
        <v>35.76</v>
      </c>
      <c r="D2086" t="s">
        <v>13</v>
      </c>
      <c r="E2086" t="s">
        <v>22</v>
      </c>
      <c r="F2086" t="s">
        <v>53</v>
      </c>
      <c r="G2086" t="s">
        <v>270</v>
      </c>
      <c r="H2086" t="s">
        <v>54</v>
      </c>
      <c r="I2086" t="s">
        <v>11</v>
      </c>
      <c r="J2086" t="s">
        <v>301</v>
      </c>
      <c r="K2086" s="1">
        <v>0.6662811111111111</v>
      </c>
      <c r="L2086">
        <f>YEAR(Coffe_sales[[#This Row],[Date]])</f>
        <v>2024</v>
      </c>
    </row>
    <row r="2087" spans="1:12" x14ac:dyDescent="0.2">
      <c r="A2087" t="s">
        <v>27</v>
      </c>
      <c r="B2087" t="s">
        <v>12</v>
      </c>
      <c r="C2087">
        <v>30.86</v>
      </c>
      <c r="D2087" t="s">
        <v>26</v>
      </c>
      <c r="E2087" t="s">
        <v>22</v>
      </c>
      <c r="F2087" t="s">
        <v>53</v>
      </c>
      <c r="G2087" t="s">
        <v>270</v>
      </c>
      <c r="H2087" t="s">
        <v>54</v>
      </c>
      <c r="I2087" t="s">
        <v>11</v>
      </c>
      <c r="J2087" t="s">
        <v>301</v>
      </c>
      <c r="K2087" s="1">
        <v>0.66702526620370373</v>
      </c>
      <c r="L2087">
        <f>YEAR(Coffe_sales[[#This Row],[Date]])</f>
        <v>2024</v>
      </c>
    </row>
    <row r="2088" spans="1:12" x14ac:dyDescent="0.2">
      <c r="A2088" t="s">
        <v>123</v>
      </c>
      <c r="B2088" t="s">
        <v>12</v>
      </c>
      <c r="C2088">
        <v>35.76</v>
      </c>
      <c r="D2088" t="s">
        <v>31</v>
      </c>
      <c r="E2088" t="s">
        <v>14</v>
      </c>
      <c r="F2088" t="s">
        <v>15</v>
      </c>
      <c r="G2088" t="s">
        <v>302</v>
      </c>
      <c r="H2088" t="s">
        <v>17</v>
      </c>
      <c r="I2088" t="s">
        <v>35</v>
      </c>
      <c r="J2088" t="s">
        <v>303</v>
      </c>
      <c r="K2088" s="1">
        <v>0.35003936342592595</v>
      </c>
      <c r="L2088">
        <f>YEAR(Coffe_sales[[#This Row],[Date]])</f>
        <v>2024</v>
      </c>
    </row>
    <row r="2089" spans="1:12" x14ac:dyDescent="0.2">
      <c r="A2089" t="s">
        <v>123</v>
      </c>
      <c r="B2089" t="s">
        <v>12</v>
      </c>
      <c r="C2089">
        <v>25.96</v>
      </c>
      <c r="D2089" t="s">
        <v>24</v>
      </c>
      <c r="E2089" t="s">
        <v>14</v>
      </c>
      <c r="F2089" t="s">
        <v>15</v>
      </c>
      <c r="G2089" t="s">
        <v>302</v>
      </c>
      <c r="H2089" t="s">
        <v>17</v>
      </c>
      <c r="I2089" t="s">
        <v>35</v>
      </c>
      <c r="J2089" t="s">
        <v>303</v>
      </c>
      <c r="K2089" s="1">
        <v>0.35483381944444442</v>
      </c>
      <c r="L2089">
        <f>YEAR(Coffe_sales[[#This Row],[Date]])</f>
        <v>2024</v>
      </c>
    </row>
    <row r="2090" spans="1:12" x14ac:dyDescent="0.2">
      <c r="A2090" t="s">
        <v>11</v>
      </c>
      <c r="B2090" t="s">
        <v>12</v>
      </c>
      <c r="C2090">
        <v>35.76</v>
      </c>
      <c r="D2090" t="s">
        <v>13</v>
      </c>
      <c r="E2090" t="s">
        <v>14</v>
      </c>
      <c r="F2090" t="s">
        <v>15</v>
      </c>
      <c r="G2090" t="s">
        <v>302</v>
      </c>
      <c r="H2090" t="s">
        <v>17</v>
      </c>
      <c r="I2090" t="s">
        <v>35</v>
      </c>
      <c r="J2090" t="s">
        <v>303</v>
      </c>
      <c r="K2090" s="1">
        <v>0.45474971064814818</v>
      </c>
      <c r="L2090">
        <f>YEAR(Coffe_sales[[#This Row],[Date]])</f>
        <v>2024</v>
      </c>
    </row>
    <row r="2091" spans="1:12" x14ac:dyDescent="0.2">
      <c r="A2091" t="s">
        <v>20</v>
      </c>
      <c r="B2091" t="s">
        <v>12</v>
      </c>
      <c r="C2091">
        <v>35.76</v>
      </c>
      <c r="D2091" t="s">
        <v>31</v>
      </c>
      <c r="E2091" t="s">
        <v>22</v>
      </c>
      <c r="F2091" t="s">
        <v>15</v>
      </c>
      <c r="G2091" t="s">
        <v>302</v>
      </c>
      <c r="H2091" t="s">
        <v>17</v>
      </c>
      <c r="I2091" t="s">
        <v>35</v>
      </c>
      <c r="J2091" t="s">
        <v>303</v>
      </c>
      <c r="K2091" s="1">
        <v>0.52877934027777773</v>
      </c>
      <c r="L2091">
        <f>YEAR(Coffe_sales[[#This Row],[Date]])</f>
        <v>2024</v>
      </c>
    </row>
    <row r="2092" spans="1:12" x14ac:dyDescent="0.2">
      <c r="A2092" t="s">
        <v>20</v>
      </c>
      <c r="B2092" t="s">
        <v>12</v>
      </c>
      <c r="C2092">
        <v>35.76</v>
      </c>
      <c r="D2092" t="s">
        <v>31</v>
      </c>
      <c r="E2092" t="s">
        <v>22</v>
      </c>
      <c r="F2092" t="s">
        <v>15</v>
      </c>
      <c r="G2092" t="s">
        <v>302</v>
      </c>
      <c r="H2092" t="s">
        <v>17</v>
      </c>
      <c r="I2092" t="s">
        <v>35</v>
      </c>
      <c r="J2092" t="s">
        <v>303</v>
      </c>
      <c r="K2092" s="1">
        <v>0.52938006944444449</v>
      </c>
      <c r="L2092">
        <f>YEAR(Coffe_sales[[#This Row],[Date]])</f>
        <v>2024</v>
      </c>
    </row>
    <row r="2093" spans="1:12" x14ac:dyDescent="0.2">
      <c r="A2093" t="s">
        <v>25</v>
      </c>
      <c r="B2093" t="s">
        <v>12</v>
      </c>
      <c r="C2093">
        <v>25.96</v>
      </c>
      <c r="D2093" t="s">
        <v>41</v>
      </c>
      <c r="E2093" t="s">
        <v>22</v>
      </c>
      <c r="F2093" t="s">
        <v>15</v>
      </c>
      <c r="G2093" t="s">
        <v>302</v>
      </c>
      <c r="H2093" t="s">
        <v>17</v>
      </c>
      <c r="I2093" t="s">
        <v>35</v>
      </c>
      <c r="J2093" t="s">
        <v>303</v>
      </c>
      <c r="K2093" s="1">
        <v>0.66368546296296294</v>
      </c>
      <c r="L2093">
        <f>YEAR(Coffe_sales[[#This Row],[Date]])</f>
        <v>2024</v>
      </c>
    </row>
    <row r="2094" spans="1:12" x14ac:dyDescent="0.2">
      <c r="A2094" t="s">
        <v>125</v>
      </c>
      <c r="B2094" t="s">
        <v>12</v>
      </c>
      <c r="C2094">
        <v>30.86</v>
      </c>
      <c r="D2094" t="s">
        <v>26</v>
      </c>
      <c r="E2094" t="s">
        <v>29</v>
      </c>
      <c r="F2094" t="s">
        <v>15</v>
      </c>
      <c r="G2094" t="s">
        <v>302</v>
      </c>
      <c r="H2094" t="s">
        <v>17</v>
      </c>
      <c r="I2094" t="s">
        <v>35</v>
      </c>
      <c r="J2094" t="s">
        <v>303</v>
      </c>
      <c r="K2094" s="1">
        <v>0.94578583333333333</v>
      </c>
      <c r="L2094">
        <f>YEAR(Coffe_sales[[#This Row],[Date]])</f>
        <v>2024</v>
      </c>
    </row>
    <row r="2095" spans="1:12" x14ac:dyDescent="0.2">
      <c r="A2095" t="s">
        <v>123</v>
      </c>
      <c r="B2095" t="s">
        <v>12</v>
      </c>
      <c r="C2095">
        <v>25.96</v>
      </c>
      <c r="D2095" t="s">
        <v>41</v>
      </c>
      <c r="E2095" t="s">
        <v>14</v>
      </c>
      <c r="F2095" t="s">
        <v>32</v>
      </c>
      <c r="G2095" t="s">
        <v>302</v>
      </c>
      <c r="H2095" t="s">
        <v>33</v>
      </c>
      <c r="I2095" t="s">
        <v>35</v>
      </c>
      <c r="J2095" t="s">
        <v>304</v>
      </c>
      <c r="K2095" s="1">
        <v>0.34704078703703706</v>
      </c>
      <c r="L2095">
        <f>YEAR(Coffe_sales[[#This Row],[Date]])</f>
        <v>2024</v>
      </c>
    </row>
    <row r="2096" spans="1:12" x14ac:dyDescent="0.2">
      <c r="A2096" t="s">
        <v>11</v>
      </c>
      <c r="B2096" t="s">
        <v>12</v>
      </c>
      <c r="C2096">
        <v>35.76</v>
      </c>
      <c r="D2096" t="s">
        <v>31</v>
      </c>
      <c r="E2096" t="s">
        <v>14</v>
      </c>
      <c r="F2096" t="s">
        <v>32</v>
      </c>
      <c r="G2096" t="s">
        <v>302</v>
      </c>
      <c r="H2096" t="s">
        <v>33</v>
      </c>
      <c r="I2096" t="s">
        <v>35</v>
      </c>
      <c r="J2096" t="s">
        <v>304</v>
      </c>
      <c r="K2096" s="1">
        <v>0.43455980324074073</v>
      </c>
      <c r="L2096">
        <f>YEAR(Coffe_sales[[#This Row],[Date]])</f>
        <v>2024</v>
      </c>
    </row>
    <row r="2097" spans="1:12" x14ac:dyDescent="0.2">
      <c r="A2097" t="s">
        <v>11</v>
      </c>
      <c r="B2097" t="s">
        <v>12</v>
      </c>
      <c r="C2097">
        <v>30.86</v>
      </c>
      <c r="D2097" t="s">
        <v>26</v>
      </c>
      <c r="E2097" t="s">
        <v>14</v>
      </c>
      <c r="F2097" t="s">
        <v>32</v>
      </c>
      <c r="G2097" t="s">
        <v>302</v>
      </c>
      <c r="H2097" t="s">
        <v>33</v>
      </c>
      <c r="I2097" t="s">
        <v>35</v>
      </c>
      <c r="J2097" t="s">
        <v>304</v>
      </c>
      <c r="K2097" s="1">
        <v>0.43969400462962965</v>
      </c>
      <c r="L2097">
        <f>YEAR(Coffe_sales[[#This Row],[Date]])</f>
        <v>2024</v>
      </c>
    </row>
    <row r="2098" spans="1:12" x14ac:dyDescent="0.2">
      <c r="A2098" t="s">
        <v>36</v>
      </c>
      <c r="B2098" t="s">
        <v>12</v>
      </c>
      <c r="C2098">
        <v>30.86</v>
      </c>
      <c r="D2098" t="s">
        <v>26</v>
      </c>
      <c r="E2098" t="s">
        <v>22</v>
      </c>
      <c r="F2098" t="s">
        <v>32</v>
      </c>
      <c r="G2098" t="s">
        <v>302</v>
      </c>
      <c r="H2098" t="s">
        <v>33</v>
      </c>
      <c r="I2098" t="s">
        <v>35</v>
      </c>
      <c r="J2098" t="s">
        <v>304</v>
      </c>
      <c r="K2098" s="1">
        <v>0.62100287037037039</v>
      </c>
      <c r="L2098">
        <f>YEAR(Coffe_sales[[#This Row],[Date]])</f>
        <v>2024</v>
      </c>
    </row>
    <row r="2099" spans="1:12" x14ac:dyDescent="0.2">
      <c r="A2099" t="s">
        <v>27</v>
      </c>
      <c r="B2099" t="s">
        <v>12</v>
      </c>
      <c r="C2099">
        <v>35.76</v>
      </c>
      <c r="D2099" t="s">
        <v>21</v>
      </c>
      <c r="E2099" t="s">
        <v>22</v>
      </c>
      <c r="F2099" t="s">
        <v>32</v>
      </c>
      <c r="G2099" t="s">
        <v>302</v>
      </c>
      <c r="H2099" t="s">
        <v>33</v>
      </c>
      <c r="I2099" t="s">
        <v>35</v>
      </c>
      <c r="J2099" t="s">
        <v>304</v>
      </c>
      <c r="K2099" s="1">
        <v>0.68351684027777782</v>
      </c>
      <c r="L2099">
        <f>YEAR(Coffe_sales[[#This Row],[Date]])</f>
        <v>2024</v>
      </c>
    </row>
    <row r="2100" spans="1:12" x14ac:dyDescent="0.2">
      <c r="A2100" t="s">
        <v>27</v>
      </c>
      <c r="B2100" t="s">
        <v>12</v>
      </c>
      <c r="C2100">
        <v>35.76</v>
      </c>
      <c r="D2100" t="s">
        <v>13</v>
      </c>
      <c r="E2100" t="s">
        <v>22</v>
      </c>
      <c r="F2100" t="s">
        <v>32</v>
      </c>
      <c r="G2100" t="s">
        <v>302</v>
      </c>
      <c r="H2100" t="s">
        <v>33</v>
      </c>
      <c r="I2100" t="s">
        <v>35</v>
      </c>
      <c r="J2100" t="s">
        <v>304</v>
      </c>
      <c r="K2100" s="1">
        <v>0.68468763888888884</v>
      </c>
      <c r="L2100">
        <f>YEAR(Coffe_sales[[#This Row],[Date]])</f>
        <v>2024</v>
      </c>
    </row>
    <row r="2101" spans="1:12" x14ac:dyDescent="0.2">
      <c r="A2101" t="s">
        <v>27</v>
      </c>
      <c r="B2101" t="s">
        <v>12</v>
      </c>
      <c r="C2101">
        <v>35.76</v>
      </c>
      <c r="D2101" t="s">
        <v>13</v>
      </c>
      <c r="E2101" t="s">
        <v>22</v>
      </c>
      <c r="F2101" t="s">
        <v>32</v>
      </c>
      <c r="G2101" t="s">
        <v>302</v>
      </c>
      <c r="H2101" t="s">
        <v>33</v>
      </c>
      <c r="I2101" t="s">
        <v>35</v>
      </c>
      <c r="J2101" t="s">
        <v>304</v>
      </c>
      <c r="K2101" s="1">
        <v>0.69241903935185189</v>
      </c>
      <c r="L2101">
        <f>YEAR(Coffe_sales[[#This Row],[Date]])</f>
        <v>2024</v>
      </c>
    </row>
    <row r="2102" spans="1:12" x14ac:dyDescent="0.2">
      <c r="A2102" t="s">
        <v>28</v>
      </c>
      <c r="B2102" t="s">
        <v>12</v>
      </c>
      <c r="C2102">
        <v>30.86</v>
      </c>
      <c r="D2102" t="s">
        <v>26</v>
      </c>
      <c r="E2102" t="s">
        <v>29</v>
      </c>
      <c r="F2102" t="s">
        <v>32</v>
      </c>
      <c r="G2102" t="s">
        <v>302</v>
      </c>
      <c r="H2102" t="s">
        <v>33</v>
      </c>
      <c r="I2102" t="s">
        <v>35</v>
      </c>
      <c r="J2102" t="s">
        <v>304</v>
      </c>
      <c r="K2102" s="1">
        <v>0.7628145833333333</v>
      </c>
      <c r="L2102">
        <f>YEAR(Coffe_sales[[#This Row],[Date]])</f>
        <v>2024</v>
      </c>
    </row>
    <row r="2103" spans="1:12" x14ac:dyDescent="0.2">
      <c r="A2103" t="s">
        <v>28</v>
      </c>
      <c r="B2103" t="s">
        <v>12</v>
      </c>
      <c r="C2103">
        <v>25.96</v>
      </c>
      <c r="D2103" t="s">
        <v>24</v>
      </c>
      <c r="E2103" t="s">
        <v>29</v>
      </c>
      <c r="F2103" t="s">
        <v>32</v>
      </c>
      <c r="G2103" t="s">
        <v>302</v>
      </c>
      <c r="H2103" t="s">
        <v>33</v>
      </c>
      <c r="I2103" t="s">
        <v>35</v>
      </c>
      <c r="J2103" t="s">
        <v>304</v>
      </c>
      <c r="K2103" s="1">
        <v>0.79055002314814815</v>
      </c>
      <c r="L2103">
        <f>YEAR(Coffe_sales[[#This Row],[Date]])</f>
        <v>2024</v>
      </c>
    </row>
    <row r="2104" spans="1:12" x14ac:dyDescent="0.2">
      <c r="A2104" t="s">
        <v>123</v>
      </c>
      <c r="B2104" t="s">
        <v>12</v>
      </c>
      <c r="C2104">
        <v>25.96</v>
      </c>
      <c r="D2104" t="s">
        <v>41</v>
      </c>
      <c r="E2104" t="s">
        <v>14</v>
      </c>
      <c r="F2104" t="s">
        <v>38</v>
      </c>
      <c r="G2104" t="s">
        <v>302</v>
      </c>
      <c r="H2104" t="s">
        <v>39</v>
      </c>
      <c r="I2104" t="s">
        <v>35</v>
      </c>
      <c r="J2104" t="s">
        <v>305</v>
      </c>
      <c r="K2104" s="1">
        <v>0.34930974537037035</v>
      </c>
      <c r="L2104">
        <f>YEAR(Coffe_sales[[#This Row],[Date]])</f>
        <v>2024</v>
      </c>
    </row>
    <row r="2105" spans="1:12" x14ac:dyDescent="0.2">
      <c r="A2105" t="s">
        <v>46</v>
      </c>
      <c r="B2105" t="s">
        <v>12</v>
      </c>
      <c r="C2105">
        <v>30.86</v>
      </c>
      <c r="D2105" t="s">
        <v>26</v>
      </c>
      <c r="E2105" t="s">
        <v>14</v>
      </c>
      <c r="F2105" t="s">
        <v>38</v>
      </c>
      <c r="G2105" t="s">
        <v>302</v>
      </c>
      <c r="H2105" t="s">
        <v>39</v>
      </c>
      <c r="I2105" t="s">
        <v>35</v>
      </c>
      <c r="J2105" t="s">
        <v>305</v>
      </c>
      <c r="K2105" s="1">
        <v>0.40770862268518521</v>
      </c>
      <c r="L2105">
        <f>YEAR(Coffe_sales[[#This Row],[Date]])</f>
        <v>2024</v>
      </c>
    </row>
    <row r="2106" spans="1:12" x14ac:dyDescent="0.2">
      <c r="A2106" t="s">
        <v>46</v>
      </c>
      <c r="B2106" t="s">
        <v>12</v>
      </c>
      <c r="C2106">
        <v>30.86</v>
      </c>
      <c r="D2106" t="s">
        <v>26</v>
      </c>
      <c r="E2106" t="s">
        <v>14</v>
      </c>
      <c r="F2106" t="s">
        <v>38</v>
      </c>
      <c r="G2106" t="s">
        <v>302</v>
      </c>
      <c r="H2106" t="s">
        <v>39</v>
      </c>
      <c r="I2106" t="s">
        <v>35</v>
      </c>
      <c r="J2106" t="s">
        <v>305</v>
      </c>
      <c r="K2106" s="1">
        <v>0.40847241898148146</v>
      </c>
      <c r="L2106">
        <f>YEAR(Coffe_sales[[#This Row],[Date]])</f>
        <v>2024</v>
      </c>
    </row>
    <row r="2107" spans="1:12" x14ac:dyDescent="0.2">
      <c r="A2107" t="s">
        <v>23</v>
      </c>
      <c r="B2107" t="s">
        <v>12</v>
      </c>
      <c r="C2107">
        <v>35.76</v>
      </c>
      <c r="D2107" t="s">
        <v>13</v>
      </c>
      <c r="E2107" t="s">
        <v>22</v>
      </c>
      <c r="F2107" t="s">
        <v>38</v>
      </c>
      <c r="G2107" t="s">
        <v>302</v>
      </c>
      <c r="H2107" t="s">
        <v>39</v>
      </c>
      <c r="I2107" t="s">
        <v>35</v>
      </c>
      <c r="J2107" t="s">
        <v>305</v>
      </c>
      <c r="K2107" s="1">
        <v>0.55128939814814815</v>
      </c>
      <c r="L2107">
        <f>YEAR(Coffe_sales[[#This Row],[Date]])</f>
        <v>2024</v>
      </c>
    </row>
    <row r="2108" spans="1:12" x14ac:dyDescent="0.2">
      <c r="A2108" t="s">
        <v>23</v>
      </c>
      <c r="B2108" t="s">
        <v>12</v>
      </c>
      <c r="C2108">
        <v>30.86</v>
      </c>
      <c r="D2108" t="s">
        <v>26</v>
      </c>
      <c r="E2108" t="s">
        <v>22</v>
      </c>
      <c r="F2108" t="s">
        <v>38</v>
      </c>
      <c r="G2108" t="s">
        <v>302</v>
      </c>
      <c r="H2108" t="s">
        <v>39</v>
      </c>
      <c r="I2108" t="s">
        <v>35</v>
      </c>
      <c r="J2108" t="s">
        <v>305</v>
      </c>
      <c r="K2108" s="1">
        <v>0.55204482638888885</v>
      </c>
      <c r="L2108">
        <f>YEAR(Coffe_sales[[#This Row],[Date]])</f>
        <v>2024</v>
      </c>
    </row>
    <row r="2109" spans="1:12" x14ac:dyDescent="0.2">
      <c r="A2109" t="s">
        <v>23</v>
      </c>
      <c r="B2109" t="s">
        <v>12</v>
      </c>
      <c r="C2109">
        <v>35.76</v>
      </c>
      <c r="D2109" t="s">
        <v>31</v>
      </c>
      <c r="E2109" t="s">
        <v>22</v>
      </c>
      <c r="F2109" t="s">
        <v>38</v>
      </c>
      <c r="G2109" t="s">
        <v>302</v>
      </c>
      <c r="H2109" t="s">
        <v>39</v>
      </c>
      <c r="I2109" t="s">
        <v>35</v>
      </c>
      <c r="J2109" t="s">
        <v>305</v>
      </c>
      <c r="K2109" s="1">
        <v>0.5544530324074074</v>
      </c>
      <c r="L2109">
        <f>YEAR(Coffe_sales[[#This Row],[Date]])</f>
        <v>2024</v>
      </c>
    </row>
    <row r="2110" spans="1:12" x14ac:dyDescent="0.2">
      <c r="A2110" t="s">
        <v>23</v>
      </c>
      <c r="B2110" t="s">
        <v>12</v>
      </c>
      <c r="C2110">
        <v>25.96</v>
      </c>
      <c r="D2110" t="s">
        <v>24</v>
      </c>
      <c r="E2110" t="s">
        <v>22</v>
      </c>
      <c r="F2110" t="s">
        <v>38</v>
      </c>
      <c r="G2110" t="s">
        <v>302</v>
      </c>
      <c r="H2110" t="s">
        <v>39</v>
      </c>
      <c r="I2110" t="s">
        <v>35</v>
      </c>
      <c r="J2110" t="s">
        <v>305</v>
      </c>
      <c r="K2110" s="1">
        <v>0.57243652777777776</v>
      </c>
      <c r="L2110">
        <f>YEAR(Coffe_sales[[#This Row],[Date]])</f>
        <v>2024</v>
      </c>
    </row>
    <row r="2111" spans="1:12" x14ac:dyDescent="0.2">
      <c r="A2111" t="s">
        <v>23</v>
      </c>
      <c r="B2111" t="s">
        <v>12</v>
      </c>
      <c r="C2111">
        <v>30.86</v>
      </c>
      <c r="D2111" t="s">
        <v>26</v>
      </c>
      <c r="E2111" t="s">
        <v>22</v>
      </c>
      <c r="F2111" t="s">
        <v>38</v>
      </c>
      <c r="G2111" t="s">
        <v>302</v>
      </c>
      <c r="H2111" t="s">
        <v>39</v>
      </c>
      <c r="I2111" t="s">
        <v>35</v>
      </c>
      <c r="J2111" t="s">
        <v>305</v>
      </c>
      <c r="K2111" s="1">
        <v>0.58265135416666669</v>
      </c>
      <c r="L2111">
        <f>YEAR(Coffe_sales[[#This Row],[Date]])</f>
        <v>2024</v>
      </c>
    </row>
    <row r="2112" spans="1:12" x14ac:dyDescent="0.2">
      <c r="A2112" t="s">
        <v>27</v>
      </c>
      <c r="B2112" t="s">
        <v>12</v>
      </c>
      <c r="C2112">
        <v>35.76</v>
      </c>
      <c r="D2112" t="s">
        <v>21</v>
      </c>
      <c r="E2112" t="s">
        <v>22</v>
      </c>
      <c r="F2112" t="s">
        <v>38</v>
      </c>
      <c r="G2112" t="s">
        <v>302</v>
      </c>
      <c r="H2112" t="s">
        <v>39</v>
      </c>
      <c r="I2112" t="s">
        <v>35</v>
      </c>
      <c r="J2112" t="s">
        <v>305</v>
      </c>
      <c r="K2112" s="1">
        <v>0.67728825231481482</v>
      </c>
      <c r="L2112">
        <f>YEAR(Coffe_sales[[#This Row],[Date]])</f>
        <v>2024</v>
      </c>
    </row>
    <row r="2113" spans="1:12" x14ac:dyDescent="0.2">
      <c r="A2113" t="s">
        <v>27</v>
      </c>
      <c r="B2113" t="s">
        <v>12</v>
      </c>
      <c r="C2113">
        <v>35.76</v>
      </c>
      <c r="D2113" t="s">
        <v>21</v>
      </c>
      <c r="E2113" t="s">
        <v>22</v>
      </c>
      <c r="F2113" t="s">
        <v>38</v>
      </c>
      <c r="G2113" t="s">
        <v>302</v>
      </c>
      <c r="H2113" t="s">
        <v>39</v>
      </c>
      <c r="I2113" t="s">
        <v>35</v>
      </c>
      <c r="J2113" t="s">
        <v>305</v>
      </c>
      <c r="K2113" s="1">
        <v>0.67828179398148147</v>
      </c>
      <c r="L2113">
        <f>YEAR(Coffe_sales[[#This Row],[Date]])</f>
        <v>2024</v>
      </c>
    </row>
    <row r="2114" spans="1:12" x14ac:dyDescent="0.2">
      <c r="A2114" t="s">
        <v>27</v>
      </c>
      <c r="B2114" t="s">
        <v>12</v>
      </c>
      <c r="C2114">
        <v>25.96</v>
      </c>
      <c r="D2114" t="s">
        <v>24</v>
      </c>
      <c r="E2114" t="s">
        <v>22</v>
      </c>
      <c r="F2114" t="s">
        <v>38</v>
      </c>
      <c r="G2114" t="s">
        <v>302</v>
      </c>
      <c r="H2114" t="s">
        <v>39</v>
      </c>
      <c r="I2114" t="s">
        <v>35</v>
      </c>
      <c r="J2114" t="s">
        <v>305</v>
      </c>
      <c r="K2114" s="1">
        <v>0.6809851388888889</v>
      </c>
      <c r="L2114">
        <f>YEAR(Coffe_sales[[#This Row],[Date]])</f>
        <v>2024</v>
      </c>
    </row>
    <row r="2115" spans="1:12" x14ac:dyDescent="0.2">
      <c r="A2115" t="s">
        <v>27</v>
      </c>
      <c r="B2115" t="s">
        <v>12</v>
      </c>
      <c r="C2115">
        <v>25.96</v>
      </c>
      <c r="D2115" t="s">
        <v>24</v>
      </c>
      <c r="E2115" t="s">
        <v>22</v>
      </c>
      <c r="F2115" t="s">
        <v>38</v>
      </c>
      <c r="G2115" t="s">
        <v>302</v>
      </c>
      <c r="H2115" t="s">
        <v>39</v>
      </c>
      <c r="I2115" t="s">
        <v>35</v>
      </c>
      <c r="J2115" t="s">
        <v>305</v>
      </c>
      <c r="K2115" s="1">
        <v>0.68178304398148148</v>
      </c>
      <c r="L2115">
        <f>YEAR(Coffe_sales[[#This Row],[Date]])</f>
        <v>2024</v>
      </c>
    </row>
    <row r="2116" spans="1:12" x14ac:dyDescent="0.2">
      <c r="A2116" t="s">
        <v>91</v>
      </c>
      <c r="B2116" t="s">
        <v>12</v>
      </c>
      <c r="C2116">
        <v>35.76</v>
      </c>
      <c r="D2116" t="s">
        <v>31</v>
      </c>
      <c r="E2116" t="s">
        <v>29</v>
      </c>
      <c r="F2116" t="s">
        <v>38</v>
      </c>
      <c r="G2116" t="s">
        <v>302</v>
      </c>
      <c r="H2116" t="s">
        <v>39</v>
      </c>
      <c r="I2116" t="s">
        <v>35</v>
      </c>
      <c r="J2116" t="s">
        <v>305</v>
      </c>
      <c r="K2116" s="1">
        <v>0.85155822916666668</v>
      </c>
      <c r="L2116">
        <f>YEAR(Coffe_sales[[#This Row],[Date]])</f>
        <v>2024</v>
      </c>
    </row>
    <row r="2117" spans="1:12" x14ac:dyDescent="0.2">
      <c r="A2117" t="s">
        <v>39</v>
      </c>
      <c r="B2117" t="s">
        <v>12</v>
      </c>
      <c r="C2117">
        <v>35.76</v>
      </c>
      <c r="D2117" t="s">
        <v>13</v>
      </c>
      <c r="E2117" t="s">
        <v>14</v>
      </c>
      <c r="F2117" t="s">
        <v>42</v>
      </c>
      <c r="G2117" t="s">
        <v>302</v>
      </c>
      <c r="H2117" t="s">
        <v>43</v>
      </c>
      <c r="I2117" t="s">
        <v>35</v>
      </c>
      <c r="J2117" t="s">
        <v>306</v>
      </c>
      <c r="K2117" s="1">
        <v>0.32195461805555553</v>
      </c>
      <c r="L2117">
        <f>YEAR(Coffe_sales[[#This Row],[Date]])</f>
        <v>2024</v>
      </c>
    </row>
    <row r="2118" spans="1:12" x14ac:dyDescent="0.2">
      <c r="A2118" t="s">
        <v>123</v>
      </c>
      <c r="B2118" t="s">
        <v>12</v>
      </c>
      <c r="C2118">
        <v>35.76</v>
      </c>
      <c r="D2118" t="s">
        <v>13</v>
      </c>
      <c r="E2118" t="s">
        <v>14</v>
      </c>
      <c r="F2118" t="s">
        <v>42</v>
      </c>
      <c r="G2118" t="s">
        <v>302</v>
      </c>
      <c r="H2118" t="s">
        <v>43</v>
      </c>
      <c r="I2118" t="s">
        <v>35</v>
      </c>
      <c r="J2118" t="s">
        <v>306</v>
      </c>
      <c r="K2118" s="1">
        <v>0.35941365740740738</v>
      </c>
      <c r="L2118">
        <f>YEAR(Coffe_sales[[#This Row],[Date]])</f>
        <v>2024</v>
      </c>
    </row>
    <row r="2119" spans="1:12" x14ac:dyDescent="0.2">
      <c r="A2119" t="s">
        <v>123</v>
      </c>
      <c r="B2119" t="s">
        <v>12</v>
      </c>
      <c r="C2119">
        <v>30.86</v>
      </c>
      <c r="D2119" t="s">
        <v>26</v>
      </c>
      <c r="E2119" t="s">
        <v>14</v>
      </c>
      <c r="F2119" t="s">
        <v>42</v>
      </c>
      <c r="G2119" t="s">
        <v>302</v>
      </c>
      <c r="H2119" t="s">
        <v>43</v>
      </c>
      <c r="I2119" t="s">
        <v>35</v>
      </c>
      <c r="J2119" t="s">
        <v>306</v>
      </c>
      <c r="K2119" s="1">
        <v>0.36040351851851854</v>
      </c>
      <c r="L2119">
        <f>YEAR(Coffe_sales[[#This Row],[Date]])</f>
        <v>2024</v>
      </c>
    </row>
    <row r="2120" spans="1:12" x14ac:dyDescent="0.2">
      <c r="A2120" t="s">
        <v>20</v>
      </c>
      <c r="B2120" t="s">
        <v>12</v>
      </c>
      <c r="C2120">
        <v>25.96</v>
      </c>
      <c r="D2120" t="s">
        <v>24</v>
      </c>
      <c r="E2120" t="s">
        <v>22</v>
      </c>
      <c r="F2120" t="s">
        <v>42</v>
      </c>
      <c r="G2120" t="s">
        <v>302</v>
      </c>
      <c r="H2120" t="s">
        <v>43</v>
      </c>
      <c r="I2120" t="s">
        <v>35</v>
      </c>
      <c r="J2120" t="s">
        <v>306</v>
      </c>
      <c r="K2120" s="1">
        <v>0.52333085648148148</v>
      </c>
      <c r="L2120">
        <f>YEAR(Coffe_sales[[#This Row],[Date]])</f>
        <v>2024</v>
      </c>
    </row>
    <row r="2121" spans="1:12" x14ac:dyDescent="0.2">
      <c r="A2121" t="s">
        <v>20</v>
      </c>
      <c r="B2121" t="s">
        <v>12</v>
      </c>
      <c r="C2121">
        <v>30.86</v>
      </c>
      <c r="D2121" t="s">
        <v>26</v>
      </c>
      <c r="E2121" t="s">
        <v>22</v>
      </c>
      <c r="F2121" t="s">
        <v>42</v>
      </c>
      <c r="G2121" t="s">
        <v>302</v>
      </c>
      <c r="H2121" t="s">
        <v>43</v>
      </c>
      <c r="I2121" t="s">
        <v>35</v>
      </c>
      <c r="J2121" t="s">
        <v>306</v>
      </c>
      <c r="K2121" s="1">
        <v>0.52437570601851857</v>
      </c>
      <c r="L2121">
        <f>YEAR(Coffe_sales[[#This Row],[Date]])</f>
        <v>2024</v>
      </c>
    </row>
    <row r="2122" spans="1:12" x14ac:dyDescent="0.2">
      <c r="A2122" t="s">
        <v>36</v>
      </c>
      <c r="B2122" t="s">
        <v>12</v>
      </c>
      <c r="C2122">
        <v>35.76</v>
      </c>
      <c r="D2122" t="s">
        <v>31</v>
      </c>
      <c r="E2122" t="s">
        <v>22</v>
      </c>
      <c r="F2122" t="s">
        <v>42</v>
      </c>
      <c r="G2122" t="s">
        <v>302</v>
      </c>
      <c r="H2122" t="s">
        <v>43</v>
      </c>
      <c r="I2122" t="s">
        <v>35</v>
      </c>
      <c r="J2122" t="s">
        <v>306</v>
      </c>
      <c r="K2122" s="1">
        <v>0.61432931712962968</v>
      </c>
      <c r="L2122">
        <f>YEAR(Coffe_sales[[#This Row],[Date]])</f>
        <v>2024</v>
      </c>
    </row>
    <row r="2123" spans="1:12" x14ac:dyDescent="0.2">
      <c r="A2123" t="s">
        <v>36</v>
      </c>
      <c r="B2123" t="s">
        <v>12</v>
      </c>
      <c r="C2123">
        <v>35.76</v>
      </c>
      <c r="D2123" t="s">
        <v>31</v>
      </c>
      <c r="E2123" t="s">
        <v>22</v>
      </c>
      <c r="F2123" t="s">
        <v>42</v>
      </c>
      <c r="G2123" t="s">
        <v>302</v>
      </c>
      <c r="H2123" t="s">
        <v>43</v>
      </c>
      <c r="I2123" t="s">
        <v>35</v>
      </c>
      <c r="J2123" t="s">
        <v>306</v>
      </c>
      <c r="K2123" s="1">
        <v>0.61481510416666663</v>
      </c>
      <c r="L2123">
        <f>YEAR(Coffe_sales[[#This Row],[Date]])</f>
        <v>2024</v>
      </c>
    </row>
    <row r="2124" spans="1:12" x14ac:dyDescent="0.2">
      <c r="A2124" t="s">
        <v>39</v>
      </c>
      <c r="B2124" t="s">
        <v>12</v>
      </c>
      <c r="C2124">
        <v>35.76</v>
      </c>
      <c r="D2124" t="s">
        <v>31</v>
      </c>
      <c r="E2124" t="s">
        <v>14</v>
      </c>
      <c r="F2124" t="s">
        <v>47</v>
      </c>
      <c r="G2124" t="s">
        <v>302</v>
      </c>
      <c r="H2124" t="s">
        <v>48</v>
      </c>
      <c r="I2124" t="s">
        <v>35</v>
      </c>
      <c r="J2124" t="s">
        <v>307</v>
      </c>
      <c r="K2124" s="1">
        <v>0.32606034722222221</v>
      </c>
      <c r="L2124">
        <f>YEAR(Coffe_sales[[#This Row],[Date]])</f>
        <v>2024</v>
      </c>
    </row>
    <row r="2125" spans="1:12" x14ac:dyDescent="0.2">
      <c r="A2125" t="s">
        <v>46</v>
      </c>
      <c r="B2125" t="s">
        <v>12</v>
      </c>
      <c r="C2125">
        <v>30.86</v>
      </c>
      <c r="D2125" t="s">
        <v>26</v>
      </c>
      <c r="E2125" t="s">
        <v>14</v>
      </c>
      <c r="F2125" t="s">
        <v>47</v>
      </c>
      <c r="G2125" t="s">
        <v>302</v>
      </c>
      <c r="H2125" t="s">
        <v>48</v>
      </c>
      <c r="I2125" t="s">
        <v>35</v>
      </c>
      <c r="J2125" t="s">
        <v>307</v>
      </c>
      <c r="K2125" s="1">
        <v>0.37895613425925928</v>
      </c>
      <c r="L2125">
        <f>YEAR(Coffe_sales[[#This Row],[Date]])</f>
        <v>2024</v>
      </c>
    </row>
    <row r="2126" spans="1:12" x14ac:dyDescent="0.2">
      <c r="A2126" t="s">
        <v>46</v>
      </c>
      <c r="B2126" t="s">
        <v>12</v>
      </c>
      <c r="C2126">
        <v>35.76</v>
      </c>
      <c r="D2126" t="s">
        <v>52</v>
      </c>
      <c r="E2126" t="s">
        <v>14</v>
      </c>
      <c r="F2126" t="s">
        <v>47</v>
      </c>
      <c r="G2126" t="s">
        <v>302</v>
      </c>
      <c r="H2126" t="s">
        <v>48</v>
      </c>
      <c r="I2126" t="s">
        <v>35</v>
      </c>
      <c r="J2126" t="s">
        <v>307</v>
      </c>
      <c r="K2126" s="1">
        <v>0.38347597222222224</v>
      </c>
      <c r="L2126">
        <f>YEAR(Coffe_sales[[#This Row],[Date]])</f>
        <v>2024</v>
      </c>
    </row>
    <row r="2127" spans="1:12" x14ac:dyDescent="0.2">
      <c r="A2127" t="s">
        <v>46</v>
      </c>
      <c r="B2127" t="s">
        <v>12</v>
      </c>
      <c r="C2127">
        <v>30.86</v>
      </c>
      <c r="D2127" t="s">
        <v>26</v>
      </c>
      <c r="E2127" t="s">
        <v>14</v>
      </c>
      <c r="F2127" t="s">
        <v>47</v>
      </c>
      <c r="G2127" t="s">
        <v>302</v>
      </c>
      <c r="H2127" t="s">
        <v>48</v>
      </c>
      <c r="I2127" t="s">
        <v>35</v>
      </c>
      <c r="J2127" t="s">
        <v>307</v>
      </c>
      <c r="K2127" s="1">
        <v>0.38449486111111109</v>
      </c>
      <c r="L2127">
        <f>YEAR(Coffe_sales[[#This Row],[Date]])</f>
        <v>2024</v>
      </c>
    </row>
    <row r="2128" spans="1:12" x14ac:dyDescent="0.2">
      <c r="A2128" t="s">
        <v>11</v>
      </c>
      <c r="B2128" t="s">
        <v>12</v>
      </c>
      <c r="C2128">
        <v>30.86</v>
      </c>
      <c r="D2128" t="s">
        <v>26</v>
      </c>
      <c r="E2128" t="s">
        <v>14</v>
      </c>
      <c r="F2128" t="s">
        <v>47</v>
      </c>
      <c r="G2128" t="s">
        <v>302</v>
      </c>
      <c r="H2128" t="s">
        <v>48</v>
      </c>
      <c r="I2128" t="s">
        <v>35</v>
      </c>
      <c r="J2128" t="s">
        <v>307</v>
      </c>
      <c r="K2128" s="1">
        <v>0.44565105324074072</v>
      </c>
      <c r="L2128">
        <f>YEAR(Coffe_sales[[#This Row],[Date]])</f>
        <v>2024</v>
      </c>
    </row>
    <row r="2129" spans="1:12" x14ac:dyDescent="0.2">
      <c r="A2129" t="s">
        <v>35</v>
      </c>
      <c r="B2129" t="s">
        <v>12</v>
      </c>
      <c r="C2129">
        <v>35.76</v>
      </c>
      <c r="D2129" t="s">
        <v>31</v>
      </c>
      <c r="E2129" t="s">
        <v>14</v>
      </c>
      <c r="F2129" t="s">
        <v>47</v>
      </c>
      <c r="G2129" t="s">
        <v>302</v>
      </c>
      <c r="H2129" t="s">
        <v>48</v>
      </c>
      <c r="I2129" t="s">
        <v>35</v>
      </c>
      <c r="J2129" t="s">
        <v>307</v>
      </c>
      <c r="K2129" s="1">
        <v>0.49131781250000001</v>
      </c>
      <c r="L2129">
        <f>YEAR(Coffe_sales[[#This Row],[Date]])</f>
        <v>2024</v>
      </c>
    </row>
    <row r="2130" spans="1:12" x14ac:dyDescent="0.2">
      <c r="A2130" t="s">
        <v>35</v>
      </c>
      <c r="B2130" t="s">
        <v>12</v>
      </c>
      <c r="C2130">
        <v>35.76</v>
      </c>
      <c r="D2130" t="s">
        <v>13</v>
      </c>
      <c r="E2130" t="s">
        <v>14</v>
      </c>
      <c r="F2130" t="s">
        <v>47</v>
      </c>
      <c r="G2130" t="s">
        <v>302</v>
      </c>
      <c r="H2130" t="s">
        <v>48</v>
      </c>
      <c r="I2130" t="s">
        <v>35</v>
      </c>
      <c r="J2130" t="s">
        <v>307</v>
      </c>
      <c r="K2130" s="1">
        <v>0.49192689814814816</v>
      </c>
      <c r="L2130">
        <f>YEAR(Coffe_sales[[#This Row],[Date]])</f>
        <v>2024</v>
      </c>
    </row>
    <row r="2131" spans="1:12" x14ac:dyDescent="0.2">
      <c r="A2131" t="s">
        <v>36</v>
      </c>
      <c r="B2131" t="s">
        <v>12</v>
      </c>
      <c r="C2131">
        <v>35.76</v>
      </c>
      <c r="D2131" t="s">
        <v>13</v>
      </c>
      <c r="E2131" t="s">
        <v>22</v>
      </c>
      <c r="F2131" t="s">
        <v>47</v>
      </c>
      <c r="G2131" t="s">
        <v>302</v>
      </c>
      <c r="H2131" t="s">
        <v>48</v>
      </c>
      <c r="I2131" t="s">
        <v>35</v>
      </c>
      <c r="J2131" t="s">
        <v>307</v>
      </c>
      <c r="K2131" s="1">
        <v>0.60877148148148152</v>
      </c>
      <c r="L2131">
        <f>YEAR(Coffe_sales[[#This Row],[Date]])</f>
        <v>2024</v>
      </c>
    </row>
    <row r="2132" spans="1:12" x14ac:dyDescent="0.2">
      <c r="A2132" t="s">
        <v>36</v>
      </c>
      <c r="B2132" t="s">
        <v>12</v>
      </c>
      <c r="C2132">
        <v>35.76</v>
      </c>
      <c r="D2132" t="s">
        <v>13</v>
      </c>
      <c r="E2132" t="s">
        <v>22</v>
      </c>
      <c r="F2132" t="s">
        <v>47</v>
      </c>
      <c r="G2132" t="s">
        <v>302</v>
      </c>
      <c r="H2132" t="s">
        <v>48</v>
      </c>
      <c r="I2132" t="s">
        <v>35</v>
      </c>
      <c r="J2132" t="s">
        <v>307</v>
      </c>
      <c r="K2132" s="1">
        <v>0.61236166666666669</v>
      </c>
      <c r="L2132">
        <f>YEAR(Coffe_sales[[#This Row],[Date]])</f>
        <v>2024</v>
      </c>
    </row>
    <row r="2133" spans="1:12" x14ac:dyDescent="0.2">
      <c r="A2133" t="s">
        <v>28</v>
      </c>
      <c r="B2133" t="s">
        <v>12</v>
      </c>
      <c r="C2133">
        <v>35.76</v>
      </c>
      <c r="D2133" t="s">
        <v>52</v>
      </c>
      <c r="E2133" t="s">
        <v>29</v>
      </c>
      <c r="F2133" t="s">
        <v>47</v>
      </c>
      <c r="G2133" t="s">
        <v>302</v>
      </c>
      <c r="H2133" t="s">
        <v>48</v>
      </c>
      <c r="I2133" t="s">
        <v>35</v>
      </c>
      <c r="J2133" t="s">
        <v>307</v>
      </c>
      <c r="K2133" s="1">
        <v>0.7867624305555555</v>
      </c>
      <c r="L2133">
        <f>YEAR(Coffe_sales[[#This Row],[Date]])</f>
        <v>2024</v>
      </c>
    </row>
    <row r="2134" spans="1:12" x14ac:dyDescent="0.2">
      <c r="A2134" t="s">
        <v>28</v>
      </c>
      <c r="B2134" t="s">
        <v>12</v>
      </c>
      <c r="C2134">
        <v>35.76</v>
      </c>
      <c r="D2134" t="s">
        <v>52</v>
      </c>
      <c r="E2134" t="s">
        <v>29</v>
      </c>
      <c r="F2134" t="s">
        <v>47</v>
      </c>
      <c r="G2134" t="s">
        <v>302</v>
      </c>
      <c r="H2134" t="s">
        <v>48</v>
      </c>
      <c r="I2134" t="s">
        <v>35</v>
      </c>
      <c r="J2134" t="s">
        <v>307</v>
      </c>
      <c r="K2134" s="1">
        <v>0.78762415509259254</v>
      </c>
      <c r="L2134">
        <f>YEAR(Coffe_sales[[#This Row],[Date]])</f>
        <v>2024</v>
      </c>
    </row>
    <row r="2135" spans="1:12" x14ac:dyDescent="0.2">
      <c r="A2135" t="s">
        <v>28</v>
      </c>
      <c r="B2135" t="s">
        <v>12</v>
      </c>
      <c r="C2135">
        <v>35.76</v>
      </c>
      <c r="D2135" t="s">
        <v>52</v>
      </c>
      <c r="E2135" t="s">
        <v>29</v>
      </c>
      <c r="F2135" t="s">
        <v>47</v>
      </c>
      <c r="G2135" t="s">
        <v>302</v>
      </c>
      <c r="H2135" t="s">
        <v>48</v>
      </c>
      <c r="I2135" t="s">
        <v>35</v>
      </c>
      <c r="J2135" t="s">
        <v>307</v>
      </c>
      <c r="K2135" s="1">
        <v>0.78841002314814812</v>
      </c>
      <c r="L2135">
        <f>YEAR(Coffe_sales[[#This Row],[Date]])</f>
        <v>2024</v>
      </c>
    </row>
    <row r="2136" spans="1:12" x14ac:dyDescent="0.2">
      <c r="A2136" t="s">
        <v>131</v>
      </c>
      <c r="B2136" t="s">
        <v>12</v>
      </c>
      <c r="C2136">
        <v>35.76</v>
      </c>
      <c r="D2136" t="s">
        <v>31</v>
      </c>
      <c r="E2136" t="s">
        <v>29</v>
      </c>
      <c r="F2136" t="s">
        <v>47</v>
      </c>
      <c r="G2136" t="s">
        <v>302</v>
      </c>
      <c r="H2136" t="s">
        <v>48</v>
      </c>
      <c r="I2136" t="s">
        <v>35</v>
      </c>
      <c r="J2136" t="s">
        <v>307</v>
      </c>
      <c r="K2136" s="1">
        <v>0.90329567129629629</v>
      </c>
      <c r="L2136">
        <f>YEAR(Coffe_sales[[#This Row],[Date]])</f>
        <v>2024</v>
      </c>
    </row>
    <row r="2137" spans="1:12" x14ac:dyDescent="0.2">
      <c r="A2137" t="s">
        <v>131</v>
      </c>
      <c r="B2137" t="s">
        <v>12</v>
      </c>
      <c r="C2137">
        <v>35.76</v>
      </c>
      <c r="D2137" t="s">
        <v>31</v>
      </c>
      <c r="E2137" t="s">
        <v>29</v>
      </c>
      <c r="F2137" t="s">
        <v>47</v>
      </c>
      <c r="G2137" t="s">
        <v>302</v>
      </c>
      <c r="H2137" t="s">
        <v>48</v>
      </c>
      <c r="I2137" t="s">
        <v>35</v>
      </c>
      <c r="J2137" t="s">
        <v>307</v>
      </c>
      <c r="K2137" s="1">
        <v>0.90419850694444448</v>
      </c>
      <c r="L2137">
        <f>YEAR(Coffe_sales[[#This Row],[Date]])</f>
        <v>2024</v>
      </c>
    </row>
    <row r="2138" spans="1:12" x14ac:dyDescent="0.2">
      <c r="A2138" t="s">
        <v>131</v>
      </c>
      <c r="B2138" t="s">
        <v>12</v>
      </c>
      <c r="C2138">
        <v>35.76</v>
      </c>
      <c r="D2138" t="s">
        <v>21</v>
      </c>
      <c r="E2138" t="s">
        <v>29</v>
      </c>
      <c r="F2138" t="s">
        <v>47</v>
      </c>
      <c r="G2138" t="s">
        <v>302</v>
      </c>
      <c r="H2138" t="s">
        <v>48</v>
      </c>
      <c r="I2138" t="s">
        <v>35</v>
      </c>
      <c r="J2138" t="s">
        <v>307</v>
      </c>
      <c r="K2138" s="1">
        <v>0.91272739583333329</v>
      </c>
      <c r="L2138">
        <f>YEAR(Coffe_sales[[#This Row],[Date]])</f>
        <v>2024</v>
      </c>
    </row>
    <row r="2139" spans="1:12" x14ac:dyDescent="0.2">
      <c r="A2139" t="s">
        <v>125</v>
      </c>
      <c r="B2139" t="s">
        <v>12</v>
      </c>
      <c r="C2139">
        <v>35.76</v>
      </c>
      <c r="D2139" t="s">
        <v>21</v>
      </c>
      <c r="E2139" t="s">
        <v>29</v>
      </c>
      <c r="F2139" t="s">
        <v>47</v>
      </c>
      <c r="G2139" t="s">
        <v>302</v>
      </c>
      <c r="H2139" t="s">
        <v>48</v>
      </c>
      <c r="I2139" t="s">
        <v>35</v>
      </c>
      <c r="J2139" t="s">
        <v>307</v>
      </c>
      <c r="K2139" s="1">
        <v>0.92072454861111108</v>
      </c>
      <c r="L2139">
        <f>YEAR(Coffe_sales[[#This Row],[Date]])</f>
        <v>2024</v>
      </c>
    </row>
    <row r="2140" spans="1:12" x14ac:dyDescent="0.2">
      <c r="A2140" t="s">
        <v>125</v>
      </c>
      <c r="B2140" t="s">
        <v>12</v>
      </c>
      <c r="C2140">
        <v>30.86</v>
      </c>
      <c r="D2140" t="s">
        <v>26</v>
      </c>
      <c r="E2140" t="s">
        <v>29</v>
      </c>
      <c r="F2140" t="s">
        <v>47</v>
      </c>
      <c r="G2140" t="s">
        <v>302</v>
      </c>
      <c r="H2140" t="s">
        <v>48</v>
      </c>
      <c r="I2140" t="s">
        <v>35</v>
      </c>
      <c r="J2140" t="s">
        <v>307</v>
      </c>
      <c r="K2140" s="1">
        <v>0.92128440972222225</v>
      </c>
      <c r="L2140">
        <f>YEAR(Coffe_sales[[#This Row],[Date]])</f>
        <v>2024</v>
      </c>
    </row>
    <row r="2141" spans="1:12" x14ac:dyDescent="0.2">
      <c r="A2141" t="s">
        <v>123</v>
      </c>
      <c r="B2141" t="s">
        <v>12</v>
      </c>
      <c r="C2141">
        <v>35.76</v>
      </c>
      <c r="D2141" t="s">
        <v>13</v>
      </c>
      <c r="E2141" t="s">
        <v>14</v>
      </c>
      <c r="F2141" t="s">
        <v>50</v>
      </c>
      <c r="G2141" t="s">
        <v>302</v>
      </c>
      <c r="H2141" t="s">
        <v>18</v>
      </c>
      <c r="I2141" t="s">
        <v>35</v>
      </c>
      <c r="J2141" t="s">
        <v>308</v>
      </c>
      <c r="K2141" s="1">
        <v>0.34126296296296299</v>
      </c>
      <c r="L2141">
        <f>YEAR(Coffe_sales[[#This Row],[Date]])</f>
        <v>2024</v>
      </c>
    </row>
    <row r="2142" spans="1:12" x14ac:dyDescent="0.2">
      <c r="A2142" t="s">
        <v>35</v>
      </c>
      <c r="B2142" t="s">
        <v>12</v>
      </c>
      <c r="C2142">
        <v>21.06</v>
      </c>
      <c r="D2142" t="s">
        <v>45</v>
      </c>
      <c r="E2142" t="s">
        <v>14</v>
      </c>
      <c r="F2142" t="s">
        <v>50</v>
      </c>
      <c r="G2142" t="s">
        <v>302</v>
      </c>
      <c r="H2142" t="s">
        <v>18</v>
      </c>
      <c r="I2142" t="s">
        <v>35</v>
      </c>
      <c r="J2142" t="s">
        <v>308</v>
      </c>
      <c r="K2142" s="1">
        <v>0.48994413194444447</v>
      </c>
      <c r="L2142">
        <f>YEAR(Coffe_sales[[#This Row],[Date]])</f>
        <v>2024</v>
      </c>
    </row>
    <row r="2143" spans="1:12" x14ac:dyDescent="0.2">
      <c r="A2143" t="s">
        <v>23</v>
      </c>
      <c r="B2143" t="s">
        <v>12</v>
      </c>
      <c r="C2143">
        <v>25.96</v>
      </c>
      <c r="D2143" t="s">
        <v>24</v>
      </c>
      <c r="E2143" t="s">
        <v>22</v>
      </c>
      <c r="F2143" t="s">
        <v>50</v>
      </c>
      <c r="G2143" t="s">
        <v>302</v>
      </c>
      <c r="H2143" t="s">
        <v>18</v>
      </c>
      <c r="I2143" t="s">
        <v>35</v>
      </c>
      <c r="J2143" t="s">
        <v>308</v>
      </c>
      <c r="K2143" s="1">
        <v>0.5524636805555555</v>
      </c>
      <c r="L2143">
        <f>YEAR(Coffe_sales[[#This Row],[Date]])</f>
        <v>2024</v>
      </c>
    </row>
    <row r="2144" spans="1:12" x14ac:dyDescent="0.2">
      <c r="A2144" t="s">
        <v>25</v>
      </c>
      <c r="B2144" t="s">
        <v>12</v>
      </c>
      <c r="C2144">
        <v>35.76</v>
      </c>
      <c r="D2144" t="s">
        <v>52</v>
      </c>
      <c r="E2144" t="s">
        <v>22</v>
      </c>
      <c r="F2144" t="s">
        <v>50</v>
      </c>
      <c r="G2144" t="s">
        <v>302</v>
      </c>
      <c r="H2144" t="s">
        <v>18</v>
      </c>
      <c r="I2144" t="s">
        <v>35</v>
      </c>
      <c r="J2144" t="s">
        <v>308</v>
      </c>
      <c r="K2144" s="1">
        <v>0.65574646990740737</v>
      </c>
      <c r="L2144">
        <f>YEAR(Coffe_sales[[#This Row],[Date]])</f>
        <v>2024</v>
      </c>
    </row>
    <row r="2145" spans="1:12" x14ac:dyDescent="0.2">
      <c r="A2145" t="s">
        <v>27</v>
      </c>
      <c r="B2145" t="s">
        <v>12</v>
      </c>
      <c r="C2145">
        <v>35.76</v>
      </c>
      <c r="D2145" t="s">
        <v>13</v>
      </c>
      <c r="E2145" t="s">
        <v>22</v>
      </c>
      <c r="F2145" t="s">
        <v>50</v>
      </c>
      <c r="G2145" t="s">
        <v>302</v>
      </c>
      <c r="H2145" t="s">
        <v>18</v>
      </c>
      <c r="I2145" t="s">
        <v>35</v>
      </c>
      <c r="J2145" t="s">
        <v>308</v>
      </c>
      <c r="K2145" s="1">
        <v>0.66717376157407404</v>
      </c>
      <c r="L2145">
        <f>YEAR(Coffe_sales[[#This Row],[Date]])</f>
        <v>2024</v>
      </c>
    </row>
    <row r="2146" spans="1:12" x14ac:dyDescent="0.2">
      <c r="A2146" t="s">
        <v>27</v>
      </c>
      <c r="B2146" t="s">
        <v>12</v>
      </c>
      <c r="C2146">
        <v>35.76</v>
      </c>
      <c r="D2146" t="s">
        <v>52</v>
      </c>
      <c r="E2146" t="s">
        <v>22</v>
      </c>
      <c r="F2146" t="s">
        <v>50</v>
      </c>
      <c r="G2146" t="s">
        <v>302</v>
      </c>
      <c r="H2146" t="s">
        <v>18</v>
      </c>
      <c r="I2146" t="s">
        <v>35</v>
      </c>
      <c r="J2146" t="s">
        <v>308</v>
      </c>
      <c r="K2146" s="1">
        <v>0.66811473379629627</v>
      </c>
      <c r="L2146">
        <f>YEAR(Coffe_sales[[#This Row],[Date]])</f>
        <v>2024</v>
      </c>
    </row>
    <row r="2147" spans="1:12" x14ac:dyDescent="0.2">
      <c r="A2147" t="s">
        <v>28</v>
      </c>
      <c r="B2147" t="s">
        <v>12</v>
      </c>
      <c r="C2147">
        <v>35.76</v>
      </c>
      <c r="D2147" t="s">
        <v>21</v>
      </c>
      <c r="E2147" t="s">
        <v>29</v>
      </c>
      <c r="F2147" t="s">
        <v>50</v>
      </c>
      <c r="G2147" t="s">
        <v>302</v>
      </c>
      <c r="H2147" t="s">
        <v>18</v>
      </c>
      <c r="I2147" t="s">
        <v>35</v>
      </c>
      <c r="J2147" t="s">
        <v>308</v>
      </c>
      <c r="K2147" s="1">
        <v>0.77827378472222219</v>
      </c>
      <c r="L2147">
        <f>YEAR(Coffe_sales[[#This Row],[Date]])</f>
        <v>2024</v>
      </c>
    </row>
    <row r="2148" spans="1:12" x14ac:dyDescent="0.2">
      <c r="A2148" t="s">
        <v>28</v>
      </c>
      <c r="B2148" t="s">
        <v>12</v>
      </c>
      <c r="C2148">
        <v>35.76</v>
      </c>
      <c r="D2148" t="s">
        <v>21</v>
      </c>
      <c r="E2148" t="s">
        <v>29</v>
      </c>
      <c r="F2148" t="s">
        <v>50</v>
      </c>
      <c r="G2148" t="s">
        <v>302</v>
      </c>
      <c r="H2148" t="s">
        <v>18</v>
      </c>
      <c r="I2148" t="s">
        <v>35</v>
      </c>
      <c r="J2148" t="s">
        <v>308</v>
      </c>
      <c r="K2148" s="1">
        <v>0.77882700231481483</v>
      </c>
      <c r="L2148">
        <f>YEAR(Coffe_sales[[#This Row],[Date]])</f>
        <v>2024</v>
      </c>
    </row>
    <row r="2149" spans="1:12" x14ac:dyDescent="0.2">
      <c r="A2149" t="s">
        <v>20</v>
      </c>
      <c r="B2149" t="s">
        <v>12</v>
      </c>
      <c r="C2149">
        <v>35.76</v>
      </c>
      <c r="D2149" t="s">
        <v>13</v>
      </c>
      <c r="E2149" t="s">
        <v>22</v>
      </c>
      <c r="F2149" t="s">
        <v>53</v>
      </c>
      <c r="G2149" t="s">
        <v>302</v>
      </c>
      <c r="H2149" t="s">
        <v>54</v>
      </c>
      <c r="I2149" t="s">
        <v>35</v>
      </c>
      <c r="J2149" t="s">
        <v>309</v>
      </c>
      <c r="K2149" s="1">
        <v>0.51199065972222224</v>
      </c>
      <c r="L2149">
        <f>YEAR(Coffe_sales[[#This Row],[Date]])</f>
        <v>2024</v>
      </c>
    </row>
    <row r="2150" spans="1:12" x14ac:dyDescent="0.2">
      <c r="A2150" t="s">
        <v>25</v>
      </c>
      <c r="B2150" t="s">
        <v>12</v>
      </c>
      <c r="C2150">
        <v>25.96</v>
      </c>
      <c r="D2150" t="s">
        <v>24</v>
      </c>
      <c r="E2150" t="s">
        <v>22</v>
      </c>
      <c r="F2150" t="s">
        <v>53</v>
      </c>
      <c r="G2150" t="s">
        <v>302</v>
      </c>
      <c r="H2150" t="s">
        <v>54</v>
      </c>
      <c r="I2150" t="s">
        <v>35</v>
      </c>
      <c r="J2150" t="s">
        <v>309</v>
      </c>
      <c r="K2150" s="1">
        <v>0.65984442129629628</v>
      </c>
      <c r="L2150">
        <f>YEAR(Coffe_sales[[#This Row],[Date]])</f>
        <v>2024</v>
      </c>
    </row>
    <row r="2151" spans="1:12" x14ac:dyDescent="0.2">
      <c r="A2151" t="s">
        <v>27</v>
      </c>
      <c r="B2151" t="s">
        <v>12</v>
      </c>
      <c r="C2151">
        <v>25.96</v>
      </c>
      <c r="D2151" t="s">
        <v>24</v>
      </c>
      <c r="E2151" t="s">
        <v>22</v>
      </c>
      <c r="F2151" t="s">
        <v>53</v>
      </c>
      <c r="G2151" t="s">
        <v>302</v>
      </c>
      <c r="H2151" t="s">
        <v>54</v>
      </c>
      <c r="I2151" t="s">
        <v>35</v>
      </c>
      <c r="J2151" t="s">
        <v>309</v>
      </c>
      <c r="K2151" s="1">
        <v>0.69420609953703705</v>
      </c>
      <c r="L2151">
        <f>YEAR(Coffe_sales[[#This Row],[Date]])</f>
        <v>2024</v>
      </c>
    </row>
    <row r="2152" spans="1:12" x14ac:dyDescent="0.2">
      <c r="A2152" t="s">
        <v>28</v>
      </c>
      <c r="B2152" t="s">
        <v>12</v>
      </c>
      <c r="C2152">
        <v>35.76</v>
      </c>
      <c r="D2152" t="s">
        <v>31</v>
      </c>
      <c r="E2152" t="s">
        <v>29</v>
      </c>
      <c r="F2152" t="s">
        <v>53</v>
      </c>
      <c r="G2152" t="s">
        <v>302</v>
      </c>
      <c r="H2152" t="s">
        <v>54</v>
      </c>
      <c r="I2152" t="s">
        <v>35</v>
      </c>
      <c r="J2152" t="s">
        <v>309</v>
      </c>
      <c r="K2152" s="1">
        <v>0.76219599537037042</v>
      </c>
      <c r="L2152">
        <f>YEAR(Coffe_sales[[#This Row],[Date]])</f>
        <v>2024</v>
      </c>
    </row>
    <row r="2153" spans="1:12" x14ac:dyDescent="0.2">
      <c r="A2153" t="s">
        <v>30</v>
      </c>
      <c r="B2153" t="s">
        <v>12</v>
      </c>
      <c r="C2153">
        <v>35.76</v>
      </c>
      <c r="D2153" t="s">
        <v>21</v>
      </c>
      <c r="E2153" t="s">
        <v>29</v>
      </c>
      <c r="F2153" t="s">
        <v>53</v>
      </c>
      <c r="G2153" t="s">
        <v>302</v>
      </c>
      <c r="H2153" t="s">
        <v>54</v>
      </c>
      <c r="I2153" t="s">
        <v>35</v>
      </c>
      <c r="J2153" t="s">
        <v>309</v>
      </c>
      <c r="K2153" s="1">
        <v>0.80572629629629633</v>
      </c>
      <c r="L2153">
        <f>YEAR(Coffe_sales[[#This Row],[Date]])</f>
        <v>2024</v>
      </c>
    </row>
    <row r="2154" spans="1:12" x14ac:dyDescent="0.2">
      <c r="A2154" t="s">
        <v>30</v>
      </c>
      <c r="B2154" t="s">
        <v>12</v>
      </c>
      <c r="C2154">
        <v>35.76</v>
      </c>
      <c r="D2154" t="s">
        <v>13</v>
      </c>
      <c r="E2154" t="s">
        <v>29</v>
      </c>
      <c r="F2154" t="s">
        <v>53</v>
      </c>
      <c r="G2154" t="s">
        <v>302</v>
      </c>
      <c r="H2154" t="s">
        <v>54</v>
      </c>
      <c r="I2154" t="s">
        <v>35</v>
      </c>
      <c r="J2154" t="s">
        <v>309</v>
      </c>
      <c r="K2154" s="1">
        <v>0.80669008101851847</v>
      </c>
      <c r="L2154">
        <f>YEAR(Coffe_sales[[#This Row],[Date]])</f>
        <v>2024</v>
      </c>
    </row>
    <row r="2155" spans="1:12" x14ac:dyDescent="0.2">
      <c r="A2155" t="s">
        <v>91</v>
      </c>
      <c r="B2155" t="s">
        <v>12</v>
      </c>
      <c r="C2155">
        <v>35.76</v>
      </c>
      <c r="D2155" t="s">
        <v>13</v>
      </c>
      <c r="E2155" t="s">
        <v>29</v>
      </c>
      <c r="F2155" t="s">
        <v>53</v>
      </c>
      <c r="G2155" t="s">
        <v>302</v>
      </c>
      <c r="H2155" t="s">
        <v>54</v>
      </c>
      <c r="I2155" t="s">
        <v>35</v>
      </c>
      <c r="J2155" t="s">
        <v>309</v>
      </c>
      <c r="K2155" s="1">
        <v>0.83507722222222225</v>
      </c>
      <c r="L2155">
        <f>YEAR(Coffe_sales[[#This Row],[Date]])</f>
        <v>2024</v>
      </c>
    </row>
    <row r="2156" spans="1:12" x14ac:dyDescent="0.2">
      <c r="A2156" t="s">
        <v>46</v>
      </c>
      <c r="B2156" t="s">
        <v>12</v>
      </c>
      <c r="C2156">
        <v>30.86</v>
      </c>
      <c r="D2156" t="s">
        <v>26</v>
      </c>
      <c r="E2156" t="s">
        <v>14</v>
      </c>
      <c r="F2156" t="s">
        <v>15</v>
      </c>
      <c r="G2156" t="s">
        <v>302</v>
      </c>
      <c r="H2156" t="s">
        <v>17</v>
      </c>
      <c r="I2156" t="s">
        <v>35</v>
      </c>
      <c r="J2156" t="s">
        <v>310</v>
      </c>
      <c r="K2156" s="1">
        <v>0.37895965277777777</v>
      </c>
      <c r="L2156">
        <f>YEAR(Coffe_sales[[#This Row],[Date]])</f>
        <v>2024</v>
      </c>
    </row>
    <row r="2157" spans="1:12" x14ac:dyDescent="0.2">
      <c r="A2157" t="s">
        <v>46</v>
      </c>
      <c r="B2157" t="s">
        <v>12</v>
      </c>
      <c r="C2157">
        <v>25.96</v>
      </c>
      <c r="D2157" t="s">
        <v>24</v>
      </c>
      <c r="E2157" t="s">
        <v>14</v>
      </c>
      <c r="F2157" t="s">
        <v>15</v>
      </c>
      <c r="G2157" t="s">
        <v>302</v>
      </c>
      <c r="H2157" t="s">
        <v>17</v>
      </c>
      <c r="I2157" t="s">
        <v>35</v>
      </c>
      <c r="J2157" t="s">
        <v>310</v>
      </c>
      <c r="K2157" s="1">
        <v>0.40799652777777778</v>
      </c>
      <c r="L2157">
        <f>YEAR(Coffe_sales[[#This Row],[Date]])</f>
        <v>2024</v>
      </c>
    </row>
    <row r="2158" spans="1:12" x14ac:dyDescent="0.2">
      <c r="A2158" t="s">
        <v>46</v>
      </c>
      <c r="B2158" t="s">
        <v>12</v>
      </c>
      <c r="C2158">
        <v>25.96</v>
      </c>
      <c r="D2158" t="s">
        <v>24</v>
      </c>
      <c r="E2158" t="s">
        <v>14</v>
      </c>
      <c r="F2158" t="s">
        <v>15</v>
      </c>
      <c r="G2158" t="s">
        <v>302</v>
      </c>
      <c r="H2158" t="s">
        <v>17</v>
      </c>
      <c r="I2158" t="s">
        <v>35</v>
      </c>
      <c r="J2158" t="s">
        <v>310</v>
      </c>
      <c r="K2158" s="1">
        <v>0.40902468749999998</v>
      </c>
      <c r="L2158">
        <f>YEAR(Coffe_sales[[#This Row],[Date]])</f>
        <v>2024</v>
      </c>
    </row>
    <row r="2159" spans="1:12" x14ac:dyDescent="0.2">
      <c r="A2159" t="s">
        <v>35</v>
      </c>
      <c r="B2159" t="s">
        <v>12</v>
      </c>
      <c r="C2159">
        <v>35.76</v>
      </c>
      <c r="D2159" t="s">
        <v>52</v>
      </c>
      <c r="E2159" t="s">
        <v>14</v>
      </c>
      <c r="F2159" t="s">
        <v>15</v>
      </c>
      <c r="G2159" t="s">
        <v>302</v>
      </c>
      <c r="H2159" t="s">
        <v>17</v>
      </c>
      <c r="I2159" t="s">
        <v>35</v>
      </c>
      <c r="J2159" t="s">
        <v>310</v>
      </c>
      <c r="K2159" s="1">
        <v>0.49110405092592591</v>
      </c>
      <c r="L2159">
        <f>YEAR(Coffe_sales[[#This Row],[Date]])</f>
        <v>2024</v>
      </c>
    </row>
    <row r="2160" spans="1:12" x14ac:dyDescent="0.2">
      <c r="A2160" t="s">
        <v>23</v>
      </c>
      <c r="B2160" t="s">
        <v>12</v>
      </c>
      <c r="C2160">
        <v>35.76</v>
      </c>
      <c r="D2160" t="s">
        <v>13</v>
      </c>
      <c r="E2160" t="s">
        <v>22</v>
      </c>
      <c r="F2160" t="s">
        <v>15</v>
      </c>
      <c r="G2160" t="s">
        <v>302</v>
      </c>
      <c r="H2160" t="s">
        <v>17</v>
      </c>
      <c r="I2160" t="s">
        <v>35</v>
      </c>
      <c r="J2160" t="s">
        <v>310</v>
      </c>
      <c r="K2160" s="1">
        <v>0.55918341435185182</v>
      </c>
      <c r="L2160">
        <f>YEAR(Coffe_sales[[#This Row],[Date]])</f>
        <v>2024</v>
      </c>
    </row>
    <row r="2161" spans="1:12" x14ac:dyDescent="0.2">
      <c r="A2161" t="s">
        <v>23</v>
      </c>
      <c r="B2161" t="s">
        <v>12</v>
      </c>
      <c r="C2161">
        <v>35.76</v>
      </c>
      <c r="D2161" t="s">
        <v>13</v>
      </c>
      <c r="E2161" t="s">
        <v>22</v>
      </c>
      <c r="F2161" t="s">
        <v>15</v>
      </c>
      <c r="G2161" t="s">
        <v>302</v>
      </c>
      <c r="H2161" t="s">
        <v>17</v>
      </c>
      <c r="I2161" t="s">
        <v>35</v>
      </c>
      <c r="J2161" t="s">
        <v>310</v>
      </c>
      <c r="K2161" s="1">
        <v>0.55992606481481477</v>
      </c>
      <c r="L2161">
        <f>YEAR(Coffe_sales[[#This Row],[Date]])</f>
        <v>2024</v>
      </c>
    </row>
    <row r="2162" spans="1:12" x14ac:dyDescent="0.2">
      <c r="A2162" t="s">
        <v>27</v>
      </c>
      <c r="B2162" t="s">
        <v>12</v>
      </c>
      <c r="C2162">
        <v>30.86</v>
      </c>
      <c r="D2162" t="s">
        <v>26</v>
      </c>
      <c r="E2162" t="s">
        <v>22</v>
      </c>
      <c r="F2162" t="s">
        <v>15</v>
      </c>
      <c r="G2162" t="s">
        <v>302</v>
      </c>
      <c r="H2162" t="s">
        <v>17</v>
      </c>
      <c r="I2162" t="s">
        <v>35</v>
      </c>
      <c r="J2162" t="s">
        <v>310</v>
      </c>
      <c r="K2162" s="1">
        <v>0.68961671296296301</v>
      </c>
      <c r="L2162">
        <f>YEAR(Coffe_sales[[#This Row],[Date]])</f>
        <v>2024</v>
      </c>
    </row>
    <row r="2163" spans="1:12" x14ac:dyDescent="0.2">
      <c r="A2163" t="s">
        <v>27</v>
      </c>
      <c r="B2163" t="s">
        <v>12</v>
      </c>
      <c r="C2163">
        <v>30.86</v>
      </c>
      <c r="D2163" t="s">
        <v>26</v>
      </c>
      <c r="E2163" t="s">
        <v>22</v>
      </c>
      <c r="F2163" t="s">
        <v>15</v>
      </c>
      <c r="G2163" t="s">
        <v>302</v>
      </c>
      <c r="H2163" t="s">
        <v>17</v>
      </c>
      <c r="I2163" t="s">
        <v>35</v>
      </c>
      <c r="J2163" t="s">
        <v>310</v>
      </c>
      <c r="K2163" s="1">
        <v>0.70518568287037042</v>
      </c>
      <c r="L2163">
        <f>YEAR(Coffe_sales[[#This Row],[Date]])</f>
        <v>2024</v>
      </c>
    </row>
    <row r="2164" spans="1:12" x14ac:dyDescent="0.2">
      <c r="A2164" t="s">
        <v>91</v>
      </c>
      <c r="B2164" t="s">
        <v>12</v>
      </c>
      <c r="C2164">
        <v>35.76</v>
      </c>
      <c r="D2164" t="s">
        <v>21</v>
      </c>
      <c r="E2164" t="s">
        <v>29</v>
      </c>
      <c r="F2164" t="s">
        <v>15</v>
      </c>
      <c r="G2164" t="s">
        <v>302</v>
      </c>
      <c r="H2164" t="s">
        <v>17</v>
      </c>
      <c r="I2164" t="s">
        <v>35</v>
      </c>
      <c r="J2164" t="s">
        <v>310</v>
      </c>
      <c r="K2164" s="1">
        <v>0.84273341435185189</v>
      </c>
      <c r="L2164">
        <f>YEAR(Coffe_sales[[#This Row],[Date]])</f>
        <v>2024</v>
      </c>
    </row>
    <row r="2165" spans="1:12" x14ac:dyDescent="0.2">
      <c r="A2165" t="s">
        <v>91</v>
      </c>
      <c r="B2165" t="s">
        <v>12</v>
      </c>
      <c r="C2165">
        <v>35.76</v>
      </c>
      <c r="D2165" t="s">
        <v>21</v>
      </c>
      <c r="E2165" t="s">
        <v>29</v>
      </c>
      <c r="F2165" t="s">
        <v>15</v>
      </c>
      <c r="G2165" t="s">
        <v>302</v>
      </c>
      <c r="H2165" t="s">
        <v>17</v>
      </c>
      <c r="I2165" t="s">
        <v>35</v>
      </c>
      <c r="J2165" t="s">
        <v>310</v>
      </c>
      <c r="K2165" s="1">
        <v>0.8433366898148148</v>
      </c>
      <c r="L2165">
        <f>YEAR(Coffe_sales[[#This Row],[Date]])</f>
        <v>2024</v>
      </c>
    </row>
    <row r="2166" spans="1:12" x14ac:dyDescent="0.2">
      <c r="A2166" t="s">
        <v>91</v>
      </c>
      <c r="B2166" t="s">
        <v>12</v>
      </c>
      <c r="C2166">
        <v>35.76</v>
      </c>
      <c r="D2166" t="s">
        <v>21</v>
      </c>
      <c r="E2166" t="s">
        <v>29</v>
      </c>
      <c r="F2166" t="s">
        <v>15</v>
      </c>
      <c r="G2166" t="s">
        <v>302</v>
      </c>
      <c r="H2166" t="s">
        <v>17</v>
      </c>
      <c r="I2166" t="s">
        <v>35</v>
      </c>
      <c r="J2166" t="s">
        <v>310</v>
      </c>
      <c r="K2166" s="1">
        <v>0.84398148148148144</v>
      </c>
      <c r="L2166">
        <f>YEAR(Coffe_sales[[#This Row],[Date]])</f>
        <v>2024</v>
      </c>
    </row>
    <row r="2167" spans="1:12" x14ac:dyDescent="0.2">
      <c r="A2167" t="s">
        <v>125</v>
      </c>
      <c r="B2167" t="s">
        <v>12</v>
      </c>
      <c r="C2167">
        <v>35.76</v>
      </c>
      <c r="D2167" t="s">
        <v>13</v>
      </c>
      <c r="E2167" t="s">
        <v>29</v>
      </c>
      <c r="F2167" t="s">
        <v>15</v>
      </c>
      <c r="G2167" t="s">
        <v>302</v>
      </c>
      <c r="H2167" t="s">
        <v>17</v>
      </c>
      <c r="I2167" t="s">
        <v>35</v>
      </c>
      <c r="J2167" t="s">
        <v>310</v>
      </c>
      <c r="K2167" s="1">
        <v>0.93552855324074069</v>
      </c>
      <c r="L2167">
        <f>YEAR(Coffe_sales[[#This Row],[Date]])</f>
        <v>2024</v>
      </c>
    </row>
    <row r="2168" spans="1:12" x14ac:dyDescent="0.2">
      <c r="A2168" t="s">
        <v>11</v>
      </c>
      <c r="B2168" t="s">
        <v>12</v>
      </c>
      <c r="C2168">
        <v>30.86</v>
      </c>
      <c r="D2168" t="s">
        <v>26</v>
      </c>
      <c r="E2168" t="s">
        <v>14</v>
      </c>
      <c r="F2168" t="s">
        <v>32</v>
      </c>
      <c r="G2168" t="s">
        <v>302</v>
      </c>
      <c r="H2168" t="s">
        <v>33</v>
      </c>
      <c r="I2168" t="s">
        <v>35</v>
      </c>
      <c r="J2168" t="s">
        <v>311</v>
      </c>
      <c r="K2168" s="1">
        <v>0.42244023148148147</v>
      </c>
      <c r="L2168">
        <f>YEAR(Coffe_sales[[#This Row],[Date]])</f>
        <v>2024</v>
      </c>
    </row>
    <row r="2169" spans="1:12" x14ac:dyDescent="0.2">
      <c r="A2169" t="s">
        <v>35</v>
      </c>
      <c r="B2169" t="s">
        <v>12</v>
      </c>
      <c r="C2169">
        <v>25.96</v>
      </c>
      <c r="D2169" t="s">
        <v>41</v>
      </c>
      <c r="E2169" t="s">
        <v>14</v>
      </c>
      <c r="F2169" t="s">
        <v>32</v>
      </c>
      <c r="G2169" t="s">
        <v>302</v>
      </c>
      <c r="H2169" t="s">
        <v>33</v>
      </c>
      <c r="I2169" t="s">
        <v>35</v>
      </c>
      <c r="J2169" t="s">
        <v>311</v>
      </c>
      <c r="K2169" s="1">
        <v>0.45981482638888888</v>
      </c>
      <c r="L2169">
        <f>YEAR(Coffe_sales[[#This Row],[Date]])</f>
        <v>2024</v>
      </c>
    </row>
    <row r="2170" spans="1:12" x14ac:dyDescent="0.2">
      <c r="A2170" t="s">
        <v>35</v>
      </c>
      <c r="B2170" t="s">
        <v>12</v>
      </c>
      <c r="C2170">
        <v>25.96</v>
      </c>
      <c r="D2170" t="s">
        <v>41</v>
      </c>
      <c r="E2170" t="s">
        <v>14</v>
      </c>
      <c r="F2170" t="s">
        <v>32</v>
      </c>
      <c r="G2170" t="s">
        <v>302</v>
      </c>
      <c r="H2170" t="s">
        <v>33</v>
      </c>
      <c r="I2170" t="s">
        <v>35</v>
      </c>
      <c r="J2170" t="s">
        <v>311</v>
      </c>
      <c r="K2170" s="1">
        <v>0.46042342592592594</v>
      </c>
      <c r="L2170">
        <f>YEAR(Coffe_sales[[#This Row],[Date]])</f>
        <v>2024</v>
      </c>
    </row>
    <row r="2171" spans="1:12" x14ac:dyDescent="0.2">
      <c r="A2171" t="s">
        <v>35</v>
      </c>
      <c r="B2171" t="s">
        <v>12</v>
      </c>
      <c r="C2171">
        <v>35.76</v>
      </c>
      <c r="D2171" t="s">
        <v>13</v>
      </c>
      <c r="E2171" t="s">
        <v>14</v>
      </c>
      <c r="F2171" t="s">
        <v>32</v>
      </c>
      <c r="G2171" t="s">
        <v>302</v>
      </c>
      <c r="H2171" t="s">
        <v>33</v>
      </c>
      <c r="I2171" t="s">
        <v>35</v>
      </c>
      <c r="J2171" t="s">
        <v>311</v>
      </c>
      <c r="K2171" s="1">
        <v>0.4644006828703704</v>
      </c>
      <c r="L2171">
        <f>YEAR(Coffe_sales[[#This Row],[Date]])</f>
        <v>2024</v>
      </c>
    </row>
    <row r="2172" spans="1:12" x14ac:dyDescent="0.2">
      <c r="A2172" t="s">
        <v>23</v>
      </c>
      <c r="B2172" t="s">
        <v>12</v>
      </c>
      <c r="C2172">
        <v>35.76</v>
      </c>
      <c r="D2172" t="s">
        <v>21</v>
      </c>
      <c r="E2172" t="s">
        <v>22</v>
      </c>
      <c r="F2172" t="s">
        <v>32</v>
      </c>
      <c r="G2172" t="s">
        <v>302</v>
      </c>
      <c r="H2172" t="s">
        <v>33</v>
      </c>
      <c r="I2172" t="s">
        <v>35</v>
      </c>
      <c r="J2172" t="s">
        <v>311</v>
      </c>
      <c r="K2172" s="1">
        <v>0.57655878472222222</v>
      </c>
      <c r="L2172">
        <f>YEAR(Coffe_sales[[#This Row],[Date]])</f>
        <v>2024</v>
      </c>
    </row>
    <row r="2173" spans="1:12" x14ac:dyDescent="0.2">
      <c r="A2173" t="s">
        <v>23</v>
      </c>
      <c r="B2173" t="s">
        <v>12</v>
      </c>
      <c r="C2173">
        <v>35.76</v>
      </c>
      <c r="D2173" t="s">
        <v>21</v>
      </c>
      <c r="E2173" t="s">
        <v>22</v>
      </c>
      <c r="F2173" t="s">
        <v>32</v>
      </c>
      <c r="G2173" t="s">
        <v>302</v>
      </c>
      <c r="H2173" t="s">
        <v>33</v>
      </c>
      <c r="I2173" t="s">
        <v>35</v>
      </c>
      <c r="J2173" t="s">
        <v>311</v>
      </c>
      <c r="K2173" s="1">
        <v>0.57702724537037042</v>
      </c>
      <c r="L2173">
        <f>YEAR(Coffe_sales[[#This Row],[Date]])</f>
        <v>2024</v>
      </c>
    </row>
    <row r="2174" spans="1:12" x14ac:dyDescent="0.2">
      <c r="A2174" t="s">
        <v>36</v>
      </c>
      <c r="B2174" t="s">
        <v>12</v>
      </c>
      <c r="C2174">
        <v>35.76</v>
      </c>
      <c r="D2174" t="s">
        <v>21</v>
      </c>
      <c r="E2174" t="s">
        <v>22</v>
      </c>
      <c r="F2174" t="s">
        <v>32</v>
      </c>
      <c r="G2174" t="s">
        <v>302</v>
      </c>
      <c r="H2174" t="s">
        <v>33</v>
      </c>
      <c r="I2174" t="s">
        <v>35</v>
      </c>
      <c r="J2174" t="s">
        <v>311</v>
      </c>
      <c r="K2174" s="1">
        <v>0.59851393518518514</v>
      </c>
      <c r="L2174">
        <f>YEAR(Coffe_sales[[#This Row],[Date]])</f>
        <v>2024</v>
      </c>
    </row>
    <row r="2175" spans="1:12" x14ac:dyDescent="0.2">
      <c r="A2175" t="s">
        <v>36</v>
      </c>
      <c r="B2175" t="s">
        <v>12</v>
      </c>
      <c r="C2175">
        <v>35.76</v>
      </c>
      <c r="D2175" t="s">
        <v>21</v>
      </c>
      <c r="E2175" t="s">
        <v>22</v>
      </c>
      <c r="F2175" t="s">
        <v>32</v>
      </c>
      <c r="G2175" t="s">
        <v>302</v>
      </c>
      <c r="H2175" t="s">
        <v>33</v>
      </c>
      <c r="I2175" t="s">
        <v>35</v>
      </c>
      <c r="J2175" t="s">
        <v>311</v>
      </c>
      <c r="K2175" s="1">
        <v>0.59919490740740744</v>
      </c>
      <c r="L2175">
        <f>YEAR(Coffe_sales[[#This Row],[Date]])</f>
        <v>2024</v>
      </c>
    </row>
    <row r="2176" spans="1:12" x14ac:dyDescent="0.2">
      <c r="A2176" t="s">
        <v>36</v>
      </c>
      <c r="B2176" t="s">
        <v>12</v>
      </c>
      <c r="C2176">
        <v>25.96</v>
      </c>
      <c r="D2176" t="s">
        <v>24</v>
      </c>
      <c r="E2176" t="s">
        <v>22</v>
      </c>
      <c r="F2176" t="s">
        <v>32</v>
      </c>
      <c r="G2176" t="s">
        <v>302</v>
      </c>
      <c r="H2176" t="s">
        <v>33</v>
      </c>
      <c r="I2176" t="s">
        <v>35</v>
      </c>
      <c r="J2176" t="s">
        <v>311</v>
      </c>
      <c r="K2176" s="1">
        <v>0.60941146990740735</v>
      </c>
      <c r="L2176">
        <f>YEAR(Coffe_sales[[#This Row],[Date]])</f>
        <v>2024</v>
      </c>
    </row>
    <row r="2177" spans="1:12" x14ac:dyDescent="0.2">
      <c r="A2177" t="s">
        <v>25</v>
      </c>
      <c r="B2177" t="s">
        <v>12</v>
      </c>
      <c r="C2177">
        <v>30.86</v>
      </c>
      <c r="D2177" t="s">
        <v>26</v>
      </c>
      <c r="E2177" t="s">
        <v>22</v>
      </c>
      <c r="F2177" t="s">
        <v>32</v>
      </c>
      <c r="G2177" t="s">
        <v>302</v>
      </c>
      <c r="H2177" t="s">
        <v>33</v>
      </c>
      <c r="I2177" t="s">
        <v>35</v>
      </c>
      <c r="J2177" t="s">
        <v>311</v>
      </c>
      <c r="K2177" s="1">
        <v>0.64572851851851853</v>
      </c>
      <c r="L2177">
        <f>YEAR(Coffe_sales[[#This Row],[Date]])</f>
        <v>2024</v>
      </c>
    </row>
    <row r="2178" spans="1:12" x14ac:dyDescent="0.2">
      <c r="A2178" t="s">
        <v>27</v>
      </c>
      <c r="B2178" t="s">
        <v>12</v>
      </c>
      <c r="C2178">
        <v>35.76</v>
      </c>
      <c r="D2178" t="s">
        <v>13</v>
      </c>
      <c r="E2178" t="s">
        <v>22</v>
      </c>
      <c r="F2178" t="s">
        <v>32</v>
      </c>
      <c r="G2178" t="s">
        <v>302</v>
      </c>
      <c r="H2178" t="s">
        <v>33</v>
      </c>
      <c r="I2178" t="s">
        <v>35</v>
      </c>
      <c r="J2178" t="s">
        <v>311</v>
      </c>
      <c r="K2178" s="1">
        <v>0.67763706018518521</v>
      </c>
      <c r="L2178">
        <f>YEAR(Coffe_sales[[#This Row],[Date]])</f>
        <v>2024</v>
      </c>
    </row>
    <row r="2179" spans="1:12" x14ac:dyDescent="0.2">
      <c r="A2179" t="s">
        <v>27</v>
      </c>
      <c r="B2179" t="s">
        <v>12</v>
      </c>
      <c r="C2179">
        <v>35.76</v>
      </c>
      <c r="D2179" t="s">
        <v>31</v>
      </c>
      <c r="E2179" t="s">
        <v>22</v>
      </c>
      <c r="F2179" t="s">
        <v>32</v>
      </c>
      <c r="G2179" t="s">
        <v>302</v>
      </c>
      <c r="H2179" t="s">
        <v>33</v>
      </c>
      <c r="I2179" t="s">
        <v>35</v>
      </c>
      <c r="J2179" t="s">
        <v>311</v>
      </c>
      <c r="K2179" s="1">
        <v>0.67838453703703705</v>
      </c>
      <c r="L2179">
        <f>YEAR(Coffe_sales[[#This Row],[Date]])</f>
        <v>2024</v>
      </c>
    </row>
    <row r="2180" spans="1:12" x14ac:dyDescent="0.2">
      <c r="A2180" t="s">
        <v>91</v>
      </c>
      <c r="B2180" t="s">
        <v>12</v>
      </c>
      <c r="C2180">
        <v>25.96</v>
      </c>
      <c r="D2180" t="s">
        <v>24</v>
      </c>
      <c r="E2180" t="s">
        <v>29</v>
      </c>
      <c r="F2180" t="s">
        <v>32</v>
      </c>
      <c r="G2180" t="s">
        <v>302</v>
      </c>
      <c r="H2180" t="s">
        <v>33</v>
      </c>
      <c r="I2180" t="s">
        <v>35</v>
      </c>
      <c r="J2180" t="s">
        <v>311</v>
      </c>
      <c r="K2180" s="1">
        <v>0.86255234953703708</v>
      </c>
      <c r="L2180">
        <f>YEAR(Coffe_sales[[#This Row],[Date]])</f>
        <v>2024</v>
      </c>
    </row>
    <row r="2181" spans="1:12" x14ac:dyDescent="0.2">
      <c r="A2181" t="s">
        <v>91</v>
      </c>
      <c r="B2181" t="s">
        <v>12</v>
      </c>
      <c r="C2181">
        <v>35.76</v>
      </c>
      <c r="D2181" t="s">
        <v>13</v>
      </c>
      <c r="E2181" t="s">
        <v>29</v>
      </c>
      <c r="F2181" t="s">
        <v>32</v>
      </c>
      <c r="G2181" t="s">
        <v>302</v>
      </c>
      <c r="H2181" t="s">
        <v>33</v>
      </c>
      <c r="I2181" t="s">
        <v>35</v>
      </c>
      <c r="J2181" t="s">
        <v>311</v>
      </c>
      <c r="K2181" s="1">
        <v>0.8635131597222222</v>
      </c>
      <c r="L2181">
        <f>YEAR(Coffe_sales[[#This Row],[Date]])</f>
        <v>2024</v>
      </c>
    </row>
    <row r="2182" spans="1:12" x14ac:dyDescent="0.2">
      <c r="A2182" t="s">
        <v>125</v>
      </c>
      <c r="B2182" t="s">
        <v>12</v>
      </c>
      <c r="C2182">
        <v>35.76</v>
      </c>
      <c r="D2182" t="s">
        <v>31</v>
      </c>
      <c r="E2182" t="s">
        <v>29</v>
      </c>
      <c r="F2182" t="s">
        <v>32</v>
      </c>
      <c r="G2182" t="s">
        <v>302</v>
      </c>
      <c r="H2182" t="s">
        <v>33</v>
      </c>
      <c r="I2182" t="s">
        <v>35</v>
      </c>
      <c r="J2182" t="s">
        <v>311</v>
      </c>
      <c r="K2182" s="1">
        <v>0.92601450231481486</v>
      </c>
      <c r="L2182">
        <f>YEAR(Coffe_sales[[#This Row],[Date]])</f>
        <v>2024</v>
      </c>
    </row>
    <row r="2183" spans="1:12" x14ac:dyDescent="0.2">
      <c r="A2183" t="s">
        <v>125</v>
      </c>
      <c r="B2183" t="s">
        <v>12</v>
      </c>
      <c r="C2183">
        <v>25.96</v>
      </c>
      <c r="D2183" t="s">
        <v>24</v>
      </c>
      <c r="E2183" t="s">
        <v>29</v>
      </c>
      <c r="F2183" t="s">
        <v>32</v>
      </c>
      <c r="G2183" t="s">
        <v>302</v>
      </c>
      <c r="H2183" t="s">
        <v>33</v>
      </c>
      <c r="I2183" t="s">
        <v>35</v>
      </c>
      <c r="J2183" t="s">
        <v>311</v>
      </c>
      <c r="K2183" s="1">
        <v>0.95345010416666665</v>
      </c>
      <c r="L2183">
        <f>YEAR(Coffe_sales[[#This Row],[Date]])</f>
        <v>2024</v>
      </c>
    </row>
    <row r="2184" spans="1:12" x14ac:dyDescent="0.2">
      <c r="A2184" t="s">
        <v>125</v>
      </c>
      <c r="B2184" t="s">
        <v>12</v>
      </c>
      <c r="C2184">
        <v>25.96</v>
      </c>
      <c r="D2184" t="s">
        <v>24</v>
      </c>
      <c r="E2184" t="s">
        <v>29</v>
      </c>
      <c r="F2184" t="s">
        <v>32</v>
      </c>
      <c r="G2184" t="s">
        <v>302</v>
      </c>
      <c r="H2184" t="s">
        <v>33</v>
      </c>
      <c r="I2184" t="s">
        <v>35</v>
      </c>
      <c r="J2184" t="s">
        <v>311</v>
      </c>
      <c r="K2184" s="1">
        <v>0.95438781250000004</v>
      </c>
      <c r="L2184">
        <f>YEAR(Coffe_sales[[#This Row],[Date]])</f>
        <v>2024</v>
      </c>
    </row>
    <row r="2185" spans="1:12" x14ac:dyDescent="0.2">
      <c r="A2185" t="s">
        <v>46</v>
      </c>
      <c r="B2185" t="s">
        <v>12</v>
      </c>
      <c r="C2185">
        <v>25.96</v>
      </c>
      <c r="D2185" t="s">
        <v>24</v>
      </c>
      <c r="E2185" t="s">
        <v>14</v>
      </c>
      <c r="F2185" t="s">
        <v>38</v>
      </c>
      <c r="G2185" t="s">
        <v>302</v>
      </c>
      <c r="H2185" t="s">
        <v>39</v>
      </c>
      <c r="I2185" t="s">
        <v>35</v>
      </c>
      <c r="J2185" t="s">
        <v>312</v>
      </c>
      <c r="K2185" s="1">
        <v>0.40719675925925924</v>
      </c>
      <c r="L2185">
        <f>YEAR(Coffe_sales[[#This Row],[Date]])</f>
        <v>2024</v>
      </c>
    </row>
    <row r="2186" spans="1:12" x14ac:dyDescent="0.2">
      <c r="A2186" t="s">
        <v>37</v>
      </c>
      <c r="B2186" t="s">
        <v>12</v>
      </c>
      <c r="C2186">
        <v>35.76</v>
      </c>
      <c r="D2186" t="s">
        <v>31</v>
      </c>
      <c r="E2186" t="s">
        <v>29</v>
      </c>
      <c r="F2186" t="s">
        <v>38</v>
      </c>
      <c r="G2186" t="s">
        <v>302</v>
      </c>
      <c r="H2186" t="s">
        <v>39</v>
      </c>
      <c r="I2186" t="s">
        <v>35</v>
      </c>
      <c r="J2186" t="s">
        <v>312</v>
      </c>
      <c r="K2186" s="1">
        <v>0.74499869212962966</v>
      </c>
      <c r="L2186">
        <f>YEAR(Coffe_sales[[#This Row],[Date]])</f>
        <v>2024</v>
      </c>
    </row>
    <row r="2187" spans="1:12" x14ac:dyDescent="0.2">
      <c r="A2187" t="s">
        <v>28</v>
      </c>
      <c r="B2187" t="s">
        <v>12</v>
      </c>
      <c r="C2187">
        <v>35.76</v>
      </c>
      <c r="D2187" t="s">
        <v>21</v>
      </c>
      <c r="E2187" t="s">
        <v>29</v>
      </c>
      <c r="F2187" t="s">
        <v>38</v>
      </c>
      <c r="G2187" t="s">
        <v>302</v>
      </c>
      <c r="H2187" t="s">
        <v>39</v>
      </c>
      <c r="I2187" t="s">
        <v>35</v>
      </c>
      <c r="J2187" t="s">
        <v>312</v>
      </c>
      <c r="K2187" s="1">
        <v>0.7589509143518518</v>
      </c>
      <c r="L2187">
        <f>YEAR(Coffe_sales[[#This Row],[Date]])</f>
        <v>2024</v>
      </c>
    </row>
    <row r="2188" spans="1:12" x14ac:dyDescent="0.2">
      <c r="A2188" t="s">
        <v>28</v>
      </c>
      <c r="B2188" t="s">
        <v>12</v>
      </c>
      <c r="C2188">
        <v>35.76</v>
      </c>
      <c r="D2188" t="s">
        <v>21</v>
      </c>
      <c r="E2188" t="s">
        <v>29</v>
      </c>
      <c r="F2188" t="s">
        <v>38</v>
      </c>
      <c r="G2188" t="s">
        <v>302</v>
      </c>
      <c r="H2188" t="s">
        <v>39</v>
      </c>
      <c r="I2188" t="s">
        <v>35</v>
      </c>
      <c r="J2188" t="s">
        <v>312</v>
      </c>
      <c r="K2188" s="1">
        <v>0.75976439814814811</v>
      </c>
      <c r="L2188">
        <f>YEAR(Coffe_sales[[#This Row],[Date]])</f>
        <v>2024</v>
      </c>
    </row>
    <row r="2189" spans="1:12" x14ac:dyDescent="0.2">
      <c r="A2189" t="s">
        <v>91</v>
      </c>
      <c r="B2189" t="s">
        <v>12</v>
      </c>
      <c r="C2189">
        <v>35.76</v>
      </c>
      <c r="D2189" t="s">
        <v>52</v>
      </c>
      <c r="E2189" t="s">
        <v>29</v>
      </c>
      <c r="F2189" t="s">
        <v>38</v>
      </c>
      <c r="G2189" t="s">
        <v>302</v>
      </c>
      <c r="H2189" t="s">
        <v>39</v>
      </c>
      <c r="I2189" t="s">
        <v>35</v>
      </c>
      <c r="J2189" t="s">
        <v>312</v>
      </c>
      <c r="K2189" s="1">
        <v>0.85981628472222227</v>
      </c>
      <c r="L2189">
        <f>YEAR(Coffe_sales[[#This Row],[Date]])</f>
        <v>2024</v>
      </c>
    </row>
    <row r="2190" spans="1:12" x14ac:dyDescent="0.2">
      <c r="A2190" t="s">
        <v>91</v>
      </c>
      <c r="B2190" t="s">
        <v>12</v>
      </c>
      <c r="C2190">
        <v>35.76</v>
      </c>
      <c r="D2190" t="s">
        <v>52</v>
      </c>
      <c r="E2190" t="s">
        <v>29</v>
      </c>
      <c r="F2190" t="s">
        <v>38</v>
      </c>
      <c r="G2190" t="s">
        <v>302</v>
      </c>
      <c r="H2190" t="s">
        <v>39</v>
      </c>
      <c r="I2190" t="s">
        <v>35</v>
      </c>
      <c r="J2190" t="s">
        <v>312</v>
      </c>
      <c r="K2190" s="1">
        <v>0.86049590277777777</v>
      </c>
      <c r="L2190">
        <f>YEAR(Coffe_sales[[#This Row],[Date]])</f>
        <v>2024</v>
      </c>
    </row>
    <row r="2191" spans="1:12" x14ac:dyDescent="0.2">
      <c r="A2191" t="s">
        <v>39</v>
      </c>
      <c r="B2191" t="s">
        <v>12</v>
      </c>
      <c r="C2191">
        <v>35.76</v>
      </c>
      <c r="D2191" t="s">
        <v>52</v>
      </c>
      <c r="E2191" t="s">
        <v>14</v>
      </c>
      <c r="F2191" t="s">
        <v>42</v>
      </c>
      <c r="G2191" t="s">
        <v>302</v>
      </c>
      <c r="H2191" t="s">
        <v>43</v>
      </c>
      <c r="I2191" t="s">
        <v>35</v>
      </c>
      <c r="J2191" t="s">
        <v>313</v>
      </c>
      <c r="K2191" s="1">
        <v>0.32531023148148147</v>
      </c>
      <c r="L2191">
        <f>YEAR(Coffe_sales[[#This Row],[Date]])</f>
        <v>2024</v>
      </c>
    </row>
    <row r="2192" spans="1:12" x14ac:dyDescent="0.2">
      <c r="A2192" t="s">
        <v>46</v>
      </c>
      <c r="B2192" t="s">
        <v>12</v>
      </c>
      <c r="C2192">
        <v>30.86</v>
      </c>
      <c r="D2192" t="s">
        <v>26</v>
      </c>
      <c r="E2192" t="s">
        <v>14</v>
      </c>
      <c r="F2192" t="s">
        <v>42</v>
      </c>
      <c r="G2192" t="s">
        <v>302</v>
      </c>
      <c r="H2192" t="s">
        <v>43</v>
      </c>
      <c r="I2192" t="s">
        <v>35</v>
      </c>
      <c r="J2192" t="s">
        <v>313</v>
      </c>
      <c r="K2192" s="1">
        <v>0.41140952546296294</v>
      </c>
      <c r="L2192">
        <f>YEAR(Coffe_sales[[#This Row],[Date]])</f>
        <v>2024</v>
      </c>
    </row>
    <row r="2193" spans="1:12" x14ac:dyDescent="0.2">
      <c r="A2193" t="s">
        <v>11</v>
      </c>
      <c r="B2193" t="s">
        <v>12</v>
      </c>
      <c r="C2193">
        <v>25.96</v>
      </c>
      <c r="D2193" t="s">
        <v>41</v>
      </c>
      <c r="E2193" t="s">
        <v>14</v>
      </c>
      <c r="F2193" t="s">
        <v>42</v>
      </c>
      <c r="G2193" t="s">
        <v>302</v>
      </c>
      <c r="H2193" t="s">
        <v>43</v>
      </c>
      <c r="I2193" t="s">
        <v>35</v>
      </c>
      <c r="J2193" t="s">
        <v>313</v>
      </c>
      <c r="K2193" s="1">
        <v>0.42997106481481484</v>
      </c>
      <c r="L2193">
        <f>YEAR(Coffe_sales[[#This Row],[Date]])</f>
        <v>2024</v>
      </c>
    </row>
    <row r="2194" spans="1:12" x14ac:dyDescent="0.2">
      <c r="A2194" t="s">
        <v>27</v>
      </c>
      <c r="B2194" t="s">
        <v>12</v>
      </c>
      <c r="C2194">
        <v>35.76</v>
      </c>
      <c r="D2194" t="s">
        <v>52</v>
      </c>
      <c r="E2194" t="s">
        <v>22</v>
      </c>
      <c r="F2194" t="s">
        <v>42</v>
      </c>
      <c r="G2194" t="s">
        <v>302</v>
      </c>
      <c r="H2194" t="s">
        <v>43</v>
      </c>
      <c r="I2194" t="s">
        <v>35</v>
      </c>
      <c r="J2194" t="s">
        <v>313</v>
      </c>
      <c r="K2194" s="1">
        <v>0.67967592592592596</v>
      </c>
      <c r="L2194">
        <f>YEAR(Coffe_sales[[#This Row],[Date]])</f>
        <v>2024</v>
      </c>
    </row>
    <row r="2195" spans="1:12" x14ac:dyDescent="0.2">
      <c r="A2195" t="s">
        <v>27</v>
      </c>
      <c r="B2195" t="s">
        <v>12</v>
      </c>
      <c r="C2195">
        <v>35.76</v>
      </c>
      <c r="D2195" t="s">
        <v>21</v>
      </c>
      <c r="E2195" t="s">
        <v>22</v>
      </c>
      <c r="F2195" t="s">
        <v>42</v>
      </c>
      <c r="G2195" t="s">
        <v>302</v>
      </c>
      <c r="H2195" t="s">
        <v>43</v>
      </c>
      <c r="I2195" t="s">
        <v>35</v>
      </c>
      <c r="J2195" t="s">
        <v>313</v>
      </c>
      <c r="K2195" s="1">
        <v>0.68047068287037038</v>
      </c>
      <c r="L2195">
        <f>YEAR(Coffe_sales[[#This Row],[Date]])</f>
        <v>2024</v>
      </c>
    </row>
    <row r="2196" spans="1:12" x14ac:dyDescent="0.2">
      <c r="A2196" t="s">
        <v>37</v>
      </c>
      <c r="B2196" t="s">
        <v>12</v>
      </c>
      <c r="C2196">
        <v>35.76</v>
      </c>
      <c r="D2196" t="s">
        <v>52</v>
      </c>
      <c r="E2196" t="s">
        <v>29</v>
      </c>
      <c r="F2196" t="s">
        <v>42</v>
      </c>
      <c r="G2196" t="s">
        <v>302</v>
      </c>
      <c r="H2196" t="s">
        <v>43</v>
      </c>
      <c r="I2196" t="s">
        <v>35</v>
      </c>
      <c r="J2196" t="s">
        <v>313</v>
      </c>
      <c r="K2196" s="1">
        <v>0.73162098379629625</v>
      </c>
      <c r="L2196">
        <f>YEAR(Coffe_sales[[#This Row],[Date]])</f>
        <v>2024</v>
      </c>
    </row>
    <row r="2197" spans="1:12" x14ac:dyDescent="0.2">
      <c r="A2197" t="s">
        <v>30</v>
      </c>
      <c r="B2197" t="s">
        <v>12</v>
      </c>
      <c r="C2197">
        <v>35.76</v>
      </c>
      <c r="D2197" t="s">
        <v>13</v>
      </c>
      <c r="E2197" t="s">
        <v>29</v>
      </c>
      <c r="F2197" t="s">
        <v>42</v>
      </c>
      <c r="G2197" t="s">
        <v>302</v>
      </c>
      <c r="H2197" t="s">
        <v>43</v>
      </c>
      <c r="I2197" t="s">
        <v>35</v>
      </c>
      <c r="J2197" t="s">
        <v>313</v>
      </c>
      <c r="K2197" s="1">
        <v>0.79220960648148153</v>
      </c>
      <c r="L2197">
        <f>YEAR(Coffe_sales[[#This Row],[Date]])</f>
        <v>2024</v>
      </c>
    </row>
    <row r="2198" spans="1:12" x14ac:dyDescent="0.2">
      <c r="A2198" t="s">
        <v>30</v>
      </c>
      <c r="B2198" t="s">
        <v>12</v>
      </c>
      <c r="C2198">
        <v>35.76</v>
      </c>
      <c r="D2198" t="s">
        <v>21</v>
      </c>
      <c r="E2198" t="s">
        <v>29</v>
      </c>
      <c r="F2198" t="s">
        <v>42</v>
      </c>
      <c r="G2198" t="s">
        <v>302</v>
      </c>
      <c r="H2198" t="s">
        <v>43</v>
      </c>
      <c r="I2198" t="s">
        <v>35</v>
      </c>
      <c r="J2198" t="s">
        <v>313</v>
      </c>
      <c r="K2198" s="1">
        <v>0.79462416666666669</v>
      </c>
      <c r="L2198">
        <f>YEAR(Coffe_sales[[#This Row],[Date]])</f>
        <v>2024</v>
      </c>
    </row>
    <row r="2199" spans="1:12" x14ac:dyDescent="0.2">
      <c r="A2199" t="s">
        <v>131</v>
      </c>
      <c r="B2199" t="s">
        <v>12</v>
      </c>
      <c r="C2199">
        <v>35.76</v>
      </c>
      <c r="D2199" t="s">
        <v>13</v>
      </c>
      <c r="E2199" t="s">
        <v>29</v>
      </c>
      <c r="F2199" t="s">
        <v>42</v>
      </c>
      <c r="G2199" t="s">
        <v>302</v>
      </c>
      <c r="H2199" t="s">
        <v>43</v>
      </c>
      <c r="I2199" t="s">
        <v>35</v>
      </c>
      <c r="J2199" t="s">
        <v>313</v>
      </c>
      <c r="K2199" s="1">
        <v>0.88092223379629631</v>
      </c>
      <c r="L2199">
        <f>YEAR(Coffe_sales[[#This Row],[Date]])</f>
        <v>2024</v>
      </c>
    </row>
    <row r="2200" spans="1:12" x14ac:dyDescent="0.2">
      <c r="A2200" t="s">
        <v>131</v>
      </c>
      <c r="B2200" t="s">
        <v>12</v>
      </c>
      <c r="C2200">
        <v>35.76</v>
      </c>
      <c r="D2200" t="s">
        <v>13</v>
      </c>
      <c r="E2200" t="s">
        <v>29</v>
      </c>
      <c r="F2200" t="s">
        <v>42</v>
      </c>
      <c r="G2200" t="s">
        <v>302</v>
      </c>
      <c r="H2200" t="s">
        <v>43</v>
      </c>
      <c r="I2200" t="s">
        <v>35</v>
      </c>
      <c r="J2200" t="s">
        <v>313</v>
      </c>
      <c r="K2200" s="1">
        <v>0.88179343750000005</v>
      </c>
      <c r="L2200">
        <f>YEAR(Coffe_sales[[#This Row],[Date]])</f>
        <v>2024</v>
      </c>
    </row>
    <row r="2201" spans="1:12" x14ac:dyDescent="0.2">
      <c r="A2201" t="s">
        <v>11</v>
      </c>
      <c r="B2201" t="s">
        <v>12</v>
      </c>
      <c r="C2201">
        <v>35.76</v>
      </c>
      <c r="D2201" t="s">
        <v>13</v>
      </c>
      <c r="E2201" t="s">
        <v>14</v>
      </c>
      <c r="F2201" t="s">
        <v>47</v>
      </c>
      <c r="G2201" t="s">
        <v>302</v>
      </c>
      <c r="H2201" t="s">
        <v>48</v>
      </c>
      <c r="I2201" t="s">
        <v>35</v>
      </c>
      <c r="J2201" t="s">
        <v>314</v>
      </c>
      <c r="K2201" s="1">
        <v>0.41884921296296296</v>
      </c>
      <c r="L2201">
        <f>YEAR(Coffe_sales[[#This Row],[Date]])</f>
        <v>2024</v>
      </c>
    </row>
    <row r="2202" spans="1:12" x14ac:dyDescent="0.2">
      <c r="A2202" t="s">
        <v>23</v>
      </c>
      <c r="B2202" t="s">
        <v>12</v>
      </c>
      <c r="C2202">
        <v>35.76</v>
      </c>
      <c r="D2202" t="s">
        <v>13</v>
      </c>
      <c r="E2202" t="s">
        <v>22</v>
      </c>
      <c r="F2202" t="s">
        <v>47</v>
      </c>
      <c r="G2202" t="s">
        <v>302</v>
      </c>
      <c r="H2202" t="s">
        <v>48</v>
      </c>
      <c r="I2202" t="s">
        <v>35</v>
      </c>
      <c r="J2202" t="s">
        <v>314</v>
      </c>
      <c r="K2202" s="1">
        <v>0.55260872685185181</v>
      </c>
      <c r="L2202">
        <f>YEAR(Coffe_sales[[#This Row],[Date]])</f>
        <v>2024</v>
      </c>
    </row>
    <row r="2203" spans="1:12" x14ac:dyDescent="0.2">
      <c r="A2203" t="s">
        <v>36</v>
      </c>
      <c r="B2203" t="s">
        <v>12</v>
      </c>
      <c r="C2203">
        <v>35.76</v>
      </c>
      <c r="D2203" t="s">
        <v>13</v>
      </c>
      <c r="E2203" t="s">
        <v>22</v>
      </c>
      <c r="F2203" t="s">
        <v>47</v>
      </c>
      <c r="G2203" t="s">
        <v>302</v>
      </c>
      <c r="H2203" t="s">
        <v>48</v>
      </c>
      <c r="I2203" t="s">
        <v>35</v>
      </c>
      <c r="J2203" t="s">
        <v>314</v>
      </c>
      <c r="K2203" s="1">
        <v>0.61058898148148144</v>
      </c>
      <c r="L2203">
        <f>YEAR(Coffe_sales[[#This Row],[Date]])</f>
        <v>2024</v>
      </c>
    </row>
    <row r="2204" spans="1:12" x14ac:dyDescent="0.2">
      <c r="A2204" t="s">
        <v>27</v>
      </c>
      <c r="B2204" t="s">
        <v>12</v>
      </c>
      <c r="C2204">
        <v>35.76</v>
      </c>
      <c r="D2204" t="s">
        <v>21</v>
      </c>
      <c r="E2204" t="s">
        <v>22</v>
      </c>
      <c r="F2204" t="s">
        <v>47</v>
      </c>
      <c r="G2204" t="s">
        <v>302</v>
      </c>
      <c r="H2204" t="s">
        <v>48</v>
      </c>
      <c r="I2204" t="s">
        <v>35</v>
      </c>
      <c r="J2204" t="s">
        <v>314</v>
      </c>
      <c r="K2204" s="1">
        <v>0.69947180555555555</v>
      </c>
      <c r="L2204">
        <f>YEAR(Coffe_sales[[#This Row],[Date]])</f>
        <v>2024</v>
      </c>
    </row>
    <row r="2205" spans="1:12" x14ac:dyDescent="0.2">
      <c r="A2205" t="s">
        <v>27</v>
      </c>
      <c r="B2205" t="s">
        <v>12</v>
      </c>
      <c r="C2205">
        <v>35.76</v>
      </c>
      <c r="D2205" t="s">
        <v>21</v>
      </c>
      <c r="E2205" t="s">
        <v>22</v>
      </c>
      <c r="F2205" t="s">
        <v>47</v>
      </c>
      <c r="G2205" t="s">
        <v>302</v>
      </c>
      <c r="H2205" t="s">
        <v>48</v>
      </c>
      <c r="I2205" t="s">
        <v>35</v>
      </c>
      <c r="J2205" t="s">
        <v>314</v>
      </c>
      <c r="K2205" s="1">
        <v>0.70005668981481484</v>
      </c>
      <c r="L2205">
        <f>YEAR(Coffe_sales[[#This Row],[Date]])</f>
        <v>2024</v>
      </c>
    </row>
    <row r="2206" spans="1:12" x14ac:dyDescent="0.2">
      <c r="A2206" t="s">
        <v>27</v>
      </c>
      <c r="B2206" t="s">
        <v>12</v>
      </c>
      <c r="C2206">
        <v>35.76</v>
      </c>
      <c r="D2206" t="s">
        <v>31</v>
      </c>
      <c r="E2206" t="s">
        <v>22</v>
      </c>
      <c r="F2206" t="s">
        <v>47</v>
      </c>
      <c r="G2206" t="s">
        <v>302</v>
      </c>
      <c r="H2206" t="s">
        <v>48</v>
      </c>
      <c r="I2206" t="s">
        <v>35</v>
      </c>
      <c r="J2206" t="s">
        <v>314</v>
      </c>
      <c r="K2206" s="1">
        <v>0.70073986111111108</v>
      </c>
      <c r="L2206">
        <f>YEAR(Coffe_sales[[#This Row],[Date]])</f>
        <v>2024</v>
      </c>
    </row>
    <row r="2207" spans="1:12" x14ac:dyDescent="0.2">
      <c r="A2207" t="s">
        <v>28</v>
      </c>
      <c r="B2207" t="s">
        <v>12</v>
      </c>
      <c r="C2207">
        <v>35.76</v>
      </c>
      <c r="D2207" t="s">
        <v>52</v>
      </c>
      <c r="E2207" t="s">
        <v>29</v>
      </c>
      <c r="F2207" t="s">
        <v>47</v>
      </c>
      <c r="G2207" t="s">
        <v>302</v>
      </c>
      <c r="H2207" t="s">
        <v>48</v>
      </c>
      <c r="I2207" t="s">
        <v>35</v>
      </c>
      <c r="J2207" t="s">
        <v>314</v>
      </c>
      <c r="K2207" s="1">
        <v>0.78141600694444446</v>
      </c>
      <c r="L2207">
        <f>YEAR(Coffe_sales[[#This Row],[Date]])</f>
        <v>2024</v>
      </c>
    </row>
    <row r="2208" spans="1:12" x14ac:dyDescent="0.2">
      <c r="A2208" t="s">
        <v>91</v>
      </c>
      <c r="B2208" t="s">
        <v>12</v>
      </c>
      <c r="C2208">
        <v>35.76</v>
      </c>
      <c r="D2208" t="s">
        <v>13</v>
      </c>
      <c r="E2208" t="s">
        <v>29</v>
      </c>
      <c r="F2208" t="s">
        <v>47</v>
      </c>
      <c r="G2208" t="s">
        <v>302</v>
      </c>
      <c r="H2208" t="s">
        <v>48</v>
      </c>
      <c r="I2208" t="s">
        <v>35</v>
      </c>
      <c r="J2208" t="s">
        <v>314</v>
      </c>
      <c r="K2208" s="1">
        <v>0.83886361111111107</v>
      </c>
      <c r="L2208">
        <f>YEAR(Coffe_sales[[#This Row],[Date]])</f>
        <v>2024</v>
      </c>
    </row>
    <row r="2209" spans="1:12" x14ac:dyDescent="0.2">
      <c r="A2209" t="s">
        <v>91</v>
      </c>
      <c r="B2209" t="s">
        <v>12</v>
      </c>
      <c r="C2209">
        <v>35.76</v>
      </c>
      <c r="D2209" t="s">
        <v>31</v>
      </c>
      <c r="E2209" t="s">
        <v>29</v>
      </c>
      <c r="F2209" t="s">
        <v>47</v>
      </c>
      <c r="G2209" t="s">
        <v>302</v>
      </c>
      <c r="H2209" t="s">
        <v>48</v>
      </c>
      <c r="I2209" t="s">
        <v>35</v>
      </c>
      <c r="J2209" t="s">
        <v>314</v>
      </c>
      <c r="K2209" s="1">
        <v>0.83983568287037036</v>
      </c>
      <c r="L2209">
        <f>YEAR(Coffe_sales[[#This Row],[Date]])</f>
        <v>2024</v>
      </c>
    </row>
    <row r="2210" spans="1:12" x14ac:dyDescent="0.2">
      <c r="A2210" t="s">
        <v>123</v>
      </c>
      <c r="B2210" t="s">
        <v>12</v>
      </c>
      <c r="C2210">
        <v>30.86</v>
      </c>
      <c r="D2210" t="s">
        <v>26</v>
      </c>
      <c r="E2210" t="s">
        <v>14</v>
      </c>
      <c r="F2210" t="s">
        <v>50</v>
      </c>
      <c r="G2210" t="s">
        <v>302</v>
      </c>
      <c r="H2210" t="s">
        <v>18</v>
      </c>
      <c r="I2210" t="s">
        <v>35</v>
      </c>
      <c r="J2210" t="s">
        <v>315</v>
      </c>
      <c r="K2210" s="1">
        <v>0.33970893518518519</v>
      </c>
      <c r="L2210">
        <f>YEAR(Coffe_sales[[#This Row],[Date]])</f>
        <v>2024</v>
      </c>
    </row>
    <row r="2211" spans="1:12" x14ac:dyDescent="0.2">
      <c r="A2211" t="s">
        <v>11</v>
      </c>
      <c r="B2211" t="s">
        <v>12</v>
      </c>
      <c r="C2211">
        <v>35.76</v>
      </c>
      <c r="D2211" t="s">
        <v>13</v>
      </c>
      <c r="E2211" t="s">
        <v>14</v>
      </c>
      <c r="F2211" t="s">
        <v>50</v>
      </c>
      <c r="G2211" t="s">
        <v>302</v>
      </c>
      <c r="H2211" t="s">
        <v>18</v>
      </c>
      <c r="I2211" t="s">
        <v>35</v>
      </c>
      <c r="J2211" t="s">
        <v>315</v>
      </c>
      <c r="K2211" s="1">
        <v>0.44286171296296295</v>
      </c>
      <c r="L2211">
        <f>YEAR(Coffe_sales[[#This Row],[Date]])</f>
        <v>2024</v>
      </c>
    </row>
    <row r="2212" spans="1:12" x14ac:dyDescent="0.2">
      <c r="A2212" t="s">
        <v>23</v>
      </c>
      <c r="B2212" t="s">
        <v>12</v>
      </c>
      <c r="C2212">
        <v>30.86</v>
      </c>
      <c r="D2212" t="s">
        <v>26</v>
      </c>
      <c r="E2212" t="s">
        <v>22</v>
      </c>
      <c r="F2212" t="s">
        <v>50</v>
      </c>
      <c r="G2212" t="s">
        <v>302</v>
      </c>
      <c r="H2212" t="s">
        <v>18</v>
      </c>
      <c r="I2212" t="s">
        <v>35</v>
      </c>
      <c r="J2212" t="s">
        <v>315</v>
      </c>
      <c r="K2212" s="1">
        <v>0.55549270833333331</v>
      </c>
      <c r="L2212">
        <f>YEAR(Coffe_sales[[#This Row],[Date]])</f>
        <v>2024</v>
      </c>
    </row>
    <row r="2213" spans="1:12" x14ac:dyDescent="0.2">
      <c r="A2213" t="s">
        <v>23</v>
      </c>
      <c r="B2213" t="s">
        <v>12</v>
      </c>
      <c r="C2213">
        <v>30.86</v>
      </c>
      <c r="D2213" t="s">
        <v>26</v>
      </c>
      <c r="E2213" t="s">
        <v>22</v>
      </c>
      <c r="F2213" t="s">
        <v>50</v>
      </c>
      <c r="G2213" t="s">
        <v>302</v>
      </c>
      <c r="H2213" t="s">
        <v>18</v>
      </c>
      <c r="I2213" t="s">
        <v>35</v>
      </c>
      <c r="J2213" t="s">
        <v>315</v>
      </c>
      <c r="K2213" s="1">
        <v>0.55623237268518522</v>
      </c>
      <c r="L2213">
        <f>YEAR(Coffe_sales[[#This Row],[Date]])</f>
        <v>2024</v>
      </c>
    </row>
    <row r="2214" spans="1:12" x14ac:dyDescent="0.2">
      <c r="A2214" t="s">
        <v>36</v>
      </c>
      <c r="B2214" t="s">
        <v>12</v>
      </c>
      <c r="C2214">
        <v>30.86</v>
      </c>
      <c r="D2214" t="s">
        <v>26</v>
      </c>
      <c r="E2214" t="s">
        <v>22</v>
      </c>
      <c r="F2214" t="s">
        <v>50</v>
      </c>
      <c r="G2214" t="s">
        <v>302</v>
      </c>
      <c r="H2214" t="s">
        <v>18</v>
      </c>
      <c r="I2214" t="s">
        <v>35</v>
      </c>
      <c r="J2214" t="s">
        <v>315</v>
      </c>
      <c r="K2214" s="1">
        <v>0.59548888888888885</v>
      </c>
      <c r="L2214">
        <f>YEAR(Coffe_sales[[#This Row],[Date]])</f>
        <v>2024</v>
      </c>
    </row>
    <row r="2215" spans="1:12" x14ac:dyDescent="0.2">
      <c r="A2215" t="s">
        <v>36</v>
      </c>
      <c r="B2215" t="s">
        <v>12</v>
      </c>
      <c r="C2215">
        <v>35.76</v>
      </c>
      <c r="D2215" t="s">
        <v>13</v>
      </c>
      <c r="E2215" t="s">
        <v>22</v>
      </c>
      <c r="F2215" t="s">
        <v>50</v>
      </c>
      <c r="G2215" t="s">
        <v>302</v>
      </c>
      <c r="H2215" t="s">
        <v>18</v>
      </c>
      <c r="I2215" t="s">
        <v>35</v>
      </c>
      <c r="J2215" t="s">
        <v>315</v>
      </c>
      <c r="K2215" s="1">
        <v>0.61595348379629633</v>
      </c>
      <c r="L2215">
        <f>YEAR(Coffe_sales[[#This Row],[Date]])</f>
        <v>2024</v>
      </c>
    </row>
    <row r="2216" spans="1:12" x14ac:dyDescent="0.2">
      <c r="A2216" t="s">
        <v>46</v>
      </c>
      <c r="B2216" t="s">
        <v>12</v>
      </c>
      <c r="C2216">
        <v>35.76</v>
      </c>
      <c r="D2216" t="s">
        <v>13</v>
      </c>
      <c r="E2216" t="s">
        <v>14</v>
      </c>
      <c r="F2216" t="s">
        <v>53</v>
      </c>
      <c r="G2216" t="s">
        <v>302</v>
      </c>
      <c r="H2216" t="s">
        <v>54</v>
      </c>
      <c r="I2216" t="s">
        <v>35</v>
      </c>
      <c r="J2216" t="s">
        <v>316</v>
      </c>
      <c r="K2216" s="1">
        <v>0.40032150462962962</v>
      </c>
      <c r="L2216">
        <f>YEAR(Coffe_sales[[#This Row],[Date]])</f>
        <v>2024</v>
      </c>
    </row>
    <row r="2217" spans="1:12" x14ac:dyDescent="0.2">
      <c r="A2217" t="s">
        <v>11</v>
      </c>
      <c r="B2217" t="s">
        <v>12</v>
      </c>
      <c r="C2217">
        <v>25.96</v>
      </c>
      <c r="D2217" t="s">
        <v>24</v>
      </c>
      <c r="E2217" t="s">
        <v>14</v>
      </c>
      <c r="F2217" t="s">
        <v>53</v>
      </c>
      <c r="G2217" t="s">
        <v>302</v>
      </c>
      <c r="H2217" t="s">
        <v>54</v>
      </c>
      <c r="I2217" t="s">
        <v>35</v>
      </c>
      <c r="J2217" t="s">
        <v>316</v>
      </c>
      <c r="K2217" s="1">
        <v>0.42132731481481484</v>
      </c>
      <c r="L2217">
        <f>YEAR(Coffe_sales[[#This Row],[Date]])</f>
        <v>2024</v>
      </c>
    </row>
    <row r="2218" spans="1:12" x14ac:dyDescent="0.2">
      <c r="A2218" t="s">
        <v>20</v>
      </c>
      <c r="B2218" t="s">
        <v>12</v>
      </c>
      <c r="C2218">
        <v>21.06</v>
      </c>
      <c r="D2218" t="s">
        <v>45</v>
      </c>
      <c r="E2218" t="s">
        <v>22</v>
      </c>
      <c r="F2218" t="s">
        <v>53</v>
      </c>
      <c r="G2218" t="s">
        <v>302</v>
      </c>
      <c r="H2218" t="s">
        <v>54</v>
      </c>
      <c r="I2218" t="s">
        <v>35</v>
      </c>
      <c r="J2218" t="s">
        <v>316</v>
      </c>
      <c r="K2218" s="1">
        <v>0.53391758101851849</v>
      </c>
      <c r="L2218">
        <f>YEAR(Coffe_sales[[#This Row],[Date]])</f>
        <v>2024</v>
      </c>
    </row>
    <row r="2219" spans="1:12" x14ac:dyDescent="0.2">
      <c r="A2219" t="s">
        <v>25</v>
      </c>
      <c r="B2219" t="s">
        <v>12</v>
      </c>
      <c r="C2219">
        <v>35.76</v>
      </c>
      <c r="D2219" t="s">
        <v>52</v>
      </c>
      <c r="E2219" t="s">
        <v>22</v>
      </c>
      <c r="F2219" t="s">
        <v>53</v>
      </c>
      <c r="G2219" t="s">
        <v>302</v>
      </c>
      <c r="H2219" t="s">
        <v>54</v>
      </c>
      <c r="I2219" t="s">
        <v>35</v>
      </c>
      <c r="J2219" t="s">
        <v>316</v>
      </c>
      <c r="K2219" s="1">
        <v>0.62760894675925927</v>
      </c>
      <c r="L2219">
        <f>YEAR(Coffe_sales[[#This Row],[Date]])</f>
        <v>2024</v>
      </c>
    </row>
    <row r="2220" spans="1:12" x14ac:dyDescent="0.2">
      <c r="A2220" t="s">
        <v>25</v>
      </c>
      <c r="B2220" t="s">
        <v>12</v>
      </c>
      <c r="C2220">
        <v>35.76</v>
      </c>
      <c r="D2220" t="s">
        <v>13</v>
      </c>
      <c r="E2220" t="s">
        <v>22</v>
      </c>
      <c r="F2220" t="s">
        <v>53</v>
      </c>
      <c r="G2220" t="s">
        <v>302</v>
      </c>
      <c r="H2220" t="s">
        <v>54</v>
      </c>
      <c r="I2220" t="s">
        <v>35</v>
      </c>
      <c r="J2220" t="s">
        <v>316</v>
      </c>
      <c r="K2220" s="1">
        <v>0.62843459490740738</v>
      </c>
      <c r="L2220">
        <f>YEAR(Coffe_sales[[#This Row],[Date]])</f>
        <v>2024</v>
      </c>
    </row>
    <row r="2221" spans="1:12" x14ac:dyDescent="0.2">
      <c r="A2221" t="s">
        <v>25</v>
      </c>
      <c r="B2221" t="s">
        <v>12</v>
      </c>
      <c r="C2221">
        <v>35.76</v>
      </c>
      <c r="D2221" t="s">
        <v>52</v>
      </c>
      <c r="E2221" t="s">
        <v>22</v>
      </c>
      <c r="F2221" t="s">
        <v>53</v>
      </c>
      <c r="G2221" t="s">
        <v>302</v>
      </c>
      <c r="H2221" t="s">
        <v>54</v>
      </c>
      <c r="I2221" t="s">
        <v>35</v>
      </c>
      <c r="J2221" t="s">
        <v>316</v>
      </c>
      <c r="K2221" s="1">
        <v>0.62904853009259254</v>
      </c>
      <c r="L2221">
        <f>YEAR(Coffe_sales[[#This Row],[Date]])</f>
        <v>2024</v>
      </c>
    </row>
    <row r="2222" spans="1:12" x14ac:dyDescent="0.2">
      <c r="A2222" t="s">
        <v>27</v>
      </c>
      <c r="B2222" t="s">
        <v>12</v>
      </c>
      <c r="C2222">
        <v>30.86</v>
      </c>
      <c r="D2222" t="s">
        <v>26</v>
      </c>
      <c r="E2222" t="s">
        <v>22</v>
      </c>
      <c r="F2222" t="s">
        <v>53</v>
      </c>
      <c r="G2222" t="s">
        <v>302</v>
      </c>
      <c r="H2222" t="s">
        <v>54</v>
      </c>
      <c r="I2222" t="s">
        <v>35</v>
      </c>
      <c r="J2222" t="s">
        <v>316</v>
      </c>
      <c r="K2222" s="1">
        <v>0.67579061342592595</v>
      </c>
      <c r="L2222">
        <f>YEAR(Coffe_sales[[#This Row],[Date]])</f>
        <v>2024</v>
      </c>
    </row>
    <row r="2223" spans="1:12" x14ac:dyDescent="0.2">
      <c r="A2223" t="s">
        <v>27</v>
      </c>
      <c r="B2223" t="s">
        <v>12</v>
      </c>
      <c r="C2223">
        <v>35.76</v>
      </c>
      <c r="D2223" t="s">
        <v>52</v>
      </c>
      <c r="E2223" t="s">
        <v>22</v>
      </c>
      <c r="F2223" t="s">
        <v>53</v>
      </c>
      <c r="G2223" t="s">
        <v>302</v>
      </c>
      <c r="H2223" t="s">
        <v>54</v>
      </c>
      <c r="I2223" t="s">
        <v>35</v>
      </c>
      <c r="J2223" t="s">
        <v>316</v>
      </c>
      <c r="K2223" s="1">
        <v>0.67663837962962958</v>
      </c>
      <c r="L2223">
        <f>YEAR(Coffe_sales[[#This Row],[Date]])</f>
        <v>2024</v>
      </c>
    </row>
    <row r="2224" spans="1:12" x14ac:dyDescent="0.2">
      <c r="A2224" t="s">
        <v>30</v>
      </c>
      <c r="B2224" t="s">
        <v>12</v>
      </c>
      <c r="C2224">
        <v>35.76</v>
      </c>
      <c r="D2224" t="s">
        <v>21</v>
      </c>
      <c r="E2224" t="s">
        <v>29</v>
      </c>
      <c r="F2224" t="s">
        <v>53</v>
      </c>
      <c r="G2224" t="s">
        <v>302</v>
      </c>
      <c r="H2224" t="s">
        <v>54</v>
      </c>
      <c r="I2224" t="s">
        <v>35</v>
      </c>
      <c r="J2224" t="s">
        <v>316</v>
      </c>
      <c r="K2224" s="1">
        <v>0.82183442129629625</v>
      </c>
      <c r="L2224">
        <f>YEAR(Coffe_sales[[#This Row],[Date]])</f>
        <v>2024</v>
      </c>
    </row>
    <row r="2225" spans="1:12" x14ac:dyDescent="0.2">
      <c r="A2225" t="s">
        <v>30</v>
      </c>
      <c r="B2225" t="s">
        <v>12</v>
      </c>
      <c r="C2225">
        <v>35.76</v>
      </c>
      <c r="D2225" t="s">
        <v>21</v>
      </c>
      <c r="E2225" t="s">
        <v>29</v>
      </c>
      <c r="F2225" t="s">
        <v>53</v>
      </c>
      <c r="G2225" t="s">
        <v>302</v>
      </c>
      <c r="H2225" t="s">
        <v>54</v>
      </c>
      <c r="I2225" t="s">
        <v>35</v>
      </c>
      <c r="J2225" t="s">
        <v>316</v>
      </c>
      <c r="K2225" s="1">
        <v>0.82404096064814814</v>
      </c>
      <c r="L2225">
        <f>YEAR(Coffe_sales[[#This Row],[Date]])</f>
        <v>2024</v>
      </c>
    </row>
    <row r="2226" spans="1:12" x14ac:dyDescent="0.2">
      <c r="A2226" t="s">
        <v>91</v>
      </c>
      <c r="B2226" t="s">
        <v>12</v>
      </c>
      <c r="C2226">
        <v>35.76</v>
      </c>
      <c r="D2226" t="s">
        <v>31</v>
      </c>
      <c r="E2226" t="s">
        <v>29</v>
      </c>
      <c r="F2226" t="s">
        <v>53</v>
      </c>
      <c r="G2226" t="s">
        <v>302</v>
      </c>
      <c r="H2226" t="s">
        <v>54</v>
      </c>
      <c r="I2226" t="s">
        <v>35</v>
      </c>
      <c r="J2226" t="s">
        <v>316</v>
      </c>
      <c r="K2226" s="1">
        <v>0.85520864583333334</v>
      </c>
      <c r="L2226">
        <f>YEAR(Coffe_sales[[#This Row],[Date]])</f>
        <v>2024</v>
      </c>
    </row>
    <row r="2227" spans="1:12" x14ac:dyDescent="0.2">
      <c r="A2227" t="s">
        <v>91</v>
      </c>
      <c r="B2227" t="s">
        <v>12</v>
      </c>
      <c r="C2227">
        <v>35.76</v>
      </c>
      <c r="D2227" t="s">
        <v>21</v>
      </c>
      <c r="E2227" t="s">
        <v>29</v>
      </c>
      <c r="F2227" t="s">
        <v>53</v>
      </c>
      <c r="G2227" t="s">
        <v>302</v>
      </c>
      <c r="H2227" t="s">
        <v>54</v>
      </c>
      <c r="I2227" t="s">
        <v>35</v>
      </c>
      <c r="J2227" t="s">
        <v>316</v>
      </c>
      <c r="K2227" s="1">
        <v>0.85590914351851854</v>
      </c>
      <c r="L2227">
        <f>YEAR(Coffe_sales[[#This Row],[Date]])</f>
        <v>2024</v>
      </c>
    </row>
    <row r="2228" spans="1:12" x14ac:dyDescent="0.2">
      <c r="A2228" t="s">
        <v>131</v>
      </c>
      <c r="B2228" t="s">
        <v>12</v>
      </c>
      <c r="C2228">
        <v>35.76</v>
      </c>
      <c r="D2228" t="s">
        <v>13</v>
      </c>
      <c r="E2228" t="s">
        <v>29</v>
      </c>
      <c r="F2228" t="s">
        <v>53</v>
      </c>
      <c r="G2228" t="s">
        <v>302</v>
      </c>
      <c r="H2228" t="s">
        <v>54</v>
      </c>
      <c r="I2228" t="s">
        <v>35</v>
      </c>
      <c r="J2228" t="s">
        <v>316</v>
      </c>
      <c r="K2228" s="1">
        <v>0.8920322453703704</v>
      </c>
      <c r="L2228">
        <f>YEAR(Coffe_sales[[#This Row],[Date]])</f>
        <v>2024</v>
      </c>
    </row>
    <row r="2229" spans="1:12" x14ac:dyDescent="0.2">
      <c r="A2229" t="s">
        <v>125</v>
      </c>
      <c r="B2229" t="s">
        <v>12</v>
      </c>
      <c r="C2229">
        <v>35.76</v>
      </c>
      <c r="D2229" t="s">
        <v>13</v>
      </c>
      <c r="E2229" t="s">
        <v>29</v>
      </c>
      <c r="F2229" t="s">
        <v>53</v>
      </c>
      <c r="G2229" t="s">
        <v>302</v>
      </c>
      <c r="H2229" t="s">
        <v>54</v>
      </c>
      <c r="I2229" t="s">
        <v>35</v>
      </c>
      <c r="J2229" t="s">
        <v>316</v>
      </c>
      <c r="K2229" s="1">
        <v>0.94493457175925921</v>
      </c>
      <c r="L2229">
        <f>YEAR(Coffe_sales[[#This Row],[Date]])</f>
        <v>2024</v>
      </c>
    </row>
    <row r="2230" spans="1:12" x14ac:dyDescent="0.2">
      <c r="A2230" t="s">
        <v>123</v>
      </c>
      <c r="B2230" t="s">
        <v>12</v>
      </c>
      <c r="C2230">
        <v>30.86</v>
      </c>
      <c r="D2230" t="s">
        <v>26</v>
      </c>
      <c r="E2230" t="s">
        <v>14</v>
      </c>
      <c r="F2230" t="s">
        <v>15</v>
      </c>
      <c r="G2230" t="s">
        <v>302</v>
      </c>
      <c r="H2230" t="s">
        <v>17</v>
      </c>
      <c r="I2230" t="s">
        <v>35</v>
      </c>
      <c r="J2230" t="s">
        <v>317</v>
      </c>
      <c r="K2230" s="1">
        <v>0.36517521990740742</v>
      </c>
      <c r="L2230">
        <f>YEAR(Coffe_sales[[#This Row],[Date]])</f>
        <v>2024</v>
      </c>
    </row>
    <row r="2231" spans="1:12" x14ac:dyDescent="0.2">
      <c r="A2231" t="s">
        <v>35</v>
      </c>
      <c r="B2231" t="s">
        <v>12</v>
      </c>
      <c r="C2231">
        <v>30.86</v>
      </c>
      <c r="D2231" t="s">
        <v>26</v>
      </c>
      <c r="E2231" t="s">
        <v>14</v>
      </c>
      <c r="F2231" t="s">
        <v>15</v>
      </c>
      <c r="G2231" t="s">
        <v>302</v>
      </c>
      <c r="H2231" t="s">
        <v>17</v>
      </c>
      <c r="I2231" t="s">
        <v>35</v>
      </c>
      <c r="J2231" t="s">
        <v>317</v>
      </c>
      <c r="K2231" s="1">
        <v>0.46241938657407405</v>
      </c>
      <c r="L2231">
        <f>YEAR(Coffe_sales[[#This Row],[Date]])</f>
        <v>2024</v>
      </c>
    </row>
    <row r="2232" spans="1:12" x14ac:dyDescent="0.2">
      <c r="A2232" t="s">
        <v>20</v>
      </c>
      <c r="B2232" t="s">
        <v>12</v>
      </c>
      <c r="C2232">
        <v>35.76</v>
      </c>
      <c r="D2232" t="s">
        <v>31</v>
      </c>
      <c r="E2232" t="s">
        <v>22</v>
      </c>
      <c r="F2232" t="s">
        <v>15</v>
      </c>
      <c r="G2232" t="s">
        <v>302</v>
      </c>
      <c r="H2232" t="s">
        <v>17</v>
      </c>
      <c r="I2232" t="s">
        <v>35</v>
      </c>
      <c r="J2232" t="s">
        <v>317</v>
      </c>
      <c r="K2232" s="1">
        <v>0.50625532407407403</v>
      </c>
      <c r="L2232">
        <f>YEAR(Coffe_sales[[#This Row],[Date]])</f>
        <v>2024</v>
      </c>
    </row>
    <row r="2233" spans="1:12" x14ac:dyDescent="0.2">
      <c r="A2233" t="s">
        <v>20</v>
      </c>
      <c r="B2233" t="s">
        <v>12</v>
      </c>
      <c r="C2233">
        <v>35.76</v>
      </c>
      <c r="D2233" t="s">
        <v>31</v>
      </c>
      <c r="E2233" t="s">
        <v>22</v>
      </c>
      <c r="F2233" t="s">
        <v>15</v>
      </c>
      <c r="G2233" t="s">
        <v>302</v>
      </c>
      <c r="H2233" t="s">
        <v>17</v>
      </c>
      <c r="I2233" t="s">
        <v>35</v>
      </c>
      <c r="J2233" t="s">
        <v>317</v>
      </c>
      <c r="K2233" s="1">
        <v>0.50993693287037034</v>
      </c>
      <c r="L2233">
        <f>YEAR(Coffe_sales[[#This Row],[Date]])</f>
        <v>2024</v>
      </c>
    </row>
    <row r="2234" spans="1:12" x14ac:dyDescent="0.2">
      <c r="A2234" t="s">
        <v>23</v>
      </c>
      <c r="B2234" t="s">
        <v>12</v>
      </c>
      <c r="C2234">
        <v>35.76</v>
      </c>
      <c r="D2234" t="s">
        <v>13</v>
      </c>
      <c r="E2234" t="s">
        <v>22</v>
      </c>
      <c r="F2234" t="s">
        <v>15</v>
      </c>
      <c r="G2234" t="s">
        <v>302</v>
      </c>
      <c r="H2234" t="s">
        <v>17</v>
      </c>
      <c r="I2234" t="s">
        <v>35</v>
      </c>
      <c r="J2234" t="s">
        <v>317</v>
      </c>
      <c r="K2234" s="1">
        <v>0.5816422916666667</v>
      </c>
      <c r="L2234">
        <f>YEAR(Coffe_sales[[#This Row],[Date]])</f>
        <v>2024</v>
      </c>
    </row>
    <row r="2235" spans="1:12" x14ac:dyDescent="0.2">
      <c r="A2235" t="s">
        <v>25</v>
      </c>
      <c r="B2235" t="s">
        <v>12</v>
      </c>
      <c r="C2235">
        <v>25.96</v>
      </c>
      <c r="D2235" t="s">
        <v>24</v>
      </c>
      <c r="E2235" t="s">
        <v>22</v>
      </c>
      <c r="F2235" t="s">
        <v>15</v>
      </c>
      <c r="G2235" t="s">
        <v>302</v>
      </c>
      <c r="H2235" t="s">
        <v>17</v>
      </c>
      <c r="I2235" t="s">
        <v>35</v>
      </c>
      <c r="J2235" t="s">
        <v>317</v>
      </c>
      <c r="K2235" s="1">
        <v>0.63878046296296298</v>
      </c>
      <c r="L2235">
        <f>YEAR(Coffe_sales[[#This Row],[Date]])</f>
        <v>2024</v>
      </c>
    </row>
    <row r="2236" spans="1:12" x14ac:dyDescent="0.2">
      <c r="A2236" t="s">
        <v>37</v>
      </c>
      <c r="B2236" t="s">
        <v>12</v>
      </c>
      <c r="C2236">
        <v>30.86</v>
      </c>
      <c r="D2236" t="s">
        <v>26</v>
      </c>
      <c r="E2236" t="s">
        <v>29</v>
      </c>
      <c r="F2236" t="s">
        <v>15</v>
      </c>
      <c r="G2236" t="s">
        <v>302</v>
      </c>
      <c r="H2236" t="s">
        <v>17</v>
      </c>
      <c r="I2236" t="s">
        <v>35</v>
      </c>
      <c r="J2236" t="s">
        <v>317</v>
      </c>
      <c r="K2236" s="1">
        <v>0.73311403935185182</v>
      </c>
      <c r="L2236">
        <f>YEAR(Coffe_sales[[#This Row],[Date]])</f>
        <v>2024</v>
      </c>
    </row>
    <row r="2237" spans="1:12" x14ac:dyDescent="0.2">
      <c r="A2237" t="s">
        <v>37</v>
      </c>
      <c r="B2237" t="s">
        <v>12</v>
      </c>
      <c r="C2237">
        <v>35.76</v>
      </c>
      <c r="D2237" t="s">
        <v>13</v>
      </c>
      <c r="E2237" t="s">
        <v>29</v>
      </c>
      <c r="F2237" t="s">
        <v>15</v>
      </c>
      <c r="G2237" t="s">
        <v>302</v>
      </c>
      <c r="H2237" t="s">
        <v>17</v>
      </c>
      <c r="I2237" t="s">
        <v>35</v>
      </c>
      <c r="J2237" t="s">
        <v>317</v>
      </c>
      <c r="K2237" s="1">
        <v>0.74654498842592587</v>
      </c>
      <c r="L2237">
        <f>YEAR(Coffe_sales[[#This Row],[Date]])</f>
        <v>2024</v>
      </c>
    </row>
    <row r="2238" spans="1:12" x14ac:dyDescent="0.2">
      <c r="A2238" t="s">
        <v>28</v>
      </c>
      <c r="B2238" t="s">
        <v>12</v>
      </c>
      <c r="C2238">
        <v>35.76</v>
      </c>
      <c r="D2238" t="s">
        <v>21</v>
      </c>
      <c r="E2238" t="s">
        <v>29</v>
      </c>
      <c r="F2238" t="s">
        <v>15</v>
      </c>
      <c r="G2238" t="s">
        <v>302</v>
      </c>
      <c r="H2238" t="s">
        <v>17</v>
      </c>
      <c r="I2238" t="s">
        <v>35</v>
      </c>
      <c r="J2238" t="s">
        <v>317</v>
      </c>
      <c r="K2238" s="1">
        <v>0.75885336805555559</v>
      </c>
      <c r="L2238">
        <f>YEAR(Coffe_sales[[#This Row],[Date]])</f>
        <v>2024</v>
      </c>
    </row>
    <row r="2239" spans="1:12" x14ac:dyDescent="0.2">
      <c r="A2239" t="s">
        <v>28</v>
      </c>
      <c r="B2239" t="s">
        <v>12</v>
      </c>
      <c r="C2239">
        <v>30.86</v>
      </c>
      <c r="D2239" t="s">
        <v>26</v>
      </c>
      <c r="E2239" t="s">
        <v>29</v>
      </c>
      <c r="F2239" t="s">
        <v>15</v>
      </c>
      <c r="G2239" t="s">
        <v>302</v>
      </c>
      <c r="H2239" t="s">
        <v>17</v>
      </c>
      <c r="I2239" t="s">
        <v>35</v>
      </c>
      <c r="J2239" t="s">
        <v>317</v>
      </c>
      <c r="K2239" s="1">
        <v>0.77942048611111114</v>
      </c>
      <c r="L2239">
        <f>YEAR(Coffe_sales[[#This Row],[Date]])</f>
        <v>2024</v>
      </c>
    </row>
    <row r="2240" spans="1:12" x14ac:dyDescent="0.2">
      <c r="A2240" t="s">
        <v>28</v>
      </c>
      <c r="B2240" t="s">
        <v>12</v>
      </c>
      <c r="C2240">
        <v>30.86</v>
      </c>
      <c r="D2240" t="s">
        <v>26</v>
      </c>
      <c r="E2240" t="s">
        <v>29</v>
      </c>
      <c r="F2240" t="s">
        <v>15</v>
      </c>
      <c r="G2240" t="s">
        <v>302</v>
      </c>
      <c r="H2240" t="s">
        <v>17</v>
      </c>
      <c r="I2240" t="s">
        <v>35</v>
      </c>
      <c r="J2240" t="s">
        <v>317</v>
      </c>
      <c r="K2240" s="1">
        <v>0.78010601851851857</v>
      </c>
      <c r="L2240">
        <f>YEAR(Coffe_sales[[#This Row],[Date]])</f>
        <v>2024</v>
      </c>
    </row>
    <row r="2241" spans="1:12" x14ac:dyDescent="0.2">
      <c r="A2241" t="s">
        <v>11</v>
      </c>
      <c r="B2241" t="s">
        <v>12</v>
      </c>
      <c r="C2241">
        <v>25.96</v>
      </c>
      <c r="D2241" t="s">
        <v>41</v>
      </c>
      <c r="E2241" t="s">
        <v>14</v>
      </c>
      <c r="F2241" t="s">
        <v>32</v>
      </c>
      <c r="G2241" t="s">
        <v>302</v>
      </c>
      <c r="H2241" t="s">
        <v>33</v>
      </c>
      <c r="I2241" t="s">
        <v>35</v>
      </c>
      <c r="J2241" t="s">
        <v>318</v>
      </c>
      <c r="K2241" s="1">
        <v>0.43165358796296294</v>
      </c>
      <c r="L2241">
        <f>YEAR(Coffe_sales[[#This Row],[Date]])</f>
        <v>2024</v>
      </c>
    </row>
    <row r="2242" spans="1:12" x14ac:dyDescent="0.2">
      <c r="A2242" t="s">
        <v>11</v>
      </c>
      <c r="B2242" t="s">
        <v>12</v>
      </c>
      <c r="C2242">
        <v>25.96</v>
      </c>
      <c r="D2242" t="s">
        <v>41</v>
      </c>
      <c r="E2242" t="s">
        <v>14</v>
      </c>
      <c r="F2242" t="s">
        <v>32</v>
      </c>
      <c r="G2242" t="s">
        <v>302</v>
      </c>
      <c r="H2242" t="s">
        <v>33</v>
      </c>
      <c r="I2242" t="s">
        <v>35</v>
      </c>
      <c r="J2242" t="s">
        <v>318</v>
      </c>
      <c r="K2242" s="1">
        <v>0.44851134259259257</v>
      </c>
      <c r="L2242">
        <f>YEAR(Coffe_sales[[#This Row],[Date]])</f>
        <v>2024</v>
      </c>
    </row>
    <row r="2243" spans="1:12" x14ac:dyDescent="0.2">
      <c r="A2243" t="s">
        <v>35</v>
      </c>
      <c r="B2243" t="s">
        <v>12</v>
      </c>
      <c r="C2243">
        <v>35.76</v>
      </c>
      <c r="D2243" t="s">
        <v>21</v>
      </c>
      <c r="E2243" t="s">
        <v>14</v>
      </c>
      <c r="F2243" t="s">
        <v>32</v>
      </c>
      <c r="G2243" t="s">
        <v>302</v>
      </c>
      <c r="H2243" t="s">
        <v>33</v>
      </c>
      <c r="I2243" t="s">
        <v>35</v>
      </c>
      <c r="J2243" t="s">
        <v>318</v>
      </c>
      <c r="K2243" s="1">
        <v>0.45973085648148149</v>
      </c>
      <c r="L2243">
        <f>YEAR(Coffe_sales[[#This Row],[Date]])</f>
        <v>2024</v>
      </c>
    </row>
    <row r="2244" spans="1:12" x14ac:dyDescent="0.2">
      <c r="A2244" t="s">
        <v>35</v>
      </c>
      <c r="B2244" t="s">
        <v>12</v>
      </c>
      <c r="C2244">
        <v>35.76</v>
      </c>
      <c r="D2244" t="s">
        <v>13</v>
      </c>
      <c r="E2244" t="s">
        <v>14</v>
      </c>
      <c r="F2244" t="s">
        <v>32</v>
      </c>
      <c r="G2244" t="s">
        <v>302</v>
      </c>
      <c r="H2244" t="s">
        <v>33</v>
      </c>
      <c r="I2244" t="s">
        <v>35</v>
      </c>
      <c r="J2244" t="s">
        <v>318</v>
      </c>
      <c r="K2244" s="1">
        <v>0.46049276620370372</v>
      </c>
      <c r="L2244">
        <f>YEAR(Coffe_sales[[#This Row],[Date]])</f>
        <v>2024</v>
      </c>
    </row>
    <row r="2245" spans="1:12" x14ac:dyDescent="0.2">
      <c r="A2245" t="s">
        <v>35</v>
      </c>
      <c r="B2245" t="s">
        <v>12</v>
      </c>
      <c r="C2245">
        <v>25.96</v>
      </c>
      <c r="D2245" t="s">
        <v>24</v>
      </c>
      <c r="E2245" t="s">
        <v>14</v>
      </c>
      <c r="F2245" t="s">
        <v>32</v>
      </c>
      <c r="G2245" t="s">
        <v>302</v>
      </c>
      <c r="H2245" t="s">
        <v>33</v>
      </c>
      <c r="I2245" t="s">
        <v>35</v>
      </c>
      <c r="J2245" t="s">
        <v>318</v>
      </c>
      <c r="K2245" s="1">
        <v>0.48570570601851853</v>
      </c>
      <c r="L2245">
        <f>YEAR(Coffe_sales[[#This Row],[Date]])</f>
        <v>2024</v>
      </c>
    </row>
    <row r="2246" spans="1:12" x14ac:dyDescent="0.2">
      <c r="A2246" t="s">
        <v>20</v>
      </c>
      <c r="B2246" t="s">
        <v>12</v>
      </c>
      <c r="C2246">
        <v>35.76</v>
      </c>
      <c r="D2246" t="s">
        <v>52</v>
      </c>
      <c r="E2246" t="s">
        <v>22</v>
      </c>
      <c r="F2246" t="s">
        <v>32</v>
      </c>
      <c r="G2246" t="s">
        <v>302</v>
      </c>
      <c r="H2246" t="s">
        <v>33</v>
      </c>
      <c r="I2246" t="s">
        <v>35</v>
      </c>
      <c r="J2246" t="s">
        <v>318</v>
      </c>
      <c r="K2246" s="1">
        <v>0.52100675925925921</v>
      </c>
      <c r="L2246">
        <f>YEAR(Coffe_sales[[#This Row],[Date]])</f>
        <v>2024</v>
      </c>
    </row>
    <row r="2247" spans="1:12" x14ac:dyDescent="0.2">
      <c r="A2247" t="s">
        <v>20</v>
      </c>
      <c r="B2247" t="s">
        <v>12</v>
      </c>
      <c r="C2247">
        <v>30.86</v>
      </c>
      <c r="D2247" t="s">
        <v>26</v>
      </c>
      <c r="E2247" t="s">
        <v>22</v>
      </c>
      <c r="F2247" t="s">
        <v>32</v>
      </c>
      <c r="G2247" t="s">
        <v>302</v>
      </c>
      <c r="H2247" t="s">
        <v>33</v>
      </c>
      <c r="I2247" t="s">
        <v>35</v>
      </c>
      <c r="J2247" t="s">
        <v>318</v>
      </c>
      <c r="K2247" s="1">
        <v>0.5221129166666667</v>
      </c>
      <c r="L2247">
        <f>YEAR(Coffe_sales[[#This Row],[Date]])</f>
        <v>2024</v>
      </c>
    </row>
    <row r="2248" spans="1:12" x14ac:dyDescent="0.2">
      <c r="A2248" t="s">
        <v>20</v>
      </c>
      <c r="B2248" t="s">
        <v>12</v>
      </c>
      <c r="C2248">
        <v>35.76</v>
      </c>
      <c r="D2248" t="s">
        <v>13</v>
      </c>
      <c r="E2248" t="s">
        <v>22</v>
      </c>
      <c r="F2248" t="s">
        <v>32</v>
      </c>
      <c r="G2248" t="s">
        <v>302</v>
      </c>
      <c r="H2248" t="s">
        <v>33</v>
      </c>
      <c r="I2248" t="s">
        <v>35</v>
      </c>
      <c r="J2248" t="s">
        <v>318</v>
      </c>
      <c r="K2248" s="1">
        <v>0.53374821759259261</v>
      </c>
      <c r="L2248">
        <f>YEAR(Coffe_sales[[#This Row],[Date]])</f>
        <v>2024</v>
      </c>
    </row>
    <row r="2249" spans="1:12" x14ac:dyDescent="0.2">
      <c r="A2249" t="s">
        <v>20</v>
      </c>
      <c r="B2249" t="s">
        <v>12</v>
      </c>
      <c r="C2249">
        <v>35.76</v>
      </c>
      <c r="D2249" t="s">
        <v>13</v>
      </c>
      <c r="E2249" t="s">
        <v>22</v>
      </c>
      <c r="F2249" t="s">
        <v>32</v>
      </c>
      <c r="G2249" t="s">
        <v>302</v>
      </c>
      <c r="H2249" t="s">
        <v>33</v>
      </c>
      <c r="I2249" t="s">
        <v>35</v>
      </c>
      <c r="J2249" t="s">
        <v>318</v>
      </c>
      <c r="K2249" s="1">
        <v>0.53443434027777781</v>
      </c>
      <c r="L2249">
        <f>YEAR(Coffe_sales[[#This Row],[Date]])</f>
        <v>2024</v>
      </c>
    </row>
    <row r="2250" spans="1:12" x14ac:dyDescent="0.2">
      <c r="A2250" t="s">
        <v>23</v>
      </c>
      <c r="B2250" t="s">
        <v>12</v>
      </c>
      <c r="C2250">
        <v>30.86</v>
      </c>
      <c r="D2250" t="s">
        <v>26</v>
      </c>
      <c r="E2250" t="s">
        <v>22</v>
      </c>
      <c r="F2250" t="s">
        <v>32</v>
      </c>
      <c r="G2250" t="s">
        <v>302</v>
      </c>
      <c r="H2250" t="s">
        <v>33</v>
      </c>
      <c r="I2250" t="s">
        <v>35</v>
      </c>
      <c r="J2250" t="s">
        <v>318</v>
      </c>
      <c r="K2250" s="1">
        <v>0.55341989583333329</v>
      </c>
      <c r="L2250">
        <f>YEAR(Coffe_sales[[#This Row],[Date]])</f>
        <v>2024</v>
      </c>
    </row>
    <row r="2251" spans="1:12" x14ac:dyDescent="0.2">
      <c r="A2251" t="s">
        <v>23</v>
      </c>
      <c r="B2251" t="s">
        <v>12</v>
      </c>
      <c r="C2251">
        <v>35.76</v>
      </c>
      <c r="D2251" t="s">
        <v>13</v>
      </c>
      <c r="E2251" t="s">
        <v>22</v>
      </c>
      <c r="F2251" t="s">
        <v>32</v>
      </c>
      <c r="G2251" t="s">
        <v>302</v>
      </c>
      <c r="H2251" t="s">
        <v>33</v>
      </c>
      <c r="I2251" t="s">
        <v>35</v>
      </c>
      <c r="J2251" t="s">
        <v>318</v>
      </c>
      <c r="K2251" s="1">
        <v>0.55417217592592594</v>
      </c>
      <c r="L2251">
        <f>YEAR(Coffe_sales[[#This Row],[Date]])</f>
        <v>2024</v>
      </c>
    </row>
    <row r="2252" spans="1:12" x14ac:dyDescent="0.2">
      <c r="A2252" t="s">
        <v>23</v>
      </c>
      <c r="B2252" t="s">
        <v>12</v>
      </c>
      <c r="C2252">
        <v>35.76</v>
      </c>
      <c r="D2252" t="s">
        <v>13</v>
      </c>
      <c r="E2252" t="s">
        <v>22</v>
      </c>
      <c r="F2252" t="s">
        <v>32</v>
      </c>
      <c r="G2252" t="s">
        <v>302</v>
      </c>
      <c r="H2252" t="s">
        <v>33</v>
      </c>
      <c r="I2252" t="s">
        <v>35</v>
      </c>
      <c r="J2252" t="s">
        <v>318</v>
      </c>
      <c r="K2252" s="1">
        <v>0.55496560185185184</v>
      </c>
      <c r="L2252">
        <f>YEAR(Coffe_sales[[#This Row],[Date]])</f>
        <v>2024</v>
      </c>
    </row>
    <row r="2253" spans="1:12" x14ac:dyDescent="0.2">
      <c r="A2253" t="s">
        <v>36</v>
      </c>
      <c r="B2253" t="s">
        <v>12</v>
      </c>
      <c r="C2253">
        <v>30.86</v>
      </c>
      <c r="D2253" t="s">
        <v>26</v>
      </c>
      <c r="E2253" t="s">
        <v>22</v>
      </c>
      <c r="F2253" t="s">
        <v>32</v>
      </c>
      <c r="G2253" t="s">
        <v>302</v>
      </c>
      <c r="H2253" t="s">
        <v>33</v>
      </c>
      <c r="I2253" t="s">
        <v>35</v>
      </c>
      <c r="J2253" t="s">
        <v>318</v>
      </c>
      <c r="K2253" s="1">
        <v>0.60124291666666663</v>
      </c>
      <c r="L2253">
        <f>YEAR(Coffe_sales[[#This Row],[Date]])</f>
        <v>2024</v>
      </c>
    </row>
    <row r="2254" spans="1:12" x14ac:dyDescent="0.2">
      <c r="A2254" t="s">
        <v>11</v>
      </c>
      <c r="B2254" t="s">
        <v>12</v>
      </c>
      <c r="C2254">
        <v>30.86</v>
      </c>
      <c r="D2254" t="s">
        <v>26</v>
      </c>
      <c r="E2254" t="s">
        <v>14</v>
      </c>
      <c r="F2254" t="s">
        <v>38</v>
      </c>
      <c r="G2254" t="s">
        <v>302</v>
      </c>
      <c r="H2254" t="s">
        <v>39</v>
      </c>
      <c r="I2254" t="s">
        <v>35</v>
      </c>
      <c r="J2254" t="s">
        <v>319</v>
      </c>
      <c r="K2254" s="1">
        <v>0.43723359953703705</v>
      </c>
      <c r="L2254">
        <f>YEAR(Coffe_sales[[#This Row],[Date]])</f>
        <v>2024</v>
      </c>
    </row>
    <row r="2255" spans="1:12" x14ac:dyDescent="0.2">
      <c r="A2255" t="s">
        <v>23</v>
      </c>
      <c r="B2255" t="s">
        <v>12</v>
      </c>
      <c r="C2255">
        <v>30.86</v>
      </c>
      <c r="D2255" t="s">
        <v>26</v>
      </c>
      <c r="E2255" t="s">
        <v>22</v>
      </c>
      <c r="F2255" t="s">
        <v>38</v>
      </c>
      <c r="G2255" t="s">
        <v>302</v>
      </c>
      <c r="H2255" t="s">
        <v>39</v>
      </c>
      <c r="I2255" t="s">
        <v>35</v>
      </c>
      <c r="J2255" t="s">
        <v>319</v>
      </c>
      <c r="K2255" s="1">
        <v>0.56620017361111108</v>
      </c>
      <c r="L2255">
        <f>YEAR(Coffe_sales[[#This Row],[Date]])</f>
        <v>2024</v>
      </c>
    </row>
    <row r="2256" spans="1:12" x14ac:dyDescent="0.2">
      <c r="A2256" t="s">
        <v>36</v>
      </c>
      <c r="B2256" t="s">
        <v>12</v>
      </c>
      <c r="C2256">
        <v>25.96</v>
      </c>
      <c r="D2256" t="s">
        <v>24</v>
      </c>
      <c r="E2256" t="s">
        <v>22</v>
      </c>
      <c r="F2256" t="s">
        <v>38</v>
      </c>
      <c r="G2256" t="s">
        <v>302</v>
      </c>
      <c r="H2256" t="s">
        <v>39</v>
      </c>
      <c r="I2256" t="s">
        <v>35</v>
      </c>
      <c r="J2256" t="s">
        <v>319</v>
      </c>
      <c r="K2256" s="1">
        <v>0.59631709490740736</v>
      </c>
      <c r="L2256">
        <f>YEAR(Coffe_sales[[#This Row],[Date]])</f>
        <v>2024</v>
      </c>
    </row>
    <row r="2257" spans="1:12" x14ac:dyDescent="0.2">
      <c r="A2257" t="s">
        <v>36</v>
      </c>
      <c r="B2257" t="s">
        <v>12</v>
      </c>
      <c r="C2257">
        <v>30.86</v>
      </c>
      <c r="D2257" t="s">
        <v>26</v>
      </c>
      <c r="E2257" t="s">
        <v>22</v>
      </c>
      <c r="F2257" t="s">
        <v>38</v>
      </c>
      <c r="G2257" t="s">
        <v>302</v>
      </c>
      <c r="H2257" t="s">
        <v>39</v>
      </c>
      <c r="I2257" t="s">
        <v>35</v>
      </c>
      <c r="J2257" t="s">
        <v>319</v>
      </c>
      <c r="K2257" s="1">
        <v>0.60671582175925931</v>
      </c>
      <c r="L2257">
        <f>YEAR(Coffe_sales[[#This Row],[Date]])</f>
        <v>2024</v>
      </c>
    </row>
    <row r="2258" spans="1:12" x14ac:dyDescent="0.2">
      <c r="A2258" t="s">
        <v>27</v>
      </c>
      <c r="B2258" t="s">
        <v>12</v>
      </c>
      <c r="C2258">
        <v>35.76</v>
      </c>
      <c r="D2258" t="s">
        <v>13</v>
      </c>
      <c r="E2258" t="s">
        <v>22</v>
      </c>
      <c r="F2258" t="s">
        <v>38</v>
      </c>
      <c r="G2258" t="s">
        <v>302</v>
      </c>
      <c r="H2258" t="s">
        <v>39</v>
      </c>
      <c r="I2258" t="s">
        <v>35</v>
      </c>
      <c r="J2258" t="s">
        <v>319</v>
      </c>
      <c r="K2258" s="1">
        <v>0.68571972222222222</v>
      </c>
      <c r="L2258">
        <f>YEAR(Coffe_sales[[#This Row],[Date]])</f>
        <v>2024</v>
      </c>
    </row>
    <row r="2259" spans="1:12" x14ac:dyDescent="0.2">
      <c r="A2259" t="s">
        <v>27</v>
      </c>
      <c r="B2259" t="s">
        <v>12</v>
      </c>
      <c r="C2259">
        <v>35.76</v>
      </c>
      <c r="D2259" t="s">
        <v>13</v>
      </c>
      <c r="E2259" t="s">
        <v>22</v>
      </c>
      <c r="F2259" t="s">
        <v>38</v>
      </c>
      <c r="G2259" t="s">
        <v>302</v>
      </c>
      <c r="H2259" t="s">
        <v>39</v>
      </c>
      <c r="I2259" t="s">
        <v>35</v>
      </c>
      <c r="J2259" t="s">
        <v>319</v>
      </c>
      <c r="K2259" s="1">
        <v>0.68652521990740745</v>
      </c>
      <c r="L2259">
        <f>YEAR(Coffe_sales[[#This Row],[Date]])</f>
        <v>2024</v>
      </c>
    </row>
    <row r="2260" spans="1:12" x14ac:dyDescent="0.2">
      <c r="A2260" t="s">
        <v>28</v>
      </c>
      <c r="B2260" t="s">
        <v>12</v>
      </c>
      <c r="C2260">
        <v>35.76</v>
      </c>
      <c r="D2260" t="s">
        <v>21</v>
      </c>
      <c r="E2260" t="s">
        <v>29</v>
      </c>
      <c r="F2260" t="s">
        <v>38</v>
      </c>
      <c r="G2260" t="s">
        <v>302</v>
      </c>
      <c r="H2260" t="s">
        <v>39</v>
      </c>
      <c r="I2260" t="s">
        <v>35</v>
      </c>
      <c r="J2260" t="s">
        <v>319</v>
      </c>
      <c r="K2260" s="1">
        <v>0.75702130787037036</v>
      </c>
      <c r="L2260">
        <f>YEAR(Coffe_sales[[#This Row],[Date]])</f>
        <v>2024</v>
      </c>
    </row>
    <row r="2261" spans="1:12" x14ac:dyDescent="0.2">
      <c r="A2261" t="s">
        <v>30</v>
      </c>
      <c r="B2261" t="s">
        <v>12</v>
      </c>
      <c r="C2261">
        <v>35.76</v>
      </c>
      <c r="D2261" t="s">
        <v>21</v>
      </c>
      <c r="E2261" t="s">
        <v>29</v>
      </c>
      <c r="F2261" t="s">
        <v>38</v>
      </c>
      <c r="G2261" t="s">
        <v>302</v>
      </c>
      <c r="H2261" t="s">
        <v>39</v>
      </c>
      <c r="I2261" t="s">
        <v>35</v>
      </c>
      <c r="J2261" t="s">
        <v>319</v>
      </c>
      <c r="K2261" s="1">
        <v>0.80386908564814819</v>
      </c>
      <c r="L2261">
        <f>YEAR(Coffe_sales[[#This Row],[Date]])</f>
        <v>2024</v>
      </c>
    </row>
    <row r="2262" spans="1:12" x14ac:dyDescent="0.2">
      <c r="A2262" t="s">
        <v>30</v>
      </c>
      <c r="B2262" t="s">
        <v>12</v>
      </c>
      <c r="C2262">
        <v>35.76</v>
      </c>
      <c r="D2262" t="s">
        <v>21</v>
      </c>
      <c r="E2262" t="s">
        <v>29</v>
      </c>
      <c r="F2262" t="s">
        <v>38</v>
      </c>
      <c r="G2262" t="s">
        <v>302</v>
      </c>
      <c r="H2262" t="s">
        <v>39</v>
      </c>
      <c r="I2262" t="s">
        <v>35</v>
      </c>
      <c r="J2262" t="s">
        <v>319</v>
      </c>
      <c r="K2262" s="1">
        <v>0.80448518518518519</v>
      </c>
      <c r="L2262">
        <f>YEAR(Coffe_sales[[#This Row],[Date]])</f>
        <v>2024</v>
      </c>
    </row>
    <row r="2263" spans="1:12" x14ac:dyDescent="0.2">
      <c r="A2263" t="s">
        <v>39</v>
      </c>
      <c r="B2263" t="s">
        <v>12</v>
      </c>
      <c r="C2263">
        <v>30.86</v>
      </c>
      <c r="D2263" t="s">
        <v>26</v>
      </c>
      <c r="E2263" t="s">
        <v>14</v>
      </c>
      <c r="F2263" t="s">
        <v>42</v>
      </c>
      <c r="G2263" t="s">
        <v>302</v>
      </c>
      <c r="H2263" t="s">
        <v>43</v>
      </c>
      <c r="I2263" t="s">
        <v>35</v>
      </c>
      <c r="J2263" t="s">
        <v>320</v>
      </c>
      <c r="K2263" s="1">
        <v>0.32800484953703701</v>
      </c>
      <c r="L2263">
        <f>YEAR(Coffe_sales[[#This Row],[Date]])</f>
        <v>2024</v>
      </c>
    </row>
    <row r="2264" spans="1:12" x14ac:dyDescent="0.2">
      <c r="A2264" t="s">
        <v>39</v>
      </c>
      <c r="B2264" t="s">
        <v>12</v>
      </c>
      <c r="C2264">
        <v>30.86</v>
      </c>
      <c r="D2264" t="s">
        <v>26</v>
      </c>
      <c r="E2264" t="s">
        <v>14</v>
      </c>
      <c r="F2264" t="s">
        <v>42</v>
      </c>
      <c r="G2264" t="s">
        <v>302</v>
      </c>
      <c r="H2264" t="s">
        <v>43</v>
      </c>
      <c r="I2264" t="s">
        <v>35</v>
      </c>
      <c r="J2264" t="s">
        <v>320</v>
      </c>
      <c r="K2264" s="1">
        <v>0.32866146990740741</v>
      </c>
      <c r="L2264">
        <f>YEAR(Coffe_sales[[#This Row],[Date]])</f>
        <v>2024</v>
      </c>
    </row>
    <row r="2265" spans="1:12" x14ac:dyDescent="0.2">
      <c r="A2265" t="s">
        <v>39</v>
      </c>
      <c r="B2265" t="s">
        <v>12</v>
      </c>
      <c r="C2265">
        <v>35.76</v>
      </c>
      <c r="D2265" t="s">
        <v>13</v>
      </c>
      <c r="E2265" t="s">
        <v>14</v>
      </c>
      <c r="F2265" t="s">
        <v>42</v>
      </c>
      <c r="G2265" t="s">
        <v>302</v>
      </c>
      <c r="H2265" t="s">
        <v>43</v>
      </c>
      <c r="I2265" t="s">
        <v>35</v>
      </c>
      <c r="J2265" t="s">
        <v>320</v>
      </c>
      <c r="K2265" s="1">
        <v>0.33150692129629628</v>
      </c>
      <c r="L2265">
        <f>YEAR(Coffe_sales[[#This Row],[Date]])</f>
        <v>2024</v>
      </c>
    </row>
    <row r="2266" spans="1:12" x14ac:dyDescent="0.2">
      <c r="A2266" t="s">
        <v>27</v>
      </c>
      <c r="B2266" t="s">
        <v>12</v>
      </c>
      <c r="C2266">
        <v>35.76</v>
      </c>
      <c r="D2266" t="s">
        <v>13</v>
      </c>
      <c r="E2266" t="s">
        <v>22</v>
      </c>
      <c r="F2266" t="s">
        <v>42</v>
      </c>
      <c r="G2266" t="s">
        <v>302</v>
      </c>
      <c r="H2266" t="s">
        <v>43</v>
      </c>
      <c r="I2266" t="s">
        <v>35</v>
      </c>
      <c r="J2266" t="s">
        <v>320</v>
      </c>
      <c r="K2266" s="1">
        <v>0.69779020833333338</v>
      </c>
      <c r="L2266">
        <f>YEAR(Coffe_sales[[#This Row],[Date]])</f>
        <v>2024</v>
      </c>
    </row>
    <row r="2267" spans="1:12" x14ac:dyDescent="0.2">
      <c r="A2267" t="s">
        <v>27</v>
      </c>
      <c r="B2267" t="s">
        <v>12</v>
      </c>
      <c r="C2267">
        <v>35.76</v>
      </c>
      <c r="D2267" t="s">
        <v>13</v>
      </c>
      <c r="E2267" t="s">
        <v>22</v>
      </c>
      <c r="F2267" t="s">
        <v>42</v>
      </c>
      <c r="G2267" t="s">
        <v>302</v>
      </c>
      <c r="H2267" t="s">
        <v>43</v>
      </c>
      <c r="I2267" t="s">
        <v>35</v>
      </c>
      <c r="J2267" t="s">
        <v>320</v>
      </c>
      <c r="K2267" s="1">
        <v>0.69922331018518513</v>
      </c>
      <c r="L2267">
        <f>YEAR(Coffe_sales[[#This Row],[Date]])</f>
        <v>2024</v>
      </c>
    </row>
    <row r="2268" spans="1:12" x14ac:dyDescent="0.2">
      <c r="A2268" t="s">
        <v>28</v>
      </c>
      <c r="B2268" t="s">
        <v>12</v>
      </c>
      <c r="C2268">
        <v>35.76</v>
      </c>
      <c r="D2268" t="s">
        <v>13</v>
      </c>
      <c r="E2268" t="s">
        <v>29</v>
      </c>
      <c r="F2268" t="s">
        <v>42</v>
      </c>
      <c r="G2268" t="s">
        <v>302</v>
      </c>
      <c r="H2268" t="s">
        <v>43</v>
      </c>
      <c r="I2268" t="s">
        <v>35</v>
      </c>
      <c r="J2268" t="s">
        <v>320</v>
      </c>
      <c r="K2268" s="1">
        <v>0.78534880787037042</v>
      </c>
      <c r="L2268">
        <f>YEAR(Coffe_sales[[#This Row],[Date]])</f>
        <v>2024</v>
      </c>
    </row>
    <row r="2269" spans="1:12" x14ac:dyDescent="0.2">
      <c r="A2269" t="s">
        <v>39</v>
      </c>
      <c r="B2269" t="s">
        <v>12</v>
      </c>
      <c r="C2269">
        <v>35.76</v>
      </c>
      <c r="D2269" t="s">
        <v>31</v>
      </c>
      <c r="E2269" t="s">
        <v>14</v>
      </c>
      <c r="F2269" t="s">
        <v>47</v>
      </c>
      <c r="G2269" t="s">
        <v>302</v>
      </c>
      <c r="H2269" t="s">
        <v>48</v>
      </c>
      <c r="I2269" t="s">
        <v>35</v>
      </c>
      <c r="J2269" t="s">
        <v>321</v>
      </c>
      <c r="K2269" s="1">
        <v>0.32570171296296296</v>
      </c>
      <c r="L2269">
        <f>YEAR(Coffe_sales[[#This Row],[Date]])</f>
        <v>2024</v>
      </c>
    </row>
    <row r="2270" spans="1:12" x14ac:dyDescent="0.2">
      <c r="A2270" t="s">
        <v>39</v>
      </c>
      <c r="B2270" t="s">
        <v>12</v>
      </c>
      <c r="C2270">
        <v>30.86</v>
      </c>
      <c r="D2270" t="s">
        <v>26</v>
      </c>
      <c r="E2270" t="s">
        <v>14</v>
      </c>
      <c r="F2270" t="s">
        <v>47</v>
      </c>
      <c r="G2270" t="s">
        <v>302</v>
      </c>
      <c r="H2270" t="s">
        <v>48</v>
      </c>
      <c r="I2270" t="s">
        <v>35</v>
      </c>
      <c r="J2270" t="s">
        <v>321</v>
      </c>
      <c r="K2270" s="1">
        <v>0.32724164351851853</v>
      </c>
      <c r="L2270">
        <f>YEAR(Coffe_sales[[#This Row],[Date]])</f>
        <v>2024</v>
      </c>
    </row>
    <row r="2271" spans="1:12" x14ac:dyDescent="0.2">
      <c r="A2271" t="s">
        <v>39</v>
      </c>
      <c r="B2271" t="s">
        <v>12</v>
      </c>
      <c r="C2271">
        <v>35.76</v>
      </c>
      <c r="D2271" t="s">
        <v>13</v>
      </c>
      <c r="E2271" t="s">
        <v>14</v>
      </c>
      <c r="F2271" t="s">
        <v>47</v>
      </c>
      <c r="G2271" t="s">
        <v>302</v>
      </c>
      <c r="H2271" t="s">
        <v>48</v>
      </c>
      <c r="I2271" t="s">
        <v>35</v>
      </c>
      <c r="J2271" t="s">
        <v>321</v>
      </c>
      <c r="K2271" s="1">
        <v>0.3279330324074074</v>
      </c>
      <c r="L2271">
        <f>YEAR(Coffe_sales[[#This Row],[Date]])</f>
        <v>2024</v>
      </c>
    </row>
    <row r="2272" spans="1:12" x14ac:dyDescent="0.2">
      <c r="A2272" t="s">
        <v>39</v>
      </c>
      <c r="B2272" t="s">
        <v>12</v>
      </c>
      <c r="C2272">
        <v>21.06</v>
      </c>
      <c r="D2272" t="s">
        <v>45</v>
      </c>
      <c r="E2272" t="s">
        <v>14</v>
      </c>
      <c r="F2272" t="s">
        <v>47</v>
      </c>
      <c r="G2272" t="s">
        <v>302</v>
      </c>
      <c r="H2272" t="s">
        <v>48</v>
      </c>
      <c r="I2272" t="s">
        <v>35</v>
      </c>
      <c r="J2272" t="s">
        <v>321</v>
      </c>
      <c r="K2272" s="1">
        <v>0.32891658564814813</v>
      </c>
      <c r="L2272">
        <f>YEAR(Coffe_sales[[#This Row],[Date]])</f>
        <v>2024</v>
      </c>
    </row>
    <row r="2273" spans="1:12" x14ac:dyDescent="0.2">
      <c r="A2273" t="s">
        <v>39</v>
      </c>
      <c r="B2273" t="s">
        <v>12</v>
      </c>
      <c r="C2273">
        <v>35.76</v>
      </c>
      <c r="D2273" t="s">
        <v>13</v>
      </c>
      <c r="E2273" t="s">
        <v>14</v>
      </c>
      <c r="F2273" t="s">
        <v>47</v>
      </c>
      <c r="G2273" t="s">
        <v>302</v>
      </c>
      <c r="H2273" t="s">
        <v>48</v>
      </c>
      <c r="I2273" t="s">
        <v>35</v>
      </c>
      <c r="J2273" t="s">
        <v>321</v>
      </c>
      <c r="K2273" s="1">
        <v>0.32970940972222224</v>
      </c>
      <c r="L2273">
        <f>YEAR(Coffe_sales[[#This Row],[Date]])</f>
        <v>2024</v>
      </c>
    </row>
    <row r="2274" spans="1:12" x14ac:dyDescent="0.2">
      <c r="A2274" t="s">
        <v>11</v>
      </c>
      <c r="B2274" t="s">
        <v>12</v>
      </c>
      <c r="C2274">
        <v>30.86</v>
      </c>
      <c r="D2274" t="s">
        <v>26</v>
      </c>
      <c r="E2274" t="s">
        <v>14</v>
      </c>
      <c r="F2274" t="s">
        <v>47</v>
      </c>
      <c r="G2274" t="s">
        <v>302</v>
      </c>
      <c r="H2274" t="s">
        <v>48</v>
      </c>
      <c r="I2274" t="s">
        <v>35</v>
      </c>
      <c r="J2274" t="s">
        <v>321</v>
      </c>
      <c r="K2274" s="1">
        <v>0.4370760300925926</v>
      </c>
      <c r="L2274">
        <f>YEAR(Coffe_sales[[#This Row],[Date]])</f>
        <v>2024</v>
      </c>
    </row>
    <row r="2275" spans="1:12" x14ac:dyDescent="0.2">
      <c r="A2275" t="s">
        <v>35</v>
      </c>
      <c r="B2275" t="s">
        <v>12</v>
      </c>
      <c r="C2275">
        <v>35.76</v>
      </c>
      <c r="D2275" t="s">
        <v>13</v>
      </c>
      <c r="E2275" t="s">
        <v>14</v>
      </c>
      <c r="F2275" t="s">
        <v>47</v>
      </c>
      <c r="G2275" t="s">
        <v>302</v>
      </c>
      <c r="H2275" t="s">
        <v>48</v>
      </c>
      <c r="I2275" t="s">
        <v>35</v>
      </c>
      <c r="J2275" t="s">
        <v>321</v>
      </c>
      <c r="K2275" s="1">
        <v>0.46329880787037037</v>
      </c>
      <c r="L2275">
        <f>YEAR(Coffe_sales[[#This Row],[Date]])</f>
        <v>2024</v>
      </c>
    </row>
    <row r="2276" spans="1:12" x14ac:dyDescent="0.2">
      <c r="A2276" t="s">
        <v>27</v>
      </c>
      <c r="B2276" t="s">
        <v>12</v>
      </c>
      <c r="C2276">
        <v>35.76</v>
      </c>
      <c r="D2276" t="s">
        <v>31</v>
      </c>
      <c r="E2276" t="s">
        <v>22</v>
      </c>
      <c r="F2276" t="s">
        <v>47</v>
      </c>
      <c r="G2276" t="s">
        <v>302</v>
      </c>
      <c r="H2276" t="s">
        <v>48</v>
      </c>
      <c r="I2276" t="s">
        <v>35</v>
      </c>
      <c r="J2276" t="s">
        <v>321</v>
      </c>
      <c r="K2276" s="1">
        <v>0.68241297453703709</v>
      </c>
      <c r="L2276">
        <f>YEAR(Coffe_sales[[#This Row],[Date]])</f>
        <v>2024</v>
      </c>
    </row>
    <row r="2277" spans="1:12" x14ac:dyDescent="0.2">
      <c r="A2277" t="s">
        <v>27</v>
      </c>
      <c r="B2277" t="s">
        <v>12</v>
      </c>
      <c r="C2277">
        <v>35.76</v>
      </c>
      <c r="D2277" t="s">
        <v>31</v>
      </c>
      <c r="E2277" t="s">
        <v>22</v>
      </c>
      <c r="F2277" t="s">
        <v>47</v>
      </c>
      <c r="G2277" t="s">
        <v>302</v>
      </c>
      <c r="H2277" t="s">
        <v>48</v>
      </c>
      <c r="I2277" t="s">
        <v>35</v>
      </c>
      <c r="J2277" t="s">
        <v>321</v>
      </c>
      <c r="K2277" s="1">
        <v>0.68332682870370376</v>
      </c>
      <c r="L2277">
        <f>YEAR(Coffe_sales[[#This Row],[Date]])</f>
        <v>2024</v>
      </c>
    </row>
    <row r="2278" spans="1:12" x14ac:dyDescent="0.2">
      <c r="A2278" t="s">
        <v>27</v>
      </c>
      <c r="B2278" t="s">
        <v>12</v>
      </c>
      <c r="C2278">
        <v>35.76</v>
      </c>
      <c r="D2278" t="s">
        <v>52</v>
      </c>
      <c r="E2278" t="s">
        <v>22</v>
      </c>
      <c r="F2278" t="s">
        <v>47</v>
      </c>
      <c r="G2278" t="s">
        <v>302</v>
      </c>
      <c r="H2278" t="s">
        <v>48</v>
      </c>
      <c r="I2278" t="s">
        <v>35</v>
      </c>
      <c r="J2278" t="s">
        <v>321</v>
      </c>
      <c r="K2278" s="1">
        <v>0.69518137731481477</v>
      </c>
      <c r="L2278">
        <f>YEAR(Coffe_sales[[#This Row],[Date]])</f>
        <v>2024</v>
      </c>
    </row>
    <row r="2279" spans="1:12" x14ac:dyDescent="0.2">
      <c r="A2279" t="s">
        <v>27</v>
      </c>
      <c r="B2279" t="s">
        <v>12</v>
      </c>
      <c r="C2279">
        <v>35.76</v>
      </c>
      <c r="D2279" t="s">
        <v>52</v>
      </c>
      <c r="E2279" t="s">
        <v>22</v>
      </c>
      <c r="F2279" t="s">
        <v>47</v>
      </c>
      <c r="G2279" t="s">
        <v>302</v>
      </c>
      <c r="H2279" t="s">
        <v>48</v>
      </c>
      <c r="I2279" t="s">
        <v>35</v>
      </c>
      <c r="J2279" t="s">
        <v>321</v>
      </c>
      <c r="K2279" s="1">
        <v>0.69978280092592593</v>
      </c>
      <c r="L2279">
        <f>YEAR(Coffe_sales[[#This Row],[Date]])</f>
        <v>2024</v>
      </c>
    </row>
    <row r="2280" spans="1:12" x14ac:dyDescent="0.2">
      <c r="A2280" t="s">
        <v>23</v>
      </c>
      <c r="B2280" t="s">
        <v>12</v>
      </c>
      <c r="C2280">
        <v>30.86</v>
      </c>
      <c r="D2280" t="s">
        <v>26</v>
      </c>
      <c r="E2280" t="s">
        <v>22</v>
      </c>
      <c r="F2280" t="s">
        <v>50</v>
      </c>
      <c r="G2280" t="s">
        <v>302</v>
      </c>
      <c r="H2280" t="s">
        <v>18</v>
      </c>
      <c r="I2280" t="s">
        <v>35</v>
      </c>
      <c r="J2280" t="s">
        <v>322</v>
      </c>
      <c r="K2280" s="1">
        <v>0.56225390046296297</v>
      </c>
      <c r="L2280">
        <f>YEAR(Coffe_sales[[#This Row],[Date]])</f>
        <v>2024</v>
      </c>
    </row>
    <row r="2281" spans="1:12" x14ac:dyDescent="0.2">
      <c r="A2281" t="s">
        <v>27</v>
      </c>
      <c r="B2281" t="s">
        <v>12</v>
      </c>
      <c r="C2281">
        <v>35.76</v>
      </c>
      <c r="D2281" t="s">
        <v>13</v>
      </c>
      <c r="E2281" t="s">
        <v>22</v>
      </c>
      <c r="F2281" t="s">
        <v>50</v>
      </c>
      <c r="G2281" t="s">
        <v>302</v>
      </c>
      <c r="H2281" t="s">
        <v>18</v>
      </c>
      <c r="I2281" t="s">
        <v>35</v>
      </c>
      <c r="J2281" t="s">
        <v>322</v>
      </c>
      <c r="K2281" s="1">
        <v>0.69085818287037037</v>
      </c>
      <c r="L2281">
        <f>YEAR(Coffe_sales[[#This Row],[Date]])</f>
        <v>2024</v>
      </c>
    </row>
    <row r="2282" spans="1:12" x14ac:dyDescent="0.2">
      <c r="A2282" t="s">
        <v>37</v>
      </c>
      <c r="B2282" t="s">
        <v>12</v>
      </c>
      <c r="C2282">
        <v>35.76</v>
      </c>
      <c r="D2282" t="s">
        <v>52</v>
      </c>
      <c r="E2282" t="s">
        <v>29</v>
      </c>
      <c r="F2282" t="s">
        <v>50</v>
      </c>
      <c r="G2282" t="s">
        <v>302</v>
      </c>
      <c r="H2282" t="s">
        <v>18</v>
      </c>
      <c r="I2282" t="s">
        <v>35</v>
      </c>
      <c r="J2282" t="s">
        <v>322</v>
      </c>
      <c r="K2282" s="1">
        <v>0.74295973379629632</v>
      </c>
      <c r="L2282">
        <f>YEAR(Coffe_sales[[#This Row],[Date]])</f>
        <v>2024</v>
      </c>
    </row>
    <row r="2283" spans="1:12" x14ac:dyDescent="0.2">
      <c r="A2283" t="s">
        <v>37</v>
      </c>
      <c r="B2283" t="s">
        <v>12</v>
      </c>
      <c r="C2283">
        <v>35.76</v>
      </c>
      <c r="D2283" t="s">
        <v>21</v>
      </c>
      <c r="E2283" t="s">
        <v>29</v>
      </c>
      <c r="F2283" t="s">
        <v>50</v>
      </c>
      <c r="G2283" t="s">
        <v>302</v>
      </c>
      <c r="H2283" t="s">
        <v>18</v>
      </c>
      <c r="I2283" t="s">
        <v>35</v>
      </c>
      <c r="J2283" t="s">
        <v>322</v>
      </c>
      <c r="K2283" s="1">
        <v>0.7436314814814815</v>
      </c>
      <c r="L2283">
        <f>YEAR(Coffe_sales[[#This Row],[Date]])</f>
        <v>2024</v>
      </c>
    </row>
    <row r="2284" spans="1:12" x14ac:dyDescent="0.2">
      <c r="A2284" t="s">
        <v>35</v>
      </c>
      <c r="B2284" t="s">
        <v>12</v>
      </c>
      <c r="C2284">
        <v>25.96</v>
      </c>
      <c r="D2284" t="s">
        <v>41</v>
      </c>
      <c r="E2284" t="s">
        <v>14</v>
      </c>
      <c r="F2284" t="s">
        <v>53</v>
      </c>
      <c r="G2284" t="s">
        <v>302</v>
      </c>
      <c r="H2284" t="s">
        <v>54</v>
      </c>
      <c r="I2284" t="s">
        <v>35</v>
      </c>
      <c r="J2284" t="s">
        <v>323</v>
      </c>
      <c r="K2284" s="1">
        <v>0.46262763888888891</v>
      </c>
      <c r="L2284">
        <f>YEAR(Coffe_sales[[#This Row],[Date]])</f>
        <v>2024</v>
      </c>
    </row>
    <row r="2285" spans="1:12" x14ac:dyDescent="0.2">
      <c r="A2285" t="s">
        <v>20</v>
      </c>
      <c r="B2285" t="s">
        <v>12</v>
      </c>
      <c r="C2285">
        <v>35.76</v>
      </c>
      <c r="D2285" t="s">
        <v>13</v>
      </c>
      <c r="E2285" t="s">
        <v>22</v>
      </c>
      <c r="F2285" t="s">
        <v>53</v>
      </c>
      <c r="G2285" t="s">
        <v>302</v>
      </c>
      <c r="H2285" t="s">
        <v>54</v>
      </c>
      <c r="I2285" t="s">
        <v>35</v>
      </c>
      <c r="J2285" t="s">
        <v>323</v>
      </c>
      <c r="K2285" s="1">
        <v>0.52333428240740743</v>
      </c>
      <c r="L2285">
        <f>YEAR(Coffe_sales[[#This Row],[Date]])</f>
        <v>2024</v>
      </c>
    </row>
    <row r="2286" spans="1:12" x14ac:dyDescent="0.2">
      <c r="A2286" t="s">
        <v>20</v>
      </c>
      <c r="B2286" t="s">
        <v>12</v>
      </c>
      <c r="C2286">
        <v>35.76</v>
      </c>
      <c r="D2286" t="s">
        <v>31</v>
      </c>
      <c r="E2286" t="s">
        <v>22</v>
      </c>
      <c r="F2286" t="s">
        <v>53</v>
      </c>
      <c r="G2286" t="s">
        <v>302</v>
      </c>
      <c r="H2286" t="s">
        <v>54</v>
      </c>
      <c r="I2286" t="s">
        <v>35</v>
      </c>
      <c r="J2286" t="s">
        <v>323</v>
      </c>
      <c r="K2286" s="1">
        <v>0.54149701388888893</v>
      </c>
      <c r="L2286">
        <f>YEAR(Coffe_sales[[#This Row],[Date]])</f>
        <v>2024</v>
      </c>
    </row>
    <row r="2287" spans="1:12" x14ac:dyDescent="0.2">
      <c r="A2287" t="s">
        <v>23</v>
      </c>
      <c r="B2287" t="s">
        <v>12</v>
      </c>
      <c r="C2287">
        <v>35.76</v>
      </c>
      <c r="D2287" t="s">
        <v>31</v>
      </c>
      <c r="E2287" t="s">
        <v>22</v>
      </c>
      <c r="F2287" t="s">
        <v>53</v>
      </c>
      <c r="G2287" t="s">
        <v>302</v>
      </c>
      <c r="H2287" t="s">
        <v>54</v>
      </c>
      <c r="I2287" t="s">
        <v>35</v>
      </c>
      <c r="J2287" t="s">
        <v>323</v>
      </c>
      <c r="K2287" s="1">
        <v>0.54221516203703701</v>
      </c>
      <c r="L2287">
        <f>YEAR(Coffe_sales[[#This Row],[Date]])</f>
        <v>2024</v>
      </c>
    </row>
    <row r="2288" spans="1:12" x14ac:dyDescent="0.2">
      <c r="A2288" t="s">
        <v>27</v>
      </c>
      <c r="B2288" t="s">
        <v>12</v>
      </c>
      <c r="C2288">
        <v>35.76</v>
      </c>
      <c r="D2288" t="s">
        <v>13</v>
      </c>
      <c r="E2288" t="s">
        <v>22</v>
      </c>
      <c r="F2288" t="s">
        <v>53</v>
      </c>
      <c r="G2288" t="s">
        <v>302</v>
      </c>
      <c r="H2288" t="s">
        <v>54</v>
      </c>
      <c r="I2288" t="s">
        <v>35</v>
      </c>
      <c r="J2288" t="s">
        <v>323</v>
      </c>
      <c r="K2288" s="1">
        <v>0.67654591435185185</v>
      </c>
      <c r="L2288">
        <f>YEAR(Coffe_sales[[#This Row],[Date]])</f>
        <v>2024</v>
      </c>
    </row>
    <row r="2289" spans="1:12" x14ac:dyDescent="0.2">
      <c r="A2289" t="s">
        <v>37</v>
      </c>
      <c r="B2289" t="s">
        <v>12</v>
      </c>
      <c r="C2289">
        <v>30.86</v>
      </c>
      <c r="D2289" t="s">
        <v>26</v>
      </c>
      <c r="E2289" t="s">
        <v>29</v>
      </c>
      <c r="F2289" t="s">
        <v>53</v>
      </c>
      <c r="G2289" t="s">
        <v>302</v>
      </c>
      <c r="H2289" t="s">
        <v>54</v>
      </c>
      <c r="I2289" t="s">
        <v>35</v>
      </c>
      <c r="J2289" t="s">
        <v>323</v>
      </c>
      <c r="K2289" s="1">
        <v>0.73295545138888885</v>
      </c>
      <c r="L2289">
        <f>YEAR(Coffe_sales[[#This Row],[Date]])</f>
        <v>2024</v>
      </c>
    </row>
    <row r="2290" spans="1:12" x14ac:dyDescent="0.2">
      <c r="A2290" t="s">
        <v>37</v>
      </c>
      <c r="B2290" t="s">
        <v>12</v>
      </c>
      <c r="C2290">
        <v>25.96</v>
      </c>
      <c r="D2290" t="s">
        <v>41</v>
      </c>
      <c r="E2290" t="s">
        <v>29</v>
      </c>
      <c r="F2290" t="s">
        <v>53</v>
      </c>
      <c r="G2290" t="s">
        <v>302</v>
      </c>
      <c r="H2290" t="s">
        <v>54</v>
      </c>
      <c r="I2290" t="s">
        <v>35</v>
      </c>
      <c r="J2290" t="s">
        <v>323</v>
      </c>
      <c r="K2290" s="1">
        <v>0.73568254629629626</v>
      </c>
      <c r="L2290">
        <f>YEAR(Coffe_sales[[#This Row],[Date]])</f>
        <v>2024</v>
      </c>
    </row>
    <row r="2291" spans="1:12" x14ac:dyDescent="0.2">
      <c r="A2291" t="s">
        <v>30</v>
      </c>
      <c r="B2291" t="s">
        <v>12</v>
      </c>
      <c r="C2291">
        <v>35.76</v>
      </c>
      <c r="D2291" t="s">
        <v>21</v>
      </c>
      <c r="E2291" t="s">
        <v>29</v>
      </c>
      <c r="F2291" t="s">
        <v>53</v>
      </c>
      <c r="G2291" t="s">
        <v>302</v>
      </c>
      <c r="H2291" t="s">
        <v>54</v>
      </c>
      <c r="I2291" t="s">
        <v>35</v>
      </c>
      <c r="J2291" t="s">
        <v>323</v>
      </c>
      <c r="K2291" s="1">
        <v>0.79239521990740736</v>
      </c>
      <c r="L2291">
        <f>YEAR(Coffe_sales[[#This Row],[Date]])</f>
        <v>2024</v>
      </c>
    </row>
    <row r="2292" spans="1:12" x14ac:dyDescent="0.2">
      <c r="A2292" t="s">
        <v>39</v>
      </c>
      <c r="B2292" t="s">
        <v>12</v>
      </c>
      <c r="C2292">
        <v>35.76</v>
      </c>
      <c r="D2292" t="s">
        <v>13</v>
      </c>
      <c r="E2292" t="s">
        <v>14</v>
      </c>
      <c r="F2292" t="s">
        <v>15</v>
      </c>
      <c r="G2292" t="s">
        <v>302</v>
      </c>
      <c r="H2292" t="s">
        <v>17</v>
      </c>
      <c r="I2292" t="s">
        <v>35</v>
      </c>
      <c r="J2292" t="s">
        <v>324</v>
      </c>
      <c r="K2292" s="1">
        <v>0.32680928240740742</v>
      </c>
      <c r="L2292">
        <f>YEAR(Coffe_sales[[#This Row],[Date]])</f>
        <v>2024</v>
      </c>
    </row>
    <row r="2293" spans="1:12" x14ac:dyDescent="0.2">
      <c r="A2293" t="s">
        <v>11</v>
      </c>
      <c r="B2293" t="s">
        <v>12</v>
      </c>
      <c r="C2293">
        <v>35.76</v>
      </c>
      <c r="D2293" t="s">
        <v>52</v>
      </c>
      <c r="E2293" t="s">
        <v>14</v>
      </c>
      <c r="F2293" t="s">
        <v>15</v>
      </c>
      <c r="G2293" t="s">
        <v>302</v>
      </c>
      <c r="H2293" t="s">
        <v>17</v>
      </c>
      <c r="I2293" t="s">
        <v>35</v>
      </c>
      <c r="J2293" t="s">
        <v>324</v>
      </c>
      <c r="K2293" s="1">
        <v>0.41924194444444446</v>
      </c>
      <c r="L2293">
        <f>YEAR(Coffe_sales[[#This Row],[Date]])</f>
        <v>2024</v>
      </c>
    </row>
    <row r="2294" spans="1:12" x14ac:dyDescent="0.2">
      <c r="A2294" t="s">
        <v>35</v>
      </c>
      <c r="B2294" t="s">
        <v>12</v>
      </c>
      <c r="C2294">
        <v>35.76</v>
      </c>
      <c r="D2294" t="s">
        <v>13</v>
      </c>
      <c r="E2294" t="s">
        <v>14</v>
      </c>
      <c r="F2294" t="s">
        <v>15</v>
      </c>
      <c r="G2294" t="s">
        <v>302</v>
      </c>
      <c r="H2294" t="s">
        <v>17</v>
      </c>
      <c r="I2294" t="s">
        <v>35</v>
      </c>
      <c r="J2294" t="s">
        <v>324</v>
      </c>
      <c r="K2294" s="1">
        <v>0.4600972337962963</v>
      </c>
      <c r="L2294">
        <f>YEAR(Coffe_sales[[#This Row],[Date]])</f>
        <v>2024</v>
      </c>
    </row>
    <row r="2295" spans="1:12" x14ac:dyDescent="0.2">
      <c r="A2295" t="s">
        <v>35</v>
      </c>
      <c r="B2295" t="s">
        <v>12</v>
      </c>
      <c r="C2295">
        <v>35.76</v>
      </c>
      <c r="D2295" t="s">
        <v>31</v>
      </c>
      <c r="E2295" t="s">
        <v>14</v>
      </c>
      <c r="F2295" t="s">
        <v>15</v>
      </c>
      <c r="G2295" t="s">
        <v>302</v>
      </c>
      <c r="H2295" t="s">
        <v>17</v>
      </c>
      <c r="I2295" t="s">
        <v>35</v>
      </c>
      <c r="J2295" t="s">
        <v>324</v>
      </c>
      <c r="K2295" s="1">
        <v>0.47530591435185188</v>
      </c>
      <c r="L2295">
        <f>YEAR(Coffe_sales[[#This Row],[Date]])</f>
        <v>2024</v>
      </c>
    </row>
    <row r="2296" spans="1:12" x14ac:dyDescent="0.2">
      <c r="A2296" t="s">
        <v>27</v>
      </c>
      <c r="B2296" t="s">
        <v>12</v>
      </c>
      <c r="C2296">
        <v>35.76</v>
      </c>
      <c r="D2296" t="s">
        <v>21</v>
      </c>
      <c r="E2296" t="s">
        <v>22</v>
      </c>
      <c r="F2296" t="s">
        <v>15</v>
      </c>
      <c r="G2296" t="s">
        <v>302</v>
      </c>
      <c r="H2296" t="s">
        <v>17</v>
      </c>
      <c r="I2296" t="s">
        <v>35</v>
      </c>
      <c r="J2296" t="s">
        <v>324</v>
      </c>
      <c r="K2296" s="1">
        <v>0.68964495370370371</v>
      </c>
      <c r="L2296">
        <f>YEAR(Coffe_sales[[#This Row],[Date]])</f>
        <v>2024</v>
      </c>
    </row>
    <row r="2297" spans="1:12" x14ac:dyDescent="0.2">
      <c r="A2297" t="s">
        <v>27</v>
      </c>
      <c r="B2297" t="s">
        <v>12</v>
      </c>
      <c r="C2297">
        <v>35.76</v>
      </c>
      <c r="D2297" t="s">
        <v>13</v>
      </c>
      <c r="E2297" t="s">
        <v>22</v>
      </c>
      <c r="F2297" t="s">
        <v>15</v>
      </c>
      <c r="G2297" t="s">
        <v>302</v>
      </c>
      <c r="H2297" t="s">
        <v>17</v>
      </c>
      <c r="I2297" t="s">
        <v>35</v>
      </c>
      <c r="J2297" t="s">
        <v>324</v>
      </c>
      <c r="K2297" s="1">
        <v>0.69016085648148151</v>
      </c>
      <c r="L2297">
        <f>YEAR(Coffe_sales[[#This Row],[Date]])</f>
        <v>2024</v>
      </c>
    </row>
    <row r="2298" spans="1:12" x14ac:dyDescent="0.2">
      <c r="A2298" t="s">
        <v>46</v>
      </c>
      <c r="B2298" t="s">
        <v>12</v>
      </c>
      <c r="C2298">
        <v>25.96</v>
      </c>
      <c r="D2298" t="s">
        <v>41</v>
      </c>
      <c r="E2298" t="s">
        <v>14</v>
      </c>
      <c r="F2298" t="s">
        <v>32</v>
      </c>
      <c r="G2298" t="s">
        <v>302</v>
      </c>
      <c r="H2298" t="s">
        <v>33</v>
      </c>
      <c r="I2298" t="s">
        <v>35</v>
      </c>
      <c r="J2298" t="s">
        <v>325</v>
      </c>
      <c r="K2298" s="1">
        <v>0.38247991898148148</v>
      </c>
      <c r="L2298">
        <f>YEAR(Coffe_sales[[#This Row],[Date]])</f>
        <v>2024</v>
      </c>
    </row>
    <row r="2299" spans="1:12" x14ac:dyDescent="0.2">
      <c r="A2299" t="s">
        <v>46</v>
      </c>
      <c r="B2299" t="s">
        <v>12</v>
      </c>
      <c r="C2299">
        <v>25.96</v>
      </c>
      <c r="D2299" t="s">
        <v>41</v>
      </c>
      <c r="E2299" t="s">
        <v>14</v>
      </c>
      <c r="F2299" t="s">
        <v>32</v>
      </c>
      <c r="G2299" t="s">
        <v>302</v>
      </c>
      <c r="H2299" t="s">
        <v>33</v>
      </c>
      <c r="I2299" t="s">
        <v>35</v>
      </c>
      <c r="J2299" t="s">
        <v>325</v>
      </c>
      <c r="K2299" s="1">
        <v>0.38320577546296297</v>
      </c>
      <c r="L2299">
        <f>YEAR(Coffe_sales[[#This Row],[Date]])</f>
        <v>2024</v>
      </c>
    </row>
    <row r="2300" spans="1:12" x14ac:dyDescent="0.2">
      <c r="A2300" t="s">
        <v>11</v>
      </c>
      <c r="B2300" t="s">
        <v>12</v>
      </c>
      <c r="C2300">
        <v>35.76</v>
      </c>
      <c r="D2300" t="s">
        <v>13</v>
      </c>
      <c r="E2300" t="s">
        <v>14</v>
      </c>
      <c r="F2300" t="s">
        <v>32</v>
      </c>
      <c r="G2300" t="s">
        <v>302</v>
      </c>
      <c r="H2300" t="s">
        <v>33</v>
      </c>
      <c r="I2300" t="s">
        <v>35</v>
      </c>
      <c r="J2300" t="s">
        <v>325</v>
      </c>
      <c r="K2300" s="1">
        <v>0.42032122685185186</v>
      </c>
      <c r="L2300">
        <f>YEAR(Coffe_sales[[#This Row],[Date]])</f>
        <v>2024</v>
      </c>
    </row>
    <row r="2301" spans="1:12" x14ac:dyDescent="0.2">
      <c r="A2301" t="s">
        <v>35</v>
      </c>
      <c r="B2301" t="s">
        <v>12</v>
      </c>
      <c r="C2301">
        <v>35.76</v>
      </c>
      <c r="D2301" t="s">
        <v>52</v>
      </c>
      <c r="E2301" t="s">
        <v>14</v>
      </c>
      <c r="F2301" t="s">
        <v>32</v>
      </c>
      <c r="G2301" t="s">
        <v>302</v>
      </c>
      <c r="H2301" t="s">
        <v>33</v>
      </c>
      <c r="I2301" t="s">
        <v>35</v>
      </c>
      <c r="J2301" t="s">
        <v>325</v>
      </c>
      <c r="K2301" s="1">
        <v>0.46041252314814812</v>
      </c>
      <c r="L2301">
        <f>YEAR(Coffe_sales[[#This Row],[Date]])</f>
        <v>2024</v>
      </c>
    </row>
    <row r="2302" spans="1:12" x14ac:dyDescent="0.2">
      <c r="A2302" t="s">
        <v>35</v>
      </c>
      <c r="B2302" t="s">
        <v>12</v>
      </c>
      <c r="C2302">
        <v>25.96</v>
      </c>
      <c r="D2302" t="s">
        <v>24</v>
      </c>
      <c r="E2302" t="s">
        <v>14</v>
      </c>
      <c r="F2302" t="s">
        <v>32</v>
      </c>
      <c r="G2302" t="s">
        <v>302</v>
      </c>
      <c r="H2302" t="s">
        <v>33</v>
      </c>
      <c r="I2302" t="s">
        <v>35</v>
      </c>
      <c r="J2302" t="s">
        <v>325</v>
      </c>
      <c r="K2302" s="1">
        <v>0.46490768518518516</v>
      </c>
      <c r="L2302">
        <f>YEAR(Coffe_sales[[#This Row],[Date]])</f>
        <v>2024</v>
      </c>
    </row>
    <row r="2303" spans="1:12" x14ac:dyDescent="0.2">
      <c r="A2303" t="s">
        <v>35</v>
      </c>
      <c r="B2303" t="s">
        <v>12</v>
      </c>
      <c r="C2303">
        <v>25.96</v>
      </c>
      <c r="D2303" t="s">
        <v>24</v>
      </c>
      <c r="E2303" t="s">
        <v>14</v>
      </c>
      <c r="F2303" t="s">
        <v>32</v>
      </c>
      <c r="G2303" t="s">
        <v>302</v>
      </c>
      <c r="H2303" t="s">
        <v>33</v>
      </c>
      <c r="I2303" t="s">
        <v>35</v>
      </c>
      <c r="J2303" t="s">
        <v>325</v>
      </c>
      <c r="K2303" s="1">
        <v>0.4655769212962963</v>
      </c>
      <c r="L2303">
        <f>YEAR(Coffe_sales[[#This Row],[Date]])</f>
        <v>2024</v>
      </c>
    </row>
    <row r="2304" spans="1:12" x14ac:dyDescent="0.2">
      <c r="A2304" t="s">
        <v>35</v>
      </c>
      <c r="B2304" t="s">
        <v>12</v>
      </c>
      <c r="C2304">
        <v>35.76</v>
      </c>
      <c r="D2304" t="s">
        <v>21</v>
      </c>
      <c r="E2304" t="s">
        <v>14</v>
      </c>
      <c r="F2304" t="s">
        <v>32</v>
      </c>
      <c r="G2304" t="s">
        <v>302</v>
      </c>
      <c r="H2304" t="s">
        <v>33</v>
      </c>
      <c r="I2304" t="s">
        <v>35</v>
      </c>
      <c r="J2304" t="s">
        <v>325</v>
      </c>
      <c r="K2304" s="1">
        <v>0.48712346064814815</v>
      </c>
      <c r="L2304">
        <f>YEAR(Coffe_sales[[#This Row],[Date]])</f>
        <v>2024</v>
      </c>
    </row>
    <row r="2305" spans="1:12" x14ac:dyDescent="0.2">
      <c r="A2305" t="s">
        <v>125</v>
      </c>
      <c r="B2305" t="s">
        <v>12</v>
      </c>
      <c r="C2305">
        <v>35.76</v>
      </c>
      <c r="D2305" t="s">
        <v>13</v>
      </c>
      <c r="E2305" t="s">
        <v>29</v>
      </c>
      <c r="F2305" t="s">
        <v>32</v>
      </c>
      <c r="G2305" t="s">
        <v>302</v>
      </c>
      <c r="H2305" t="s">
        <v>33</v>
      </c>
      <c r="I2305" t="s">
        <v>35</v>
      </c>
      <c r="J2305" t="s">
        <v>325</v>
      </c>
      <c r="K2305" s="1">
        <v>0.94240951388888894</v>
      </c>
      <c r="L2305">
        <f>YEAR(Coffe_sales[[#This Row],[Date]])</f>
        <v>2024</v>
      </c>
    </row>
    <row r="2306" spans="1:12" x14ac:dyDescent="0.2">
      <c r="A2306" t="s">
        <v>123</v>
      </c>
      <c r="B2306" t="s">
        <v>12</v>
      </c>
      <c r="C2306">
        <v>35.76</v>
      </c>
      <c r="D2306" t="s">
        <v>13</v>
      </c>
      <c r="E2306" t="s">
        <v>14</v>
      </c>
      <c r="F2306" t="s">
        <v>38</v>
      </c>
      <c r="G2306" t="s">
        <v>302</v>
      </c>
      <c r="H2306" t="s">
        <v>39</v>
      </c>
      <c r="I2306" t="s">
        <v>35</v>
      </c>
      <c r="J2306" t="s">
        <v>326</v>
      </c>
      <c r="K2306" s="1">
        <v>0.34522560185185186</v>
      </c>
      <c r="L2306">
        <f>YEAR(Coffe_sales[[#This Row],[Date]])</f>
        <v>2024</v>
      </c>
    </row>
    <row r="2307" spans="1:12" x14ac:dyDescent="0.2">
      <c r="A2307" t="s">
        <v>39</v>
      </c>
      <c r="B2307" t="s">
        <v>12</v>
      </c>
      <c r="C2307">
        <v>35.76</v>
      </c>
      <c r="D2307" t="s">
        <v>52</v>
      </c>
      <c r="E2307" t="s">
        <v>14</v>
      </c>
      <c r="F2307" t="s">
        <v>42</v>
      </c>
      <c r="G2307" t="s">
        <v>302</v>
      </c>
      <c r="H2307" t="s">
        <v>43</v>
      </c>
      <c r="I2307" t="s">
        <v>35</v>
      </c>
      <c r="J2307" t="s">
        <v>327</v>
      </c>
      <c r="K2307" s="1">
        <v>0.32590224537037038</v>
      </c>
      <c r="L2307">
        <f>YEAR(Coffe_sales[[#This Row],[Date]])</f>
        <v>2024</v>
      </c>
    </row>
    <row r="2308" spans="1:12" x14ac:dyDescent="0.2">
      <c r="A2308" t="s">
        <v>39</v>
      </c>
      <c r="B2308" t="s">
        <v>12</v>
      </c>
      <c r="C2308">
        <v>35.76</v>
      </c>
      <c r="D2308" t="s">
        <v>13</v>
      </c>
      <c r="E2308" t="s">
        <v>14</v>
      </c>
      <c r="F2308" t="s">
        <v>42</v>
      </c>
      <c r="G2308" t="s">
        <v>302</v>
      </c>
      <c r="H2308" t="s">
        <v>43</v>
      </c>
      <c r="I2308" t="s">
        <v>35</v>
      </c>
      <c r="J2308" t="s">
        <v>327</v>
      </c>
      <c r="K2308" s="1">
        <v>0.32943870370370371</v>
      </c>
      <c r="L2308">
        <f>YEAR(Coffe_sales[[#This Row],[Date]])</f>
        <v>2024</v>
      </c>
    </row>
    <row r="2309" spans="1:12" x14ac:dyDescent="0.2">
      <c r="A2309" t="s">
        <v>46</v>
      </c>
      <c r="B2309" t="s">
        <v>12</v>
      </c>
      <c r="C2309">
        <v>30.86</v>
      </c>
      <c r="D2309" t="s">
        <v>26</v>
      </c>
      <c r="E2309" t="s">
        <v>14</v>
      </c>
      <c r="F2309" t="s">
        <v>42</v>
      </c>
      <c r="G2309" t="s">
        <v>302</v>
      </c>
      <c r="H2309" t="s">
        <v>43</v>
      </c>
      <c r="I2309" t="s">
        <v>35</v>
      </c>
      <c r="J2309" t="s">
        <v>327</v>
      </c>
      <c r="K2309" s="1">
        <v>0.38357625000000001</v>
      </c>
      <c r="L2309">
        <f>YEAR(Coffe_sales[[#This Row],[Date]])</f>
        <v>2024</v>
      </c>
    </row>
    <row r="2310" spans="1:12" x14ac:dyDescent="0.2">
      <c r="A2310" t="s">
        <v>11</v>
      </c>
      <c r="B2310" t="s">
        <v>12</v>
      </c>
      <c r="C2310">
        <v>25.96</v>
      </c>
      <c r="D2310" t="s">
        <v>41</v>
      </c>
      <c r="E2310" t="s">
        <v>14</v>
      </c>
      <c r="F2310" t="s">
        <v>42</v>
      </c>
      <c r="G2310" t="s">
        <v>302</v>
      </c>
      <c r="H2310" t="s">
        <v>43</v>
      </c>
      <c r="I2310" t="s">
        <v>35</v>
      </c>
      <c r="J2310" t="s">
        <v>327</v>
      </c>
      <c r="K2310" s="1">
        <v>0.44314862268518518</v>
      </c>
      <c r="L2310">
        <f>YEAR(Coffe_sales[[#This Row],[Date]])</f>
        <v>2024</v>
      </c>
    </row>
    <row r="2311" spans="1:12" x14ac:dyDescent="0.2">
      <c r="A2311" t="s">
        <v>20</v>
      </c>
      <c r="B2311" t="s">
        <v>12</v>
      </c>
      <c r="C2311">
        <v>35.76</v>
      </c>
      <c r="D2311" t="s">
        <v>13</v>
      </c>
      <c r="E2311" t="s">
        <v>22</v>
      </c>
      <c r="F2311" t="s">
        <v>42</v>
      </c>
      <c r="G2311" t="s">
        <v>302</v>
      </c>
      <c r="H2311" t="s">
        <v>43</v>
      </c>
      <c r="I2311" t="s">
        <v>35</v>
      </c>
      <c r="J2311" t="s">
        <v>327</v>
      </c>
      <c r="K2311" s="1">
        <v>0.53539582175925926</v>
      </c>
      <c r="L2311">
        <f>YEAR(Coffe_sales[[#This Row],[Date]])</f>
        <v>2024</v>
      </c>
    </row>
    <row r="2312" spans="1:12" x14ac:dyDescent="0.2">
      <c r="A2312" t="s">
        <v>20</v>
      </c>
      <c r="B2312" t="s">
        <v>12</v>
      </c>
      <c r="C2312">
        <v>35.76</v>
      </c>
      <c r="D2312" t="s">
        <v>13</v>
      </c>
      <c r="E2312" t="s">
        <v>22</v>
      </c>
      <c r="F2312" t="s">
        <v>42</v>
      </c>
      <c r="G2312" t="s">
        <v>302</v>
      </c>
      <c r="H2312" t="s">
        <v>43</v>
      </c>
      <c r="I2312" t="s">
        <v>35</v>
      </c>
      <c r="J2312" t="s">
        <v>327</v>
      </c>
      <c r="K2312" s="1">
        <v>0.53658626157407407</v>
      </c>
      <c r="L2312">
        <f>YEAR(Coffe_sales[[#This Row],[Date]])</f>
        <v>2024</v>
      </c>
    </row>
    <row r="2313" spans="1:12" x14ac:dyDescent="0.2">
      <c r="A2313" t="s">
        <v>27</v>
      </c>
      <c r="B2313" t="s">
        <v>12</v>
      </c>
      <c r="C2313">
        <v>35.76</v>
      </c>
      <c r="D2313" t="s">
        <v>21</v>
      </c>
      <c r="E2313" t="s">
        <v>22</v>
      </c>
      <c r="F2313" t="s">
        <v>42</v>
      </c>
      <c r="G2313" t="s">
        <v>302</v>
      </c>
      <c r="H2313" t="s">
        <v>43</v>
      </c>
      <c r="I2313" t="s">
        <v>35</v>
      </c>
      <c r="J2313" t="s">
        <v>327</v>
      </c>
      <c r="K2313" s="1">
        <v>0.688153587962963</v>
      </c>
      <c r="L2313">
        <f>YEAR(Coffe_sales[[#This Row],[Date]])</f>
        <v>2024</v>
      </c>
    </row>
    <row r="2314" spans="1:12" x14ac:dyDescent="0.2">
      <c r="A2314" t="s">
        <v>30</v>
      </c>
      <c r="B2314" t="s">
        <v>12</v>
      </c>
      <c r="C2314">
        <v>30.86</v>
      </c>
      <c r="D2314" t="s">
        <v>26</v>
      </c>
      <c r="E2314" t="s">
        <v>29</v>
      </c>
      <c r="F2314" t="s">
        <v>42</v>
      </c>
      <c r="G2314" t="s">
        <v>302</v>
      </c>
      <c r="H2314" t="s">
        <v>43</v>
      </c>
      <c r="I2314" t="s">
        <v>35</v>
      </c>
      <c r="J2314" t="s">
        <v>327</v>
      </c>
      <c r="K2314" s="1">
        <v>0.79304510416666663</v>
      </c>
      <c r="L2314">
        <f>YEAR(Coffe_sales[[#This Row],[Date]])</f>
        <v>2024</v>
      </c>
    </row>
    <row r="2315" spans="1:12" x14ac:dyDescent="0.2">
      <c r="A2315" t="s">
        <v>30</v>
      </c>
      <c r="B2315" t="s">
        <v>12</v>
      </c>
      <c r="C2315">
        <v>35.76</v>
      </c>
      <c r="D2315" t="s">
        <v>21</v>
      </c>
      <c r="E2315" t="s">
        <v>29</v>
      </c>
      <c r="F2315" t="s">
        <v>42</v>
      </c>
      <c r="G2315" t="s">
        <v>302</v>
      </c>
      <c r="H2315" t="s">
        <v>43</v>
      </c>
      <c r="I2315" t="s">
        <v>35</v>
      </c>
      <c r="J2315" t="s">
        <v>327</v>
      </c>
      <c r="K2315" s="1">
        <v>0.81803806712962968</v>
      </c>
      <c r="L2315">
        <f>YEAR(Coffe_sales[[#This Row],[Date]])</f>
        <v>2024</v>
      </c>
    </row>
    <row r="2316" spans="1:12" x14ac:dyDescent="0.2">
      <c r="A2316" t="s">
        <v>131</v>
      </c>
      <c r="B2316" t="s">
        <v>12</v>
      </c>
      <c r="C2316">
        <v>35.76</v>
      </c>
      <c r="D2316" t="s">
        <v>21</v>
      </c>
      <c r="E2316" t="s">
        <v>29</v>
      </c>
      <c r="F2316" t="s">
        <v>42</v>
      </c>
      <c r="G2316" t="s">
        <v>302</v>
      </c>
      <c r="H2316" t="s">
        <v>43</v>
      </c>
      <c r="I2316" t="s">
        <v>35</v>
      </c>
      <c r="J2316" t="s">
        <v>327</v>
      </c>
      <c r="K2316" s="1">
        <v>0.90434276620370369</v>
      </c>
      <c r="L2316">
        <f>YEAR(Coffe_sales[[#This Row],[Date]])</f>
        <v>2024</v>
      </c>
    </row>
    <row r="2317" spans="1:12" x14ac:dyDescent="0.2">
      <c r="A2317" t="s">
        <v>131</v>
      </c>
      <c r="B2317" t="s">
        <v>12</v>
      </c>
      <c r="C2317">
        <v>35.76</v>
      </c>
      <c r="D2317" t="s">
        <v>52</v>
      </c>
      <c r="E2317" t="s">
        <v>29</v>
      </c>
      <c r="F2317" t="s">
        <v>42</v>
      </c>
      <c r="G2317" t="s">
        <v>302</v>
      </c>
      <c r="H2317" t="s">
        <v>43</v>
      </c>
      <c r="I2317" t="s">
        <v>35</v>
      </c>
      <c r="J2317" t="s">
        <v>327</v>
      </c>
      <c r="K2317" s="1">
        <v>0.9048663194444444</v>
      </c>
      <c r="L2317">
        <f>YEAR(Coffe_sales[[#This Row],[Date]])</f>
        <v>2024</v>
      </c>
    </row>
    <row r="2318" spans="1:12" x14ac:dyDescent="0.2">
      <c r="A2318" t="s">
        <v>39</v>
      </c>
      <c r="B2318" t="s">
        <v>12</v>
      </c>
      <c r="C2318">
        <v>35.76</v>
      </c>
      <c r="D2318" t="s">
        <v>13</v>
      </c>
      <c r="E2318" t="s">
        <v>14</v>
      </c>
      <c r="F2318" t="s">
        <v>47</v>
      </c>
      <c r="G2318" t="s">
        <v>302</v>
      </c>
      <c r="H2318" t="s">
        <v>48</v>
      </c>
      <c r="I2318" t="s">
        <v>35</v>
      </c>
      <c r="J2318" t="s">
        <v>328</v>
      </c>
      <c r="K2318" s="1">
        <v>0.3296058564814815</v>
      </c>
      <c r="L2318">
        <f>YEAR(Coffe_sales[[#This Row],[Date]])</f>
        <v>2024</v>
      </c>
    </row>
    <row r="2319" spans="1:12" x14ac:dyDescent="0.2">
      <c r="A2319" t="s">
        <v>35</v>
      </c>
      <c r="B2319" t="s">
        <v>12</v>
      </c>
      <c r="C2319">
        <v>35.76</v>
      </c>
      <c r="D2319" t="s">
        <v>31</v>
      </c>
      <c r="E2319" t="s">
        <v>14</v>
      </c>
      <c r="F2319" t="s">
        <v>47</v>
      </c>
      <c r="G2319" t="s">
        <v>302</v>
      </c>
      <c r="H2319" t="s">
        <v>48</v>
      </c>
      <c r="I2319" t="s">
        <v>35</v>
      </c>
      <c r="J2319" t="s">
        <v>328</v>
      </c>
      <c r="K2319" s="1">
        <v>0.46037348379629628</v>
      </c>
      <c r="L2319">
        <f>YEAR(Coffe_sales[[#This Row],[Date]])</f>
        <v>2024</v>
      </c>
    </row>
    <row r="2320" spans="1:12" x14ac:dyDescent="0.2">
      <c r="A2320" t="s">
        <v>35</v>
      </c>
      <c r="B2320" t="s">
        <v>12</v>
      </c>
      <c r="C2320">
        <v>25.96</v>
      </c>
      <c r="D2320" t="s">
        <v>24</v>
      </c>
      <c r="E2320" t="s">
        <v>14</v>
      </c>
      <c r="F2320" t="s">
        <v>47</v>
      </c>
      <c r="G2320" t="s">
        <v>302</v>
      </c>
      <c r="H2320" t="s">
        <v>48</v>
      </c>
      <c r="I2320" t="s">
        <v>35</v>
      </c>
      <c r="J2320" t="s">
        <v>328</v>
      </c>
      <c r="K2320" s="1">
        <v>0.46096383101851851</v>
      </c>
      <c r="L2320">
        <f>YEAR(Coffe_sales[[#This Row],[Date]])</f>
        <v>2024</v>
      </c>
    </row>
    <row r="2321" spans="1:12" x14ac:dyDescent="0.2">
      <c r="A2321" t="s">
        <v>35</v>
      </c>
      <c r="B2321" t="s">
        <v>12</v>
      </c>
      <c r="C2321">
        <v>35.76</v>
      </c>
      <c r="D2321" t="s">
        <v>31</v>
      </c>
      <c r="E2321" t="s">
        <v>14</v>
      </c>
      <c r="F2321" t="s">
        <v>47</v>
      </c>
      <c r="G2321" t="s">
        <v>302</v>
      </c>
      <c r="H2321" t="s">
        <v>48</v>
      </c>
      <c r="I2321" t="s">
        <v>35</v>
      </c>
      <c r="J2321" t="s">
        <v>328</v>
      </c>
      <c r="K2321" s="1">
        <v>0.46260518518518517</v>
      </c>
      <c r="L2321">
        <f>YEAR(Coffe_sales[[#This Row],[Date]])</f>
        <v>2024</v>
      </c>
    </row>
    <row r="2322" spans="1:12" x14ac:dyDescent="0.2">
      <c r="A2322" t="s">
        <v>35</v>
      </c>
      <c r="B2322" t="s">
        <v>12</v>
      </c>
      <c r="C2322">
        <v>35.76</v>
      </c>
      <c r="D2322" t="s">
        <v>31</v>
      </c>
      <c r="E2322" t="s">
        <v>14</v>
      </c>
      <c r="F2322" t="s">
        <v>47</v>
      </c>
      <c r="G2322" t="s">
        <v>302</v>
      </c>
      <c r="H2322" t="s">
        <v>48</v>
      </c>
      <c r="I2322" t="s">
        <v>35</v>
      </c>
      <c r="J2322" t="s">
        <v>328</v>
      </c>
      <c r="K2322" s="1">
        <v>0.46330979166666669</v>
      </c>
      <c r="L2322">
        <f>YEAR(Coffe_sales[[#This Row],[Date]])</f>
        <v>2024</v>
      </c>
    </row>
    <row r="2323" spans="1:12" x14ac:dyDescent="0.2">
      <c r="A2323" t="s">
        <v>27</v>
      </c>
      <c r="B2323" t="s">
        <v>12</v>
      </c>
      <c r="C2323">
        <v>35.76</v>
      </c>
      <c r="D2323" t="s">
        <v>13</v>
      </c>
      <c r="E2323" t="s">
        <v>22</v>
      </c>
      <c r="F2323" t="s">
        <v>47</v>
      </c>
      <c r="G2323" t="s">
        <v>302</v>
      </c>
      <c r="H2323" t="s">
        <v>48</v>
      </c>
      <c r="I2323" t="s">
        <v>35</v>
      </c>
      <c r="J2323" t="s">
        <v>328</v>
      </c>
      <c r="K2323" s="1">
        <v>0.66937851851851848</v>
      </c>
      <c r="L2323">
        <f>YEAR(Coffe_sales[[#This Row],[Date]])</f>
        <v>2024</v>
      </c>
    </row>
    <row r="2324" spans="1:12" x14ac:dyDescent="0.2">
      <c r="A2324" t="s">
        <v>27</v>
      </c>
      <c r="B2324" t="s">
        <v>12</v>
      </c>
      <c r="C2324">
        <v>35.76</v>
      </c>
      <c r="D2324" t="s">
        <v>13</v>
      </c>
      <c r="E2324" t="s">
        <v>22</v>
      </c>
      <c r="F2324" t="s">
        <v>47</v>
      </c>
      <c r="G2324" t="s">
        <v>302</v>
      </c>
      <c r="H2324" t="s">
        <v>48</v>
      </c>
      <c r="I2324" t="s">
        <v>35</v>
      </c>
      <c r="J2324" t="s">
        <v>328</v>
      </c>
      <c r="K2324" s="1">
        <v>0.67014531249999998</v>
      </c>
      <c r="L2324">
        <f>YEAR(Coffe_sales[[#This Row],[Date]])</f>
        <v>2024</v>
      </c>
    </row>
    <row r="2325" spans="1:12" x14ac:dyDescent="0.2">
      <c r="A2325" t="s">
        <v>37</v>
      </c>
      <c r="B2325" t="s">
        <v>12</v>
      </c>
      <c r="C2325">
        <v>25.96</v>
      </c>
      <c r="D2325" t="s">
        <v>24</v>
      </c>
      <c r="E2325" t="s">
        <v>29</v>
      </c>
      <c r="F2325" t="s">
        <v>47</v>
      </c>
      <c r="G2325" t="s">
        <v>302</v>
      </c>
      <c r="H2325" t="s">
        <v>48</v>
      </c>
      <c r="I2325" t="s">
        <v>35</v>
      </c>
      <c r="J2325" t="s">
        <v>328</v>
      </c>
      <c r="K2325" s="1">
        <v>0.7164088657407407</v>
      </c>
      <c r="L2325">
        <f>YEAR(Coffe_sales[[#This Row],[Date]])</f>
        <v>2024</v>
      </c>
    </row>
    <row r="2326" spans="1:12" x14ac:dyDescent="0.2">
      <c r="A2326" t="s">
        <v>37</v>
      </c>
      <c r="B2326" t="s">
        <v>12</v>
      </c>
      <c r="C2326">
        <v>30.86</v>
      </c>
      <c r="D2326" t="s">
        <v>26</v>
      </c>
      <c r="E2326" t="s">
        <v>29</v>
      </c>
      <c r="F2326" t="s">
        <v>47</v>
      </c>
      <c r="G2326" t="s">
        <v>302</v>
      </c>
      <c r="H2326" t="s">
        <v>48</v>
      </c>
      <c r="I2326" t="s">
        <v>35</v>
      </c>
      <c r="J2326" t="s">
        <v>328</v>
      </c>
      <c r="K2326" s="1">
        <v>0.71706524305555552</v>
      </c>
      <c r="L2326">
        <f>YEAR(Coffe_sales[[#This Row],[Date]])</f>
        <v>2024</v>
      </c>
    </row>
    <row r="2327" spans="1:12" x14ac:dyDescent="0.2">
      <c r="A2327" t="s">
        <v>30</v>
      </c>
      <c r="B2327" t="s">
        <v>12</v>
      </c>
      <c r="C2327">
        <v>35.76</v>
      </c>
      <c r="D2327" t="s">
        <v>31</v>
      </c>
      <c r="E2327" t="s">
        <v>29</v>
      </c>
      <c r="F2327" t="s">
        <v>47</v>
      </c>
      <c r="G2327" t="s">
        <v>302</v>
      </c>
      <c r="H2327" t="s">
        <v>48</v>
      </c>
      <c r="I2327" t="s">
        <v>35</v>
      </c>
      <c r="J2327" t="s">
        <v>328</v>
      </c>
      <c r="K2327" s="1">
        <v>0.8245910300925926</v>
      </c>
      <c r="L2327">
        <f>YEAR(Coffe_sales[[#This Row],[Date]])</f>
        <v>2024</v>
      </c>
    </row>
    <row r="2328" spans="1:12" x14ac:dyDescent="0.2">
      <c r="A2328" t="s">
        <v>123</v>
      </c>
      <c r="B2328" t="s">
        <v>12</v>
      </c>
      <c r="C2328">
        <v>35.76</v>
      </c>
      <c r="D2328" t="s">
        <v>52</v>
      </c>
      <c r="E2328" t="s">
        <v>14</v>
      </c>
      <c r="F2328" t="s">
        <v>53</v>
      </c>
      <c r="G2328" t="s">
        <v>302</v>
      </c>
      <c r="H2328" t="s">
        <v>54</v>
      </c>
      <c r="I2328" t="s">
        <v>35</v>
      </c>
      <c r="J2328" t="s">
        <v>329</v>
      </c>
      <c r="K2328" s="1">
        <v>0.36200144675925927</v>
      </c>
      <c r="L2328">
        <f>YEAR(Coffe_sales[[#This Row],[Date]])</f>
        <v>2024</v>
      </c>
    </row>
    <row r="2329" spans="1:12" x14ac:dyDescent="0.2">
      <c r="A2329" t="s">
        <v>46</v>
      </c>
      <c r="B2329" t="s">
        <v>12</v>
      </c>
      <c r="C2329">
        <v>30.86</v>
      </c>
      <c r="D2329" t="s">
        <v>26</v>
      </c>
      <c r="E2329" t="s">
        <v>14</v>
      </c>
      <c r="F2329" t="s">
        <v>53</v>
      </c>
      <c r="G2329" t="s">
        <v>302</v>
      </c>
      <c r="H2329" t="s">
        <v>54</v>
      </c>
      <c r="I2329" t="s">
        <v>35</v>
      </c>
      <c r="J2329" t="s">
        <v>329</v>
      </c>
      <c r="K2329" s="1">
        <v>0.38473270833333334</v>
      </c>
      <c r="L2329">
        <f>YEAR(Coffe_sales[[#This Row],[Date]])</f>
        <v>2024</v>
      </c>
    </row>
    <row r="2330" spans="1:12" x14ac:dyDescent="0.2">
      <c r="A2330" t="s">
        <v>91</v>
      </c>
      <c r="B2330" t="s">
        <v>12</v>
      </c>
      <c r="C2330">
        <v>30.86</v>
      </c>
      <c r="D2330" t="s">
        <v>26</v>
      </c>
      <c r="E2330" t="s">
        <v>29</v>
      </c>
      <c r="F2330" t="s">
        <v>53</v>
      </c>
      <c r="G2330" t="s">
        <v>302</v>
      </c>
      <c r="H2330" t="s">
        <v>54</v>
      </c>
      <c r="I2330" t="s">
        <v>35</v>
      </c>
      <c r="J2330" t="s">
        <v>329</v>
      </c>
      <c r="K2330" s="1">
        <v>0.85048645833333336</v>
      </c>
      <c r="L2330">
        <f>YEAR(Coffe_sales[[#This Row],[Date]])</f>
        <v>2024</v>
      </c>
    </row>
    <row r="2331" spans="1:12" x14ac:dyDescent="0.2">
      <c r="A2331" t="s">
        <v>91</v>
      </c>
      <c r="B2331" t="s">
        <v>12</v>
      </c>
      <c r="C2331">
        <v>35.76</v>
      </c>
      <c r="D2331" t="s">
        <v>13</v>
      </c>
      <c r="E2331" t="s">
        <v>29</v>
      </c>
      <c r="F2331" t="s">
        <v>53</v>
      </c>
      <c r="G2331" t="s">
        <v>302</v>
      </c>
      <c r="H2331" t="s">
        <v>54</v>
      </c>
      <c r="I2331" t="s">
        <v>35</v>
      </c>
      <c r="J2331" t="s">
        <v>329</v>
      </c>
      <c r="K2331" s="1">
        <v>0.85122133101851849</v>
      </c>
      <c r="L2331">
        <f>YEAR(Coffe_sales[[#This Row],[Date]])</f>
        <v>2024</v>
      </c>
    </row>
    <row r="2332" spans="1:12" x14ac:dyDescent="0.2">
      <c r="A2332" t="s">
        <v>91</v>
      </c>
      <c r="B2332" t="s">
        <v>12</v>
      </c>
      <c r="C2332">
        <v>35.76</v>
      </c>
      <c r="D2332" t="s">
        <v>13</v>
      </c>
      <c r="E2332" t="s">
        <v>29</v>
      </c>
      <c r="F2332" t="s">
        <v>53</v>
      </c>
      <c r="G2332" t="s">
        <v>302</v>
      </c>
      <c r="H2332" t="s">
        <v>54</v>
      </c>
      <c r="I2332" t="s">
        <v>35</v>
      </c>
      <c r="J2332" t="s">
        <v>329</v>
      </c>
      <c r="K2332" s="1">
        <v>0.87152393518518523</v>
      </c>
      <c r="L2332">
        <f>YEAR(Coffe_sales[[#This Row],[Date]])</f>
        <v>2024</v>
      </c>
    </row>
    <row r="2333" spans="1:12" x14ac:dyDescent="0.2">
      <c r="A2333" t="s">
        <v>125</v>
      </c>
      <c r="B2333" t="s">
        <v>12</v>
      </c>
      <c r="C2333">
        <v>35.76</v>
      </c>
      <c r="D2333" t="s">
        <v>52</v>
      </c>
      <c r="E2333" t="s">
        <v>29</v>
      </c>
      <c r="F2333" t="s">
        <v>53</v>
      </c>
      <c r="G2333" t="s">
        <v>302</v>
      </c>
      <c r="H2333" t="s">
        <v>54</v>
      </c>
      <c r="I2333" t="s">
        <v>35</v>
      </c>
      <c r="J2333" t="s">
        <v>329</v>
      </c>
      <c r="K2333" s="1">
        <v>0.9168483101851852</v>
      </c>
      <c r="L2333">
        <f>YEAR(Coffe_sales[[#This Row],[Date]])</f>
        <v>2024</v>
      </c>
    </row>
    <row r="2334" spans="1:12" x14ac:dyDescent="0.2">
      <c r="A2334" t="s">
        <v>39</v>
      </c>
      <c r="B2334" t="s">
        <v>12</v>
      </c>
      <c r="C2334">
        <v>35.76</v>
      </c>
      <c r="D2334" t="s">
        <v>31</v>
      </c>
      <c r="E2334" t="s">
        <v>14</v>
      </c>
      <c r="F2334" t="s">
        <v>15</v>
      </c>
      <c r="G2334" t="s">
        <v>302</v>
      </c>
      <c r="H2334" t="s">
        <v>17</v>
      </c>
      <c r="I2334" t="s">
        <v>35</v>
      </c>
      <c r="J2334" t="s">
        <v>330</v>
      </c>
      <c r="K2334" s="1">
        <v>0.32865553240740741</v>
      </c>
      <c r="L2334">
        <f>YEAR(Coffe_sales[[#This Row],[Date]])</f>
        <v>2024</v>
      </c>
    </row>
    <row r="2335" spans="1:12" x14ac:dyDescent="0.2">
      <c r="A2335" t="s">
        <v>39</v>
      </c>
      <c r="B2335" t="s">
        <v>12</v>
      </c>
      <c r="C2335">
        <v>35.76</v>
      </c>
      <c r="D2335" t="s">
        <v>13</v>
      </c>
      <c r="E2335" t="s">
        <v>14</v>
      </c>
      <c r="F2335" t="s">
        <v>15</v>
      </c>
      <c r="G2335" t="s">
        <v>302</v>
      </c>
      <c r="H2335" t="s">
        <v>17</v>
      </c>
      <c r="I2335" t="s">
        <v>35</v>
      </c>
      <c r="J2335" t="s">
        <v>330</v>
      </c>
      <c r="K2335" s="1">
        <v>0.3317378587962963</v>
      </c>
      <c r="L2335">
        <f>YEAR(Coffe_sales[[#This Row],[Date]])</f>
        <v>2024</v>
      </c>
    </row>
    <row r="2336" spans="1:12" x14ac:dyDescent="0.2">
      <c r="A2336" t="s">
        <v>46</v>
      </c>
      <c r="B2336" t="s">
        <v>12</v>
      </c>
      <c r="C2336">
        <v>30.86</v>
      </c>
      <c r="D2336" t="s">
        <v>26</v>
      </c>
      <c r="E2336" t="s">
        <v>14</v>
      </c>
      <c r="F2336" t="s">
        <v>15</v>
      </c>
      <c r="G2336" t="s">
        <v>302</v>
      </c>
      <c r="H2336" t="s">
        <v>17</v>
      </c>
      <c r="I2336" t="s">
        <v>35</v>
      </c>
      <c r="J2336" t="s">
        <v>330</v>
      </c>
      <c r="K2336" s="1">
        <v>0.38022575231481481</v>
      </c>
      <c r="L2336">
        <f>YEAR(Coffe_sales[[#This Row],[Date]])</f>
        <v>2024</v>
      </c>
    </row>
    <row r="2337" spans="1:12" x14ac:dyDescent="0.2">
      <c r="A2337" t="s">
        <v>46</v>
      </c>
      <c r="B2337" t="s">
        <v>12</v>
      </c>
      <c r="C2337">
        <v>30.86</v>
      </c>
      <c r="D2337" t="s">
        <v>26</v>
      </c>
      <c r="E2337" t="s">
        <v>14</v>
      </c>
      <c r="F2337" t="s">
        <v>15</v>
      </c>
      <c r="G2337" t="s">
        <v>302</v>
      </c>
      <c r="H2337" t="s">
        <v>17</v>
      </c>
      <c r="I2337" t="s">
        <v>35</v>
      </c>
      <c r="J2337" t="s">
        <v>330</v>
      </c>
      <c r="K2337" s="1">
        <v>0.38090561342592594</v>
      </c>
      <c r="L2337">
        <f>YEAR(Coffe_sales[[#This Row],[Date]])</f>
        <v>2024</v>
      </c>
    </row>
    <row r="2338" spans="1:12" x14ac:dyDescent="0.2">
      <c r="A2338" t="s">
        <v>25</v>
      </c>
      <c r="B2338" t="s">
        <v>12</v>
      </c>
      <c r="C2338">
        <v>30.86</v>
      </c>
      <c r="D2338" t="s">
        <v>26</v>
      </c>
      <c r="E2338" t="s">
        <v>22</v>
      </c>
      <c r="F2338" t="s">
        <v>15</v>
      </c>
      <c r="G2338" t="s">
        <v>302</v>
      </c>
      <c r="H2338" t="s">
        <v>17</v>
      </c>
      <c r="I2338" t="s">
        <v>35</v>
      </c>
      <c r="J2338" t="s">
        <v>330</v>
      </c>
      <c r="K2338" s="1">
        <v>0.63757939814814812</v>
      </c>
      <c r="L2338">
        <f>YEAR(Coffe_sales[[#This Row],[Date]])</f>
        <v>2024</v>
      </c>
    </row>
    <row r="2339" spans="1:12" x14ac:dyDescent="0.2">
      <c r="A2339" t="s">
        <v>25</v>
      </c>
      <c r="B2339" t="s">
        <v>12</v>
      </c>
      <c r="C2339">
        <v>35.76</v>
      </c>
      <c r="D2339" t="s">
        <v>13</v>
      </c>
      <c r="E2339" t="s">
        <v>22</v>
      </c>
      <c r="F2339" t="s">
        <v>15</v>
      </c>
      <c r="G2339" t="s">
        <v>302</v>
      </c>
      <c r="H2339" t="s">
        <v>17</v>
      </c>
      <c r="I2339" t="s">
        <v>35</v>
      </c>
      <c r="J2339" t="s">
        <v>330</v>
      </c>
      <c r="K2339" s="1">
        <v>0.6384299537037037</v>
      </c>
      <c r="L2339">
        <f>YEAR(Coffe_sales[[#This Row],[Date]])</f>
        <v>2024</v>
      </c>
    </row>
    <row r="2340" spans="1:12" x14ac:dyDescent="0.2">
      <c r="A2340" t="s">
        <v>91</v>
      </c>
      <c r="B2340" t="s">
        <v>12</v>
      </c>
      <c r="C2340">
        <v>35.76</v>
      </c>
      <c r="D2340" t="s">
        <v>31</v>
      </c>
      <c r="E2340" t="s">
        <v>29</v>
      </c>
      <c r="F2340" t="s">
        <v>15</v>
      </c>
      <c r="G2340" t="s">
        <v>302</v>
      </c>
      <c r="H2340" t="s">
        <v>17</v>
      </c>
      <c r="I2340" t="s">
        <v>35</v>
      </c>
      <c r="J2340" t="s">
        <v>330</v>
      </c>
      <c r="K2340" s="1">
        <v>0.8735493865740741</v>
      </c>
      <c r="L2340">
        <f>YEAR(Coffe_sales[[#This Row],[Date]])</f>
        <v>2024</v>
      </c>
    </row>
    <row r="2341" spans="1:12" x14ac:dyDescent="0.2">
      <c r="A2341" t="s">
        <v>20</v>
      </c>
      <c r="B2341" t="s">
        <v>12</v>
      </c>
      <c r="C2341">
        <v>35.76</v>
      </c>
      <c r="D2341" t="s">
        <v>31</v>
      </c>
      <c r="E2341" t="s">
        <v>22</v>
      </c>
      <c r="F2341" t="s">
        <v>32</v>
      </c>
      <c r="G2341" t="s">
        <v>302</v>
      </c>
      <c r="H2341" t="s">
        <v>33</v>
      </c>
      <c r="I2341" t="s">
        <v>35</v>
      </c>
      <c r="J2341" t="s">
        <v>331</v>
      </c>
      <c r="K2341" s="1">
        <v>0.54041831018518516</v>
      </c>
      <c r="L2341">
        <f>YEAR(Coffe_sales[[#This Row],[Date]])</f>
        <v>2024</v>
      </c>
    </row>
    <row r="2342" spans="1:12" x14ac:dyDescent="0.2">
      <c r="A2342" t="s">
        <v>36</v>
      </c>
      <c r="B2342" t="s">
        <v>12</v>
      </c>
      <c r="C2342">
        <v>25.96</v>
      </c>
      <c r="D2342" t="s">
        <v>24</v>
      </c>
      <c r="E2342" t="s">
        <v>22</v>
      </c>
      <c r="F2342" t="s">
        <v>32</v>
      </c>
      <c r="G2342" t="s">
        <v>302</v>
      </c>
      <c r="H2342" t="s">
        <v>33</v>
      </c>
      <c r="I2342" t="s">
        <v>35</v>
      </c>
      <c r="J2342" t="s">
        <v>331</v>
      </c>
      <c r="K2342" s="1">
        <v>0.58675710648148149</v>
      </c>
      <c r="L2342">
        <f>YEAR(Coffe_sales[[#This Row],[Date]])</f>
        <v>2024</v>
      </c>
    </row>
    <row r="2343" spans="1:12" x14ac:dyDescent="0.2">
      <c r="A2343" t="s">
        <v>36</v>
      </c>
      <c r="B2343" t="s">
        <v>12</v>
      </c>
      <c r="C2343">
        <v>35.76</v>
      </c>
      <c r="D2343" t="s">
        <v>21</v>
      </c>
      <c r="E2343" t="s">
        <v>22</v>
      </c>
      <c r="F2343" t="s">
        <v>32</v>
      </c>
      <c r="G2343" t="s">
        <v>302</v>
      </c>
      <c r="H2343" t="s">
        <v>33</v>
      </c>
      <c r="I2343" t="s">
        <v>35</v>
      </c>
      <c r="J2343" t="s">
        <v>331</v>
      </c>
      <c r="K2343" s="1">
        <v>0.58747775462962959</v>
      </c>
      <c r="L2343">
        <f>YEAR(Coffe_sales[[#This Row],[Date]])</f>
        <v>2024</v>
      </c>
    </row>
    <row r="2344" spans="1:12" x14ac:dyDescent="0.2">
      <c r="A2344" t="s">
        <v>36</v>
      </c>
      <c r="B2344" t="s">
        <v>12</v>
      </c>
      <c r="C2344">
        <v>35.76</v>
      </c>
      <c r="D2344" t="s">
        <v>31</v>
      </c>
      <c r="E2344" t="s">
        <v>22</v>
      </c>
      <c r="F2344" t="s">
        <v>32</v>
      </c>
      <c r="G2344" t="s">
        <v>302</v>
      </c>
      <c r="H2344" t="s">
        <v>33</v>
      </c>
      <c r="I2344" t="s">
        <v>35</v>
      </c>
      <c r="J2344" t="s">
        <v>331</v>
      </c>
      <c r="K2344" s="1">
        <v>0.59504651620370375</v>
      </c>
      <c r="L2344">
        <f>YEAR(Coffe_sales[[#This Row],[Date]])</f>
        <v>2024</v>
      </c>
    </row>
    <row r="2345" spans="1:12" x14ac:dyDescent="0.2">
      <c r="A2345" t="s">
        <v>25</v>
      </c>
      <c r="B2345" t="s">
        <v>12</v>
      </c>
      <c r="C2345">
        <v>30.86</v>
      </c>
      <c r="D2345" t="s">
        <v>26</v>
      </c>
      <c r="E2345" t="s">
        <v>22</v>
      </c>
      <c r="F2345" t="s">
        <v>32</v>
      </c>
      <c r="G2345" t="s">
        <v>302</v>
      </c>
      <c r="H2345" t="s">
        <v>33</v>
      </c>
      <c r="I2345" t="s">
        <v>35</v>
      </c>
      <c r="J2345" t="s">
        <v>331</v>
      </c>
      <c r="K2345" s="1">
        <v>0.6484293518518518</v>
      </c>
      <c r="L2345">
        <f>YEAR(Coffe_sales[[#This Row],[Date]])</f>
        <v>2024</v>
      </c>
    </row>
    <row r="2346" spans="1:12" x14ac:dyDescent="0.2">
      <c r="A2346" t="s">
        <v>125</v>
      </c>
      <c r="B2346" t="s">
        <v>12</v>
      </c>
      <c r="C2346">
        <v>30.86</v>
      </c>
      <c r="D2346" t="s">
        <v>26</v>
      </c>
      <c r="E2346" t="s">
        <v>29</v>
      </c>
      <c r="F2346" t="s">
        <v>32</v>
      </c>
      <c r="G2346" t="s">
        <v>302</v>
      </c>
      <c r="H2346" t="s">
        <v>33</v>
      </c>
      <c r="I2346" t="s">
        <v>35</v>
      </c>
      <c r="J2346" t="s">
        <v>331</v>
      </c>
      <c r="K2346" s="1">
        <v>0.91931115740740743</v>
      </c>
      <c r="L2346">
        <f>YEAR(Coffe_sales[[#This Row],[Date]])</f>
        <v>2024</v>
      </c>
    </row>
    <row r="2347" spans="1:12" x14ac:dyDescent="0.2">
      <c r="A2347" t="s">
        <v>11</v>
      </c>
      <c r="B2347" t="s">
        <v>12</v>
      </c>
      <c r="C2347">
        <v>30.86</v>
      </c>
      <c r="D2347" t="s">
        <v>26</v>
      </c>
      <c r="E2347" t="s">
        <v>14</v>
      </c>
      <c r="F2347" t="s">
        <v>38</v>
      </c>
      <c r="G2347" t="s">
        <v>332</v>
      </c>
      <c r="H2347" t="s">
        <v>39</v>
      </c>
      <c r="I2347" t="s">
        <v>20</v>
      </c>
      <c r="J2347" t="s">
        <v>333</v>
      </c>
      <c r="K2347" s="1">
        <v>0.42745019675925927</v>
      </c>
      <c r="L2347">
        <f>YEAR(Coffe_sales[[#This Row],[Date]])</f>
        <v>2024</v>
      </c>
    </row>
    <row r="2348" spans="1:12" x14ac:dyDescent="0.2">
      <c r="A2348" t="s">
        <v>11</v>
      </c>
      <c r="B2348" t="s">
        <v>12</v>
      </c>
      <c r="C2348">
        <v>30.86</v>
      </c>
      <c r="D2348" t="s">
        <v>26</v>
      </c>
      <c r="E2348" t="s">
        <v>14</v>
      </c>
      <c r="F2348" t="s">
        <v>38</v>
      </c>
      <c r="G2348" t="s">
        <v>332</v>
      </c>
      <c r="H2348" t="s">
        <v>39</v>
      </c>
      <c r="I2348" t="s">
        <v>20</v>
      </c>
      <c r="J2348" t="s">
        <v>333</v>
      </c>
      <c r="K2348" s="1">
        <v>0.42814726851851853</v>
      </c>
      <c r="L2348">
        <f>YEAR(Coffe_sales[[#This Row],[Date]])</f>
        <v>2024</v>
      </c>
    </row>
    <row r="2349" spans="1:12" x14ac:dyDescent="0.2">
      <c r="A2349" t="s">
        <v>11</v>
      </c>
      <c r="B2349" t="s">
        <v>12</v>
      </c>
      <c r="C2349">
        <v>30.86</v>
      </c>
      <c r="D2349" t="s">
        <v>26</v>
      </c>
      <c r="E2349" t="s">
        <v>14</v>
      </c>
      <c r="F2349" t="s">
        <v>38</v>
      </c>
      <c r="G2349" t="s">
        <v>332</v>
      </c>
      <c r="H2349" t="s">
        <v>39</v>
      </c>
      <c r="I2349" t="s">
        <v>20</v>
      </c>
      <c r="J2349" t="s">
        <v>333</v>
      </c>
      <c r="K2349" s="1">
        <v>0.43248365740740741</v>
      </c>
      <c r="L2349">
        <f>YEAR(Coffe_sales[[#This Row],[Date]])</f>
        <v>2024</v>
      </c>
    </row>
    <row r="2350" spans="1:12" x14ac:dyDescent="0.2">
      <c r="A2350" t="s">
        <v>36</v>
      </c>
      <c r="B2350" t="s">
        <v>12</v>
      </c>
      <c r="C2350">
        <v>30.86</v>
      </c>
      <c r="D2350" t="s">
        <v>26</v>
      </c>
      <c r="E2350" t="s">
        <v>22</v>
      </c>
      <c r="F2350" t="s">
        <v>38</v>
      </c>
      <c r="G2350" t="s">
        <v>332</v>
      </c>
      <c r="H2350" t="s">
        <v>39</v>
      </c>
      <c r="I2350" t="s">
        <v>20</v>
      </c>
      <c r="J2350" t="s">
        <v>333</v>
      </c>
      <c r="K2350" s="1">
        <v>0.60720914351851851</v>
      </c>
      <c r="L2350">
        <f>YEAR(Coffe_sales[[#This Row],[Date]])</f>
        <v>2024</v>
      </c>
    </row>
    <row r="2351" spans="1:12" x14ac:dyDescent="0.2">
      <c r="A2351" t="s">
        <v>25</v>
      </c>
      <c r="B2351" t="s">
        <v>12</v>
      </c>
      <c r="C2351">
        <v>35.76</v>
      </c>
      <c r="D2351" t="s">
        <v>31</v>
      </c>
      <c r="E2351" t="s">
        <v>22</v>
      </c>
      <c r="F2351" t="s">
        <v>38</v>
      </c>
      <c r="G2351" t="s">
        <v>332</v>
      </c>
      <c r="H2351" t="s">
        <v>39</v>
      </c>
      <c r="I2351" t="s">
        <v>20</v>
      </c>
      <c r="J2351" t="s">
        <v>333</v>
      </c>
      <c r="K2351" s="1">
        <v>0.63139644675925921</v>
      </c>
      <c r="L2351">
        <f>YEAR(Coffe_sales[[#This Row],[Date]])</f>
        <v>2024</v>
      </c>
    </row>
    <row r="2352" spans="1:12" x14ac:dyDescent="0.2">
      <c r="A2352" t="s">
        <v>25</v>
      </c>
      <c r="B2352" t="s">
        <v>12</v>
      </c>
      <c r="C2352">
        <v>35.76</v>
      </c>
      <c r="D2352" t="s">
        <v>31</v>
      </c>
      <c r="E2352" t="s">
        <v>22</v>
      </c>
      <c r="F2352" t="s">
        <v>38</v>
      </c>
      <c r="G2352" t="s">
        <v>332</v>
      </c>
      <c r="H2352" t="s">
        <v>39</v>
      </c>
      <c r="I2352" t="s">
        <v>20</v>
      </c>
      <c r="J2352" t="s">
        <v>333</v>
      </c>
      <c r="K2352" s="1">
        <v>0.63190927083333337</v>
      </c>
      <c r="L2352">
        <f>YEAR(Coffe_sales[[#This Row],[Date]])</f>
        <v>2024</v>
      </c>
    </row>
    <row r="2353" spans="1:12" x14ac:dyDescent="0.2">
      <c r="A2353" t="s">
        <v>25</v>
      </c>
      <c r="B2353" t="s">
        <v>12</v>
      </c>
      <c r="C2353">
        <v>35.76</v>
      </c>
      <c r="D2353" t="s">
        <v>52</v>
      </c>
      <c r="E2353" t="s">
        <v>22</v>
      </c>
      <c r="F2353" t="s">
        <v>38</v>
      </c>
      <c r="G2353" t="s">
        <v>332</v>
      </c>
      <c r="H2353" t="s">
        <v>39</v>
      </c>
      <c r="I2353" t="s">
        <v>20</v>
      </c>
      <c r="J2353" t="s">
        <v>333</v>
      </c>
      <c r="K2353" s="1">
        <v>0.65488765046296293</v>
      </c>
      <c r="L2353">
        <f>YEAR(Coffe_sales[[#This Row],[Date]])</f>
        <v>2024</v>
      </c>
    </row>
    <row r="2354" spans="1:12" x14ac:dyDescent="0.2">
      <c r="A2354" t="s">
        <v>25</v>
      </c>
      <c r="B2354" t="s">
        <v>12</v>
      </c>
      <c r="C2354">
        <v>35.76</v>
      </c>
      <c r="D2354" t="s">
        <v>13</v>
      </c>
      <c r="E2354" t="s">
        <v>22</v>
      </c>
      <c r="F2354" t="s">
        <v>38</v>
      </c>
      <c r="G2354" t="s">
        <v>332</v>
      </c>
      <c r="H2354" t="s">
        <v>39</v>
      </c>
      <c r="I2354" t="s">
        <v>20</v>
      </c>
      <c r="J2354" t="s">
        <v>333</v>
      </c>
      <c r="K2354" s="1">
        <v>0.66425017361111116</v>
      </c>
      <c r="L2354">
        <f>YEAR(Coffe_sales[[#This Row],[Date]])</f>
        <v>2024</v>
      </c>
    </row>
    <row r="2355" spans="1:12" x14ac:dyDescent="0.2">
      <c r="A2355" t="s">
        <v>25</v>
      </c>
      <c r="B2355" t="s">
        <v>12</v>
      </c>
      <c r="C2355">
        <v>35.76</v>
      </c>
      <c r="D2355" t="s">
        <v>13</v>
      </c>
      <c r="E2355" t="s">
        <v>22</v>
      </c>
      <c r="F2355" t="s">
        <v>38</v>
      </c>
      <c r="G2355" t="s">
        <v>332</v>
      </c>
      <c r="H2355" t="s">
        <v>39</v>
      </c>
      <c r="I2355" t="s">
        <v>20</v>
      </c>
      <c r="J2355" t="s">
        <v>333</v>
      </c>
      <c r="K2355" s="1">
        <v>0.6651546990740741</v>
      </c>
      <c r="L2355">
        <f>YEAR(Coffe_sales[[#This Row],[Date]])</f>
        <v>2024</v>
      </c>
    </row>
    <row r="2356" spans="1:12" x14ac:dyDescent="0.2">
      <c r="A2356" t="s">
        <v>27</v>
      </c>
      <c r="B2356" t="s">
        <v>12</v>
      </c>
      <c r="C2356">
        <v>35.76</v>
      </c>
      <c r="D2356" t="s">
        <v>13</v>
      </c>
      <c r="E2356" t="s">
        <v>22</v>
      </c>
      <c r="F2356" t="s">
        <v>38</v>
      </c>
      <c r="G2356" t="s">
        <v>332</v>
      </c>
      <c r="H2356" t="s">
        <v>39</v>
      </c>
      <c r="I2356" t="s">
        <v>20</v>
      </c>
      <c r="J2356" t="s">
        <v>333</v>
      </c>
      <c r="K2356" s="1">
        <v>0.68957732638888891</v>
      </c>
      <c r="L2356">
        <f>YEAR(Coffe_sales[[#This Row],[Date]])</f>
        <v>2024</v>
      </c>
    </row>
    <row r="2357" spans="1:12" x14ac:dyDescent="0.2">
      <c r="A2357" t="s">
        <v>27</v>
      </c>
      <c r="B2357" t="s">
        <v>12</v>
      </c>
      <c r="C2357">
        <v>35.76</v>
      </c>
      <c r="D2357" t="s">
        <v>13</v>
      </c>
      <c r="E2357" t="s">
        <v>22</v>
      </c>
      <c r="F2357" t="s">
        <v>38</v>
      </c>
      <c r="G2357" t="s">
        <v>332</v>
      </c>
      <c r="H2357" t="s">
        <v>39</v>
      </c>
      <c r="I2357" t="s">
        <v>20</v>
      </c>
      <c r="J2357" t="s">
        <v>333</v>
      </c>
      <c r="K2357" s="1">
        <v>0.69062554398148146</v>
      </c>
      <c r="L2357">
        <f>YEAR(Coffe_sales[[#This Row],[Date]])</f>
        <v>2024</v>
      </c>
    </row>
    <row r="2358" spans="1:12" x14ac:dyDescent="0.2">
      <c r="A2358" t="s">
        <v>37</v>
      </c>
      <c r="B2358" t="s">
        <v>12</v>
      </c>
      <c r="C2358">
        <v>30.86</v>
      </c>
      <c r="D2358" t="s">
        <v>26</v>
      </c>
      <c r="E2358" t="s">
        <v>29</v>
      </c>
      <c r="F2358" t="s">
        <v>38</v>
      </c>
      <c r="G2358" t="s">
        <v>332</v>
      </c>
      <c r="H2358" t="s">
        <v>39</v>
      </c>
      <c r="I2358" t="s">
        <v>20</v>
      </c>
      <c r="J2358" t="s">
        <v>333</v>
      </c>
      <c r="K2358" s="1">
        <v>0.71555064814814817</v>
      </c>
      <c r="L2358">
        <f>YEAR(Coffe_sales[[#This Row],[Date]])</f>
        <v>2024</v>
      </c>
    </row>
    <row r="2359" spans="1:12" x14ac:dyDescent="0.2">
      <c r="A2359" t="s">
        <v>37</v>
      </c>
      <c r="B2359" t="s">
        <v>12</v>
      </c>
      <c r="C2359">
        <v>30.86</v>
      </c>
      <c r="D2359" t="s">
        <v>26</v>
      </c>
      <c r="E2359" t="s">
        <v>29</v>
      </c>
      <c r="F2359" t="s">
        <v>38</v>
      </c>
      <c r="G2359" t="s">
        <v>332</v>
      </c>
      <c r="H2359" t="s">
        <v>39</v>
      </c>
      <c r="I2359" t="s">
        <v>20</v>
      </c>
      <c r="J2359" t="s">
        <v>333</v>
      </c>
      <c r="K2359" s="1">
        <v>0.71634281249999998</v>
      </c>
      <c r="L2359">
        <f>YEAR(Coffe_sales[[#This Row],[Date]])</f>
        <v>2024</v>
      </c>
    </row>
    <row r="2360" spans="1:12" x14ac:dyDescent="0.2">
      <c r="A2360" t="s">
        <v>28</v>
      </c>
      <c r="B2360" t="s">
        <v>12</v>
      </c>
      <c r="C2360">
        <v>30.86</v>
      </c>
      <c r="D2360" t="s">
        <v>26</v>
      </c>
      <c r="E2360" t="s">
        <v>29</v>
      </c>
      <c r="F2360" t="s">
        <v>38</v>
      </c>
      <c r="G2360" t="s">
        <v>332</v>
      </c>
      <c r="H2360" t="s">
        <v>39</v>
      </c>
      <c r="I2360" t="s">
        <v>20</v>
      </c>
      <c r="J2360" t="s">
        <v>333</v>
      </c>
      <c r="K2360" s="1">
        <v>0.77672089120370369</v>
      </c>
      <c r="L2360">
        <f>YEAR(Coffe_sales[[#This Row],[Date]])</f>
        <v>2024</v>
      </c>
    </row>
    <row r="2361" spans="1:12" x14ac:dyDescent="0.2">
      <c r="A2361" t="s">
        <v>39</v>
      </c>
      <c r="B2361" t="s">
        <v>12</v>
      </c>
      <c r="C2361">
        <v>35.76</v>
      </c>
      <c r="D2361" t="s">
        <v>13</v>
      </c>
      <c r="E2361" t="s">
        <v>14</v>
      </c>
      <c r="F2361" t="s">
        <v>42</v>
      </c>
      <c r="G2361" t="s">
        <v>332</v>
      </c>
      <c r="H2361" t="s">
        <v>43</v>
      </c>
      <c r="I2361" t="s">
        <v>20</v>
      </c>
      <c r="J2361" t="s">
        <v>334</v>
      </c>
      <c r="K2361" s="1">
        <v>0.32681217592592593</v>
      </c>
      <c r="L2361">
        <f>YEAR(Coffe_sales[[#This Row],[Date]])</f>
        <v>2024</v>
      </c>
    </row>
    <row r="2362" spans="1:12" x14ac:dyDescent="0.2">
      <c r="A2362" t="s">
        <v>39</v>
      </c>
      <c r="B2362" t="s">
        <v>12</v>
      </c>
      <c r="C2362">
        <v>25.96</v>
      </c>
      <c r="D2362" t="s">
        <v>24</v>
      </c>
      <c r="E2362" t="s">
        <v>14</v>
      </c>
      <c r="F2362" t="s">
        <v>42</v>
      </c>
      <c r="G2362" t="s">
        <v>332</v>
      </c>
      <c r="H2362" t="s">
        <v>43</v>
      </c>
      <c r="I2362" t="s">
        <v>20</v>
      </c>
      <c r="J2362" t="s">
        <v>334</v>
      </c>
      <c r="K2362" s="1">
        <v>0.32777052083333336</v>
      </c>
      <c r="L2362">
        <f>YEAR(Coffe_sales[[#This Row],[Date]])</f>
        <v>2024</v>
      </c>
    </row>
    <row r="2363" spans="1:12" x14ac:dyDescent="0.2">
      <c r="A2363" t="s">
        <v>123</v>
      </c>
      <c r="B2363" t="s">
        <v>12</v>
      </c>
      <c r="C2363">
        <v>30.86</v>
      </c>
      <c r="D2363" t="s">
        <v>26</v>
      </c>
      <c r="E2363" t="s">
        <v>14</v>
      </c>
      <c r="F2363" t="s">
        <v>42</v>
      </c>
      <c r="G2363" t="s">
        <v>332</v>
      </c>
      <c r="H2363" t="s">
        <v>43</v>
      </c>
      <c r="I2363" t="s">
        <v>20</v>
      </c>
      <c r="J2363" t="s">
        <v>334</v>
      </c>
      <c r="K2363" s="1">
        <v>0.34825898148148149</v>
      </c>
      <c r="L2363">
        <f>YEAR(Coffe_sales[[#This Row],[Date]])</f>
        <v>2024</v>
      </c>
    </row>
    <row r="2364" spans="1:12" x14ac:dyDescent="0.2">
      <c r="A2364" t="s">
        <v>123</v>
      </c>
      <c r="B2364" t="s">
        <v>12</v>
      </c>
      <c r="C2364">
        <v>35.76</v>
      </c>
      <c r="D2364" t="s">
        <v>31</v>
      </c>
      <c r="E2364" t="s">
        <v>14</v>
      </c>
      <c r="F2364" t="s">
        <v>42</v>
      </c>
      <c r="G2364" t="s">
        <v>332</v>
      </c>
      <c r="H2364" t="s">
        <v>43</v>
      </c>
      <c r="I2364" t="s">
        <v>20</v>
      </c>
      <c r="J2364" t="s">
        <v>334</v>
      </c>
      <c r="K2364" s="1">
        <v>0.37030618055555553</v>
      </c>
      <c r="L2364">
        <f>YEAR(Coffe_sales[[#This Row],[Date]])</f>
        <v>2024</v>
      </c>
    </row>
    <row r="2365" spans="1:12" x14ac:dyDescent="0.2">
      <c r="A2365" t="s">
        <v>35</v>
      </c>
      <c r="B2365" t="s">
        <v>12</v>
      </c>
      <c r="C2365">
        <v>25.96</v>
      </c>
      <c r="D2365" t="s">
        <v>41</v>
      </c>
      <c r="E2365" t="s">
        <v>14</v>
      </c>
      <c r="F2365" t="s">
        <v>42</v>
      </c>
      <c r="G2365" t="s">
        <v>332</v>
      </c>
      <c r="H2365" t="s">
        <v>43</v>
      </c>
      <c r="I2365" t="s">
        <v>20</v>
      </c>
      <c r="J2365" t="s">
        <v>334</v>
      </c>
      <c r="K2365" s="1">
        <v>0.46140274305555556</v>
      </c>
      <c r="L2365">
        <f>YEAR(Coffe_sales[[#This Row],[Date]])</f>
        <v>2024</v>
      </c>
    </row>
    <row r="2366" spans="1:12" x14ac:dyDescent="0.2">
      <c r="A2366" t="s">
        <v>25</v>
      </c>
      <c r="B2366" t="s">
        <v>12</v>
      </c>
      <c r="C2366">
        <v>21.06</v>
      </c>
      <c r="D2366" t="s">
        <v>45</v>
      </c>
      <c r="E2366" t="s">
        <v>22</v>
      </c>
      <c r="F2366" t="s">
        <v>42</v>
      </c>
      <c r="G2366" t="s">
        <v>332</v>
      </c>
      <c r="H2366" t="s">
        <v>43</v>
      </c>
      <c r="I2366" t="s">
        <v>20</v>
      </c>
      <c r="J2366" t="s">
        <v>334</v>
      </c>
      <c r="K2366" s="1">
        <v>0.64472159722222222</v>
      </c>
      <c r="L2366">
        <f>YEAR(Coffe_sales[[#This Row],[Date]])</f>
        <v>2024</v>
      </c>
    </row>
    <row r="2367" spans="1:12" x14ac:dyDescent="0.2">
      <c r="A2367" t="s">
        <v>27</v>
      </c>
      <c r="B2367" t="s">
        <v>12</v>
      </c>
      <c r="C2367">
        <v>35.76</v>
      </c>
      <c r="D2367" t="s">
        <v>52</v>
      </c>
      <c r="E2367" t="s">
        <v>22</v>
      </c>
      <c r="F2367" t="s">
        <v>42</v>
      </c>
      <c r="G2367" t="s">
        <v>332</v>
      </c>
      <c r="H2367" t="s">
        <v>43</v>
      </c>
      <c r="I2367" t="s">
        <v>20</v>
      </c>
      <c r="J2367" t="s">
        <v>334</v>
      </c>
      <c r="K2367" s="1">
        <v>0.67527685185185182</v>
      </c>
      <c r="L2367">
        <f>YEAR(Coffe_sales[[#This Row],[Date]])</f>
        <v>2024</v>
      </c>
    </row>
    <row r="2368" spans="1:12" x14ac:dyDescent="0.2">
      <c r="A2368" t="s">
        <v>37</v>
      </c>
      <c r="B2368" t="s">
        <v>12</v>
      </c>
      <c r="C2368">
        <v>25.96</v>
      </c>
      <c r="D2368" t="s">
        <v>24</v>
      </c>
      <c r="E2368" t="s">
        <v>29</v>
      </c>
      <c r="F2368" t="s">
        <v>42</v>
      </c>
      <c r="G2368" t="s">
        <v>332</v>
      </c>
      <c r="H2368" t="s">
        <v>43</v>
      </c>
      <c r="I2368" t="s">
        <v>20</v>
      </c>
      <c r="J2368" t="s">
        <v>334</v>
      </c>
      <c r="K2368" s="1">
        <v>0.73219554398148146</v>
      </c>
      <c r="L2368">
        <f>YEAR(Coffe_sales[[#This Row],[Date]])</f>
        <v>2024</v>
      </c>
    </row>
    <row r="2369" spans="1:12" x14ac:dyDescent="0.2">
      <c r="A2369" t="s">
        <v>28</v>
      </c>
      <c r="B2369" t="s">
        <v>12</v>
      </c>
      <c r="C2369">
        <v>35.76</v>
      </c>
      <c r="D2369" t="s">
        <v>52</v>
      </c>
      <c r="E2369" t="s">
        <v>29</v>
      </c>
      <c r="F2369" t="s">
        <v>42</v>
      </c>
      <c r="G2369" t="s">
        <v>332</v>
      </c>
      <c r="H2369" t="s">
        <v>43</v>
      </c>
      <c r="I2369" t="s">
        <v>20</v>
      </c>
      <c r="J2369" t="s">
        <v>334</v>
      </c>
      <c r="K2369" s="1">
        <v>0.75037384259259254</v>
      </c>
      <c r="L2369">
        <f>YEAR(Coffe_sales[[#This Row],[Date]])</f>
        <v>2024</v>
      </c>
    </row>
    <row r="2370" spans="1:12" x14ac:dyDescent="0.2">
      <c r="A2370" t="s">
        <v>123</v>
      </c>
      <c r="B2370" t="s">
        <v>12</v>
      </c>
      <c r="C2370">
        <v>35.76</v>
      </c>
      <c r="D2370" t="s">
        <v>13</v>
      </c>
      <c r="E2370" t="s">
        <v>14</v>
      </c>
      <c r="F2370" t="s">
        <v>47</v>
      </c>
      <c r="G2370" t="s">
        <v>332</v>
      </c>
      <c r="H2370" t="s">
        <v>48</v>
      </c>
      <c r="I2370" t="s">
        <v>20</v>
      </c>
      <c r="J2370" t="s">
        <v>335</v>
      </c>
      <c r="K2370" s="1">
        <v>0.34119373842592593</v>
      </c>
      <c r="L2370">
        <f>YEAR(Coffe_sales[[#This Row],[Date]])</f>
        <v>2024</v>
      </c>
    </row>
    <row r="2371" spans="1:12" x14ac:dyDescent="0.2">
      <c r="A2371" t="s">
        <v>46</v>
      </c>
      <c r="B2371" t="s">
        <v>12</v>
      </c>
      <c r="C2371">
        <v>30.86</v>
      </c>
      <c r="D2371" t="s">
        <v>26</v>
      </c>
      <c r="E2371" t="s">
        <v>14</v>
      </c>
      <c r="F2371" t="s">
        <v>47</v>
      </c>
      <c r="G2371" t="s">
        <v>332</v>
      </c>
      <c r="H2371" t="s">
        <v>48</v>
      </c>
      <c r="I2371" t="s">
        <v>20</v>
      </c>
      <c r="J2371" t="s">
        <v>335</v>
      </c>
      <c r="K2371" s="1">
        <v>0.39132587962962961</v>
      </c>
      <c r="L2371">
        <f>YEAR(Coffe_sales[[#This Row],[Date]])</f>
        <v>2024</v>
      </c>
    </row>
    <row r="2372" spans="1:12" x14ac:dyDescent="0.2">
      <c r="A2372" t="s">
        <v>46</v>
      </c>
      <c r="B2372" t="s">
        <v>12</v>
      </c>
      <c r="C2372">
        <v>30.86</v>
      </c>
      <c r="D2372" t="s">
        <v>26</v>
      </c>
      <c r="E2372" t="s">
        <v>14</v>
      </c>
      <c r="F2372" t="s">
        <v>47</v>
      </c>
      <c r="G2372" t="s">
        <v>332</v>
      </c>
      <c r="H2372" t="s">
        <v>48</v>
      </c>
      <c r="I2372" t="s">
        <v>20</v>
      </c>
      <c r="J2372" t="s">
        <v>335</v>
      </c>
      <c r="K2372" s="1">
        <v>0.39197998842592591</v>
      </c>
      <c r="L2372">
        <f>YEAR(Coffe_sales[[#This Row],[Date]])</f>
        <v>2024</v>
      </c>
    </row>
    <row r="2373" spans="1:12" x14ac:dyDescent="0.2">
      <c r="A2373" t="s">
        <v>35</v>
      </c>
      <c r="B2373" t="s">
        <v>12</v>
      </c>
      <c r="C2373">
        <v>25.96</v>
      </c>
      <c r="D2373" t="s">
        <v>24</v>
      </c>
      <c r="E2373" t="s">
        <v>14</v>
      </c>
      <c r="F2373" t="s">
        <v>47</v>
      </c>
      <c r="G2373" t="s">
        <v>332</v>
      </c>
      <c r="H2373" t="s">
        <v>48</v>
      </c>
      <c r="I2373" t="s">
        <v>20</v>
      </c>
      <c r="J2373" t="s">
        <v>335</v>
      </c>
      <c r="K2373" s="1">
        <v>0.47081499999999998</v>
      </c>
      <c r="L2373">
        <f>YEAR(Coffe_sales[[#This Row],[Date]])</f>
        <v>2024</v>
      </c>
    </row>
    <row r="2374" spans="1:12" x14ac:dyDescent="0.2">
      <c r="A2374" t="s">
        <v>35</v>
      </c>
      <c r="B2374" t="s">
        <v>12</v>
      </c>
      <c r="C2374">
        <v>30.86</v>
      </c>
      <c r="D2374" t="s">
        <v>26</v>
      </c>
      <c r="E2374" t="s">
        <v>14</v>
      </c>
      <c r="F2374" t="s">
        <v>47</v>
      </c>
      <c r="G2374" t="s">
        <v>332</v>
      </c>
      <c r="H2374" t="s">
        <v>48</v>
      </c>
      <c r="I2374" t="s">
        <v>20</v>
      </c>
      <c r="J2374" t="s">
        <v>335</v>
      </c>
      <c r="K2374" s="1">
        <v>0.48758773148148149</v>
      </c>
      <c r="L2374">
        <f>YEAR(Coffe_sales[[#This Row],[Date]])</f>
        <v>2024</v>
      </c>
    </row>
    <row r="2375" spans="1:12" x14ac:dyDescent="0.2">
      <c r="A2375" t="s">
        <v>35</v>
      </c>
      <c r="B2375" t="s">
        <v>12</v>
      </c>
      <c r="C2375">
        <v>30.86</v>
      </c>
      <c r="D2375" t="s">
        <v>26</v>
      </c>
      <c r="E2375" t="s">
        <v>14</v>
      </c>
      <c r="F2375" t="s">
        <v>47</v>
      </c>
      <c r="G2375" t="s">
        <v>332</v>
      </c>
      <c r="H2375" t="s">
        <v>48</v>
      </c>
      <c r="I2375" t="s">
        <v>20</v>
      </c>
      <c r="J2375" t="s">
        <v>335</v>
      </c>
      <c r="K2375" s="1">
        <v>0.4883753935185185</v>
      </c>
      <c r="L2375">
        <f>YEAR(Coffe_sales[[#This Row],[Date]])</f>
        <v>2024</v>
      </c>
    </row>
    <row r="2376" spans="1:12" x14ac:dyDescent="0.2">
      <c r="A2376" t="s">
        <v>35</v>
      </c>
      <c r="B2376" t="s">
        <v>12</v>
      </c>
      <c r="C2376">
        <v>30.86</v>
      </c>
      <c r="D2376" t="s">
        <v>26</v>
      </c>
      <c r="E2376" t="s">
        <v>14</v>
      </c>
      <c r="F2376" t="s">
        <v>47</v>
      </c>
      <c r="G2376" t="s">
        <v>332</v>
      </c>
      <c r="H2376" t="s">
        <v>48</v>
      </c>
      <c r="I2376" t="s">
        <v>20</v>
      </c>
      <c r="J2376" t="s">
        <v>335</v>
      </c>
      <c r="K2376" s="1">
        <v>0.49021334490740742</v>
      </c>
      <c r="L2376">
        <f>YEAR(Coffe_sales[[#This Row],[Date]])</f>
        <v>2024</v>
      </c>
    </row>
    <row r="2377" spans="1:12" x14ac:dyDescent="0.2">
      <c r="A2377" t="s">
        <v>91</v>
      </c>
      <c r="B2377" t="s">
        <v>12</v>
      </c>
      <c r="C2377">
        <v>35.76</v>
      </c>
      <c r="D2377" t="s">
        <v>31</v>
      </c>
      <c r="E2377" t="s">
        <v>29</v>
      </c>
      <c r="F2377" t="s">
        <v>47</v>
      </c>
      <c r="G2377" t="s">
        <v>332</v>
      </c>
      <c r="H2377" t="s">
        <v>48</v>
      </c>
      <c r="I2377" t="s">
        <v>20</v>
      </c>
      <c r="J2377" t="s">
        <v>335</v>
      </c>
      <c r="K2377" s="1">
        <v>0.86870083333333337</v>
      </c>
      <c r="L2377">
        <f>YEAR(Coffe_sales[[#This Row],[Date]])</f>
        <v>2024</v>
      </c>
    </row>
    <row r="2378" spans="1:12" x14ac:dyDescent="0.2">
      <c r="A2378" t="s">
        <v>131</v>
      </c>
      <c r="B2378" t="s">
        <v>12</v>
      </c>
      <c r="C2378">
        <v>35.76</v>
      </c>
      <c r="D2378" t="s">
        <v>13</v>
      </c>
      <c r="E2378" t="s">
        <v>29</v>
      </c>
      <c r="F2378" t="s">
        <v>47</v>
      </c>
      <c r="G2378" t="s">
        <v>332</v>
      </c>
      <c r="H2378" t="s">
        <v>48</v>
      </c>
      <c r="I2378" t="s">
        <v>20</v>
      </c>
      <c r="J2378" t="s">
        <v>335</v>
      </c>
      <c r="K2378" s="1">
        <v>0.89811188657407404</v>
      </c>
      <c r="L2378">
        <f>YEAR(Coffe_sales[[#This Row],[Date]])</f>
        <v>2024</v>
      </c>
    </row>
    <row r="2379" spans="1:12" x14ac:dyDescent="0.2">
      <c r="A2379" t="s">
        <v>131</v>
      </c>
      <c r="B2379" t="s">
        <v>12</v>
      </c>
      <c r="C2379">
        <v>35.76</v>
      </c>
      <c r="D2379" t="s">
        <v>52</v>
      </c>
      <c r="E2379" t="s">
        <v>29</v>
      </c>
      <c r="F2379" t="s">
        <v>47</v>
      </c>
      <c r="G2379" t="s">
        <v>332</v>
      </c>
      <c r="H2379" t="s">
        <v>48</v>
      </c>
      <c r="I2379" t="s">
        <v>20</v>
      </c>
      <c r="J2379" t="s">
        <v>335</v>
      </c>
      <c r="K2379" s="1">
        <v>0.89876302083333337</v>
      </c>
      <c r="L2379">
        <f>YEAR(Coffe_sales[[#This Row],[Date]])</f>
        <v>2024</v>
      </c>
    </row>
    <row r="2380" spans="1:12" x14ac:dyDescent="0.2">
      <c r="A2380" t="s">
        <v>131</v>
      </c>
      <c r="B2380" t="s">
        <v>12</v>
      </c>
      <c r="C2380">
        <v>35.76</v>
      </c>
      <c r="D2380" t="s">
        <v>21</v>
      </c>
      <c r="E2380" t="s">
        <v>29</v>
      </c>
      <c r="F2380" t="s">
        <v>47</v>
      </c>
      <c r="G2380" t="s">
        <v>332</v>
      </c>
      <c r="H2380" t="s">
        <v>48</v>
      </c>
      <c r="I2380" t="s">
        <v>20</v>
      </c>
      <c r="J2380" t="s">
        <v>335</v>
      </c>
      <c r="K2380" s="1">
        <v>0.8995237615740741</v>
      </c>
      <c r="L2380">
        <f>YEAR(Coffe_sales[[#This Row],[Date]])</f>
        <v>2024</v>
      </c>
    </row>
    <row r="2381" spans="1:12" x14ac:dyDescent="0.2">
      <c r="A2381" t="s">
        <v>125</v>
      </c>
      <c r="B2381" t="s">
        <v>12</v>
      </c>
      <c r="C2381">
        <v>30.86</v>
      </c>
      <c r="D2381" t="s">
        <v>26</v>
      </c>
      <c r="E2381" t="s">
        <v>29</v>
      </c>
      <c r="F2381" t="s">
        <v>47</v>
      </c>
      <c r="G2381" t="s">
        <v>332</v>
      </c>
      <c r="H2381" t="s">
        <v>48</v>
      </c>
      <c r="I2381" t="s">
        <v>20</v>
      </c>
      <c r="J2381" t="s">
        <v>335</v>
      </c>
      <c r="K2381" s="1">
        <v>0.93002052083333331</v>
      </c>
      <c r="L2381">
        <f>YEAR(Coffe_sales[[#This Row],[Date]])</f>
        <v>2024</v>
      </c>
    </row>
    <row r="2382" spans="1:12" x14ac:dyDescent="0.2">
      <c r="A2382" t="s">
        <v>125</v>
      </c>
      <c r="B2382" t="s">
        <v>12</v>
      </c>
      <c r="C2382">
        <v>35.76</v>
      </c>
      <c r="D2382" t="s">
        <v>52</v>
      </c>
      <c r="E2382" t="s">
        <v>29</v>
      </c>
      <c r="F2382" t="s">
        <v>47</v>
      </c>
      <c r="G2382" t="s">
        <v>332</v>
      </c>
      <c r="H2382" t="s">
        <v>48</v>
      </c>
      <c r="I2382" t="s">
        <v>20</v>
      </c>
      <c r="J2382" t="s">
        <v>335</v>
      </c>
      <c r="K2382" s="1">
        <v>0.93173708333333338</v>
      </c>
      <c r="L2382">
        <f>YEAR(Coffe_sales[[#This Row],[Date]])</f>
        <v>2024</v>
      </c>
    </row>
    <row r="2383" spans="1:12" x14ac:dyDescent="0.2">
      <c r="A2383" t="s">
        <v>123</v>
      </c>
      <c r="B2383" t="s">
        <v>12</v>
      </c>
      <c r="C2383">
        <v>25.96</v>
      </c>
      <c r="D2383" t="s">
        <v>41</v>
      </c>
      <c r="E2383" t="s">
        <v>14</v>
      </c>
      <c r="F2383" t="s">
        <v>50</v>
      </c>
      <c r="G2383" t="s">
        <v>332</v>
      </c>
      <c r="H2383" t="s">
        <v>18</v>
      </c>
      <c r="I2383" t="s">
        <v>20</v>
      </c>
      <c r="J2383" t="s">
        <v>336</v>
      </c>
      <c r="K2383" s="1">
        <v>0.35611018518518517</v>
      </c>
      <c r="L2383">
        <f>YEAR(Coffe_sales[[#This Row],[Date]])</f>
        <v>2024</v>
      </c>
    </row>
    <row r="2384" spans="1:12" x14ac:dyDescent="0.2">
      <c r="A2384" t="s">
        <v>123</v>
      </c>
      <c r="B2384" t="s">
        <v>12</v>
      </c>
      <c r="C2384">
        <v>35.76</v>
      </c>
      <c r="D2384" t="s">
        <v>13</v>
      </c>
      <c r="E2384" t="s">
        <v>14</v>
      </c>
      <c r="F2384" t="s">
        <v>50</v>
      </c>
      <c r="G2384" t="s">
        <v>332</v>
      </c>
      <c r="H2384" t="s">
        <v>18</v>
      </c>
      <c r="I2384" t="s">
        <v>20</v>
      </c>
      <c r="J2384" t="s">
        <v>336</v>
      </c>
      <c r="K2384" s="1">
        <v>0.36840583333333332</v>
      </c>
      <c r="L2384">
        <f>YEAR(Coffe_sales[[#This Row],[Date]])</f>
        <v>2024</v>
      </c>
    </row>
    <row r="2385" spans="1:12" x14ac:dyDescent="0.2">
      <c r="A2385" t="s">
        <v>123</v>
      </c>
      <c r="B2385" t="s">
        <v>12</v>
      </c>
      <c r="C2385">
        <v>35.76</v>
      </c>
      <c r="D2385" t="s">
        <v>13</v>
      </c>
      <c r="E2385" t="s">
        <v>14</v>
      </c>
      <c r="F2385" t="s">
        <v>50</v>
      </c>
      <c r="G2385" t="s">
        <v>332</v>
      </c>
      <c r="H2385" t="s">
        <v>18</v>
      </c>
      <c r="I2385" t="s">
        <v>20</v>
      </c>
      <c r="J2385" t="s">
        <v>336</v>
      </c>
      <c r="K2385" s="1">
        <v>0.36961814814814814</v>
      </c>
      <c r="L2385">
        <f>YEAR(Coffe_sales[[#This Row],[Date]])</f>
        <v>2024</v>
      </c>
    </row>
    <row r="2386" spans="1:12" x14ac:dyDescent="0.2">
      <c r="A2386" t="s">
        <v>46</v>
      </c>
      <c r="B2386" t="s">
        <v>12</v>
      </c>
      <c r="C2386">
        <v>25.96</v>
      </c>
      <c r="D2386" t="s">
        <v>24</v>
      </c>
      <c r="E2386" t="s">
        <v>14</v>
      </c>
      <c r="F2386" t="s">
        <v>50</v>
      </c>
      <c r="G2386" t="s">
        <v>332</v>
      </c>
      <c r="H2386" t="s">
        <v>18</v>
      </c>
      <c r="I2386" t="s">
        <v>20</v>
      </c>
      <c r="J2386" t="s">
        <v>336</v>
      </c>
      <c r="K2386" s="1">
        <v>0.37794149305555558</v>
      </c>
      <c r="L2386">
        <f>YEAR(Coffe_sales[[#This Row],[Date]])</f>
        <v>2024</v>
      </c>
    </row>
    <row r="2387" spans="1:12" x14ac:dyDescent="0.2">
      <c r="A2387" t="s">
        <v>11</v>
      </c>
      <c r="B2387" t="s">
        <v>12</v>
      </c>
      <c r="C2387">
        <v>30.86</v>
      </c>
      <c r="D2387" t="s">
        <v>26</v>
      </c>
      <c r="E2387" t="s">
        <v>14</v>
      </c>
      <c r="F2387" t="s">
        <v>50</v>
      </c>
      <c r="G2387" t="s">
        <v>332</v>
      </c>
      <c r="H2387" t="s">
        <v>18</v>
      </c>
      <c r="I2387" t="s">
        <v>20</v>
      </c>
      <c r="J2387" t="s">
        <v>336</v>
      </c>
      <c r="K2387" s="1">
        <v>0.43265495370370372</v>
      </c>
      <c r="L2387">
        <f>YEAR(Coffe_sales[[#This Row],[Date]])</f>
        <v>2024</v>
      </c>
    </row>
    <row r="2388" spans="1:12" x14ac:dyDescent="0.2">
      <c r="A2388" t="s">
        <v>11</v>
      </c>
      <c r="B2388" t="s">
        <v>12</v>
      </c>
      <c r="C2388">
        <v>30.86</v>
      </c>
      <c r="D2388" t="s">
        <v>26</v>
      </c>
      <c r="E2388" t="s">
        <v>14</v>
      </c>
      <c r="F2388" t="s">
        <v>50</v>
      </c>
      <c r="G2388" t="s">
        <v>332</v>
      </c>
      <c r="H2388" t="s">
        <v>18</v>
      </c>
      <c r="I2388" t="s">
        <v>20</v>
      </c>
      <c r="J2388" t="s">
        <v>336</v>
      </c>
      <c r="K2388" s="1">
        <v>0.43342581018518517</v>
      </c>
      <c r="L2388">
        <f>YEAR(Coffe_sales[[#This Row],[Date]])</f>
        <v>2024</v>
      </c>
    </row>
    <row r="2389" spans="1:12" x14ac:dyDescent="0.2">
      <c r="A2389" t="s">
        <v>11</v>
      </c>
      <c r="B2389" t="s">
        <v>12</v>
      </c>
      <c r="C2389">
        <v>30.86</v>
      </c>
      <c r="D2389" t="s">
        <v>26</v>
      </c>
      <c r="E2389" t="s">
        <v>14</v>
      </c>
      <c r="F2389" t="s">
        <v>50</v>
      </c>
      <c r="G2389" t="s">
        <v>332</v>
      </c>
      <c r="H2389" t="s">
        <v>18</v>
      </c>
      <c r="I2389" t="s">
        <v>20</v>
      </c>
      <c r="J2389" t="s">
        <v>336</v>
      </c>
      <c r="K2389" s="1">
        <v>0.43539063657407406</v>
      </c>
      <c r="L2389">
        <f>YEAR(Coffe_sales[[#This Row],[Date]])</f>
        <v>2024</v>
      </c>
    </row>
    <row r="2390" spans="1:12" x14ac:dyDescent="0.2">
      <c r="A2390" t="s">
        <v>11</v>
      </c>
      <c r="B2390" t="s">
        <v>12</v>
      </c>
      <c r="C2390">
        <v>35.76</v>
      </c>
      <c r="D2390" t="s">
        <v>21</v>
      </c>
      <c r="E2390" t="s">
        <v>14</v>
      </c>
      <c r="F2390" t="s">
        <v>50</v>
      </c>
      <c r="G2390" t="s">
        <v>332</v>
      </c>
      <c r="H2390" t="s">
        <v>18</v>
      </c>
      <c r="I2390" t="s">
        <v>20</v>
      </c>
      <c r="J2390" t="s">
        <v>336</v>
      </c>
      <c r="K2390" s="1">
        <v>0.43735644675925928</v>
      </c>
      <c r="L2390">
        <f>YEAR(Coffe_sales[[#This Row],[Date]])</f>
        <v>2024</v>
      </c>
    </row>
    <row r="2391" spans="1:12" x14ac:dyDescent="0.2">
      <c r="A2391" t="s">
        <v>35</v>
      </c>
      <c r="B2391" t="s">
        <v>12</v>
      </c>
      <c r="C2391">
        <v>30.86</v>
      </c>
      <c r="D2391" t="s">
        <v>26</v>
      </c>
      <c r="E2391" t="s">
        <v>14</v>
      </c>
      <c r="F2391" t="s">
        <v>50</v>
      </c>
      <c r="G2391" t="s">
        <v>332</v>
      </c>
      <c r="H2391" t="s">
        <v>18</v>
      </c>
      <c r="I2391" t="s">
        <v>20</v>
      </c>
      <c r="J2391" t="s">
        <v>336</v>
      </c>
      <c r="K2391" s="1">
        <v>0.49025142361111113</v>
      </c>
      <c r="L2391">
        <f>YEAR(Coffe_sales[[#This Row],[Date]])</f>
        <v>2024</v>
      </c>
    </row>
    <row r="2392" spans="1:12" x14ac:dyDescent="0.2">
      <c r="A2392" t="s">
        <v>36</v>
      </c>
      <c r="B2392" t="s">
        <v>12</v>
      </c>
      <c r="C2392">
        <v>35.76</v>
      </c>
      <c r="D2392" t="s">
        <v>21</v>
      </c>
      <c r="E2392" t="s">
        <v>22</v>
      </c>
      <c r="F2392" t="s">
        <v>50</v>
      </c>
      <c r="G2392" t="s">
        <v>332</v>
      </c>
      <c r="H2392" t="s">
        <v>18</v>
      </c>
      <c r="I2392" t="s">
        <v>20</v>
      </c>
      <c r="J2392" t="s">
        <v>336</v>
      </c>
      <c r="K2392" s="1">
        <v>0.60688318287037035</v>
      </c>
      <c r="L2392">
        <f>YEAR(Coffe_sales[[#This Row],[Date]])</f>
        <v>2024</v>
      </c>
    </row>
    <row r="2393" spans="1:12" x14ac:dyDescent="0.2">
      <c r="A2393" t="s">
        <v>123</v>
      </c>
      <c r="B2393" t="s">
        <v>12</v>
      </c>
      <c r="C2393">
        <v>25.96</v>
      </c>
      <c r="D2393" t="s">
        <v>24</v>
      </c>
      <c r="E2393" t="s">
        <v>14</v>
      </c>
      <c r="F2393" t="s">
        <v>53</v>
      </c>
      <c r="G2393" t="s">
        <v>332</v>
      </c>
      <c r="H2393" t="s">
        <v>54</v>
      </c>
      <c r="I2393" t="s">
        <v>20</v>
      </c>
      <c r="J2393" t="s">
        <v>337</v>
      </c>
      <c r="K2393" s="1">
        <v>0.3706977662037037</v>
      </c>
      <c r="L2393">
        <f>YEAR(Coffe_sales[[#This Row],[Date]])</f>
        <v>2024</v>
      </c>
    </row>
    <row r="2394" spans="1:12" x14ac:dyDescent="0.2">
      <c r="A2394" t="s">
        <v>46</v>
      </c>
      <c r="B2394" t="s">
        <v>12</v>
      </c>
      <c r="C2394">
        <v>25.96</v>
      </c>
      <c r="D2394" t="s">
        <v>41</v>
      </c>
      <c r="E2394" t="s">
        <v>14</v>
      </c>
      <c r="F2394" t="s">
        <v>53</v>
      </c>
      <c r="G2394" t="s">
        <v>332</v>
      </c>
      <c r="H2394" t="s">
        <v>54</v>
      </c>
      <c r="I2394" t="s">
        <v>20</v>
      </c>
      <c r="J2394" t="s">
        <v>337</v>
      </c>
      <c r="K2394" s="1">
        <v>0.38922262731481483</v>
      </c>
      <c r="L2394">
        <f>YEAR(Coffe_sales[[#This Row],[Date]])</f>
        <v>2024</v>
      </c>
    </row>
    <row r="2395" spans="1:12" x14ac:dyDescent="0.2">
      <c r="A2395" t="s">
        <v>11</v>
      </c>
      <c r="B2395" t="s">
        <v>12</v>
      </c>
      <c r="C2395">
        <v>30.86</v>
      </c>
      <c r="D2395" t="s">
        <v>26</v>
      </c>
      <c r="E2395" t="s">
        <v>14</v>
      </c>
      <c r="F2395" t="s">
        <v>53</v>
      </c>
      <c r="G2395" t="s">
        <v>332</v>
      </c>
      <c r="H2395" t="s">
        <v>54</v>
      </c>
      <c r="I2395" t="s">
        <v>20</v>
      </c>
      <c r="J2395" t="s">
        <v>337</v>
      </c>
      <c r="K2395" s="1">
        <v>0.41864876157407405</v>
      </c>
      <c r="L2395">
        <f>YEAR(Coffe_sales[[#This Row],[Date]])</f>
        <v>2024</v>
      </c>
    </row>
    <row r="2396" spans="1:12" x14ac:dyDescent="0.2">
      <c r="A2396" t="s">
        <v>11</v>
      </c>
      <c r="B2396" t="s">
        <v>12</v>
      </c>
      <c r="C2396">
        <v>30.86</v>
      </c>
      <c r="D2396" t="s">
        <v>26</v>
      </c>
      <c r="E2396" t="s">
        <v>14</v>
      </c>
      <c r="F2396" t="s">
        <v>53</v>
      </c>
      <c r="G2396" t="s">
        <v>332</v>
      </c>
      <c r="H2396" t="s">
        <v>54</v>
      </c>
      <c r="I2396" t="s">
        <v>20</v>
      </c>
      <c r="J2396" t="s">
        <v>337</v>
      </c>
      <c r="K2396" s="1">
        <v>0.42020298611111112</v>
      </c>
      <c r="L2396">
        <f>YEAR(Coffe_sales[[#This Row],[Date]])</f>
        <v>2024</v>
      </c>
    </row>
    <row r="2397" spans="1:12" x14ac:dyDescent="0.2">
      <c r="A2397" t="s">
        <v>35</v>
      </c>
      <c r="B2397" t="s">
        <v>12</v>
      </c>
      <c r="C2397">
        <v>35.76</v>
      </c>
      <c r="D2397" t="s">
        <v>13</v>
      </c>
      <c r="E2397" t="s">
        <v>14</v>
      </c>
      <c r="F2397" t="s">
        <v>53</v>
      </c>
      <c r="G2397" t="s">
        <v>332</v>
      </c>
      <c r="H2397" t="s">
        <v>54</v>
      </c>
      <c r="I2397" t="s">
        <v>20</v>
      </c>
      <c r="J2397" t="s">
        <v>337</v>
      </c>
      <c r="K2397" s="1">
        <v>0.48053540509259257</v>
      </c>
      <c r="L2397">
        <f>YEAR(Coffe_sales[[#This Row],[Date]])</f>
        <v>2024</v>
      </c>
    </row>
    <row r="2398" spans="1:12" x14ac:dyDescent="0.2">
      <c r="A2398" t="s">
        <v>35</v>
      </c>
      <c r="B2398" t="s">
        <v>12</v>
      </c>
      <c r="C2398">
        <v>25.96</v>
      </c>
      <c r="D2398" t="s">
        <v>24</v>
      </c>
      <c r="E2398" t="s">
        <v>14</v>
      </c>
      <c r="F2398" t="s">
        <v>53</v>
      </c>
      <c r="G2398" t="s">
        <v>332</v>
      </c>
      <c r="H2398" t="s">
        <v>54</v>
      </c>
      <c r="I2398" t="s">
        <v>20</v>
      </c>
      <c r="J2398" t="s">
        <v>337</v>
      </c>
      <c r="K2398" s="1">
        <v>0.49357126157407405</v>
      </c>
      <c r="L2398">
        <f>YEAR(Coffe_sales[[#This Row],[Date]])</f>
        <v>2024</v>
      </c>
    </row>
    <row r="2399" spans="1:12" x14ac:dyDescent="0.2">
      <c r="A2399" t="s">
        <v>36</v>
      </c>
      <c r="B2399" t="s">
        <v>12</v>
      </c>
      <c r="C2399">
        <v>35.76</v>
      </c>
      <c r="D2399" t="s">
        <v>52</v>
      </c>
      <c r="E2399" t="s">
        <v>22</v>
      </c>
      <c r="F2399" t="s">
        <v>53</v>
      </c>
      <c r="G2399" t="s">
        <v>332</v>
      </c>
      <c r="H2399" t="s">
        <v>54</v>
      </c>
      <c r="I2399" t="s">
        <v>20</v>
      </c>
      <c r="J2399" t="s">
        <v>337</v>
      </c>
      <c r="K2399" s="1">
        <v>0.60484192129629633</v>
      </c>
      <c r="L2399">
        <f>YEAR(Coffe_sales[[#This Row],[Date]])</f>
        <v>2024</v>
      </c>
    </row>
    <row r="2400" spans="1:12" x14ac:dyDescent="0.2">
      <c r="A2400" t="s">
        <v>25</v>
      </c>
      <c r="B2400" t="s">
        <v>12</v>
      </c>
      <c r="C2400">
        <v>35.76</v>
      </c>
      <c r="D2400" t="s">
        <v>13</v>
      </c>
      <c r="E2400" t="s">
        <v>22</v>
      </c>
      <c r="F2400" t="s">
        <v>53</v>
      </c>
      <c r="G2400" t="s">
        <v>332</v>
      </c>
      <c r="H2400" t="s">
        <v>54</v>
      </c>
      <c r="I2400" t="s">
        <v>20</v>
      </c>
      <c r="J2400" t="s">
        <v>337</v>
      </c>
      <c r="K2400" s="1">
        <v>0.63980863425925927</v>
      </c>
      <c r="L2400">
        <f>YEAR(Coffe_sales[[#This Row],[Date]])</f>
        <v>2024</v>
      </c>
    </row>
    <row r="2401" spans="1:12" x14ac:dyDescent="0.2">
      <c r="A2401" t="s">
        <v>27</v>
      </c>
      <c r="B2401" t="s">
        <v>12</v>
      </c>
      <c r="C2401">
        <v>35.76</v>
      </c>
      <c r="D2401" t="s">
        <v>13</v>
      </c>
      <c r="E2401" t="s">
        <v>22</v>
      </c>
      <c r="F2401" t="s">
        <v>53</v>
      </c>
      <c r="G2401" t="s">
        <v>332</v>
      </c>
      <c r="H2401" t="s">
        <v>54</v>
      </c>
      <c r="I2401" t="s">
        <v>20</v>
      </c>
      <c r="J2401" t="s">
        <v>337</v>
      </c>
      <c r="K2401" s="1">
        <v>0.66817146990740739</v>
      </c>
      <c r="L2401">
        <f>YEAR(Coffe_sales[[#This Row],[Date]])</f>
        <v>2024</v>
      </c>
    </row>
    <row r="2402" spans="1:12" x14ac:dyDescent="0.2">
      <c r="A2402" t="s">
        <v>35</v>
      </c>
      <c r="B2402" t="s">
        <v>12</v>
      </c>
      <c r="C2402">
        <v>35.76</v>
      </c>
      <c r="D2402" t="s">
        <v>13</v>
      </c>
      <c r="E2402" t="s">
        <v>14</v>
      </c>
      <c r="F2402" t="s">
        <v>15</v>
      </c>
      <c r="G2402" t="s">
        <v>332</v>
      </c>
      <c r="H2402" t="s">
        <v>17</v>
      </c>
      <c r="I2402" t="s">
        <v>20</v>
      </c>
      <c r="J2402" t="s">
        <v>338</v>
      </c>
      <c r="K2402" s="1">
        <v>0.4877140972222222</v>
      </c>
      <c r="L2402">
        <f>YEAR(Coffe_sales[[#This Row],[Date]])</f>
        <v>2024</v>
      </c>
    </row>
    <row r="2403" spans="1:12" x14ac:dyDescent="0.2">
      <c r="A2403" t="s">
        <v>27</v>
      </c>
      <c r="B2403" t="s">
        <v>12</v>
      </c>
      <c r="C2403">
        <v>35.76</v>
      </c>
      <c r="D2403" t="s">
        <v>21</v>
      </c>
      <c r="E2403" t="s">
        <v>22</v>
      </c>
      <c r="F2403" t="s">
        <v>15</v>
      </c>
      <c r="G2403" t="s">
        <v>332</v>
      </c>
      <c r="H2403" t="s">
        <v>17</v>
      </c>
      <c r="I2403" t="s">
        <v>20</v>
      </c>
      <c r="J2403" t="s">
        <v>338</v>
      </c>
      <c r="K2403" s="1">
        <v>0.68886603009259262</v>
      </c>
      <c r="L2403">
        <f>YEAR(Coffe_sales[[#This Row],[Date]])</f>
        <v>2024</v>
      </c>
    </row>
    <row r="2404" spans="1:12" x14ac:dyDescent="0.2">
      <c r="A2404" t="s">
        <v>125</v>
      </c>
      <c r="B2404" t="s">
        <v>12</v>
      </c>
      <c r="C2404">
        <v>35.76</v>
      </c>
      <c r="D2404" t="s">
        <v>13</v>
      </c>
      <c r="E2404" t="s">
        <v>29</v>
      </c>
      <c r="F2404" t="s">
        <v>15</v>
      </c>
      <c r="G2404" t="s">
        <v>332</v>
      </c>
      <c r="H2404" t="s">
        <v>17</v>
      </c>
      <c r="I2404" t="s">
        <v>20</v>
      </c>
      <c r="J2404" t="s">
        <v>338</v>
      </c>
      <c r="K2404" s="1">
        <v>0.93788513888888891</v>
      </c>
      <c r="L2404">
        <f>YEAR(Coffe_sales[[#This Row],[Date]])</f>
        <v>2024</v>
      </c>
    </row>
    <row r="2405" spans="1:12" x14ac:dyDescent="0.2">
      <c r="A2405" t="s">
        <v>125</v>
      </c>
      <c r="B2405" t="s">
        <v>12</v>
      </c>
      <c r="C2405">
        <v>35.76</v>
      </c>
      <c r="D2405" t="s">
        <v>21</v>
      </c>
      <c r="E2405" t="s">
        <v>29</v>
      </c>
      <c r="F2405" t="s">
        <v>15</v>
      </c>
      <c r="G2405" t="s">
        <v>332</v>
      </c>
      <c r="H2405" t="s">
        <v>17</v>
      </c>
      <c r="I2405" t="s">
        <v>20</v>
      </c>
      <c r="J2405" t="s">
        <v>338</v>
      </c>
      <c r="K2405" s="1">
        <v>0.93854168981481478</v>
      </c>
      <c r="L2405">
        <f>YEAR(Coffe_sales[[#This Row],[Date]])</f>
        <v>2024</v>
      </c>
    </row>
    <row r="2406" spans="1:12" x14ac:dyDescent="0.2">
      <c r="A2406" t="s">
        <v>35</v>
      </c>
      <c r="B2406" t="s">
        <v>12</v>
      </c>
      <c r="C2406">
        <v>30.86</v>
      </c>
      <c r="D2406" t="s">
        <v>26</v>
      </c>
      <c r="E2406" t="s">
        <v>14</v>
      </c>
      <c r="F2406" t="s">
        <v>32</v>
      </c>
      <c r="G2406" t="s">
        <v>332</v>
      </c>
      <c r="H2406" t="s">
        <v>33</v>
      </c>
      <c r="I2406" t="s">
        <v>20</v>
      </c>
      <c r="J2406" t="s">
        <v>339</v>
      </c>
      <c r="K2406" s="1">
        <v>0.4702562847222222</v>
      </c>
      <c r="L2406">
        <f>YEAR(Coffe_sales[[#This Row],[Date]])</f>
        <v>2024</v>
      </c>
    </row>
    <row r="2407" spans="1:12" x14ac:dyDescent="0.2">
      <c r="A2407" t="s">
        <v>36</v>
      </c>
      <c r="B2407" t="s">
        <v>12</v>
      </c>
      <c r="C2407">
        <v>25.96</v>
      </c>
      <c r="D2407" t="s">
        <v>24</v>
      </c>
      <c r="E2407" t="s">
        <v>22</v>
      </c>
      <c r="F2407" t="s">
        <v>32</v>
      </c>
      <c r="G2407" t="s">
        <v>332</v>
      </c>
      <c r="H2407" t="s">
        <v>33</v>
      </c>
      <c r="I2407" t="s">
        <v>20</v>
      </c>
      <c r="J2407" t="s">
        <v>339</v>
      </c>
      <c r="K2407" s="1">
        <v>0.59494089120370375</v>
      </c>
      <c r="L2407">
        <f>YEAR(Coffe_sales[[#This Row],[Date]])</f>
        <v>2024</v>
      </c>
    </row>
    <row r="2408" spans="1:12" x14ac:dyDescent="0.2">
      <c r="A2408" t="s">
        <v>25</v>
      </c>
      <c r="B2408" t="s">
        <v>12</v>
      </c>
      <c r="C2408">
        <v>35.76</v>
      </c>
      <c r="D2408" t="s">
        <v>13</v>
      </c>
      <c r="E2408" t="s">
        <v>22</v>
      </c>
      <c r="F2408" t="s">
        <v>32</v>
      </c>
      <c r="G2408" t="s">
        <v>332</v>
      </c>
      <c r="H2408" t="s">
        <v>33</v>
      </c>
      <c r="I2408" t="s">
        <v>20</v>
      </c>
      <c r="J2408" t="s">
        <v>339</v>
      </c>
      <c r="K2408" s="1">
        <v>0.65561181712962968</v>
      </c>
      <c r="L2408">
        <f>YEAR(Coffe_sales[[#This Row],[Date]])</f>
        <v>2024</v>
      </c>
    </row>
    <row r="2409" spans="1:12" x14ac:dyDescent="0.2">
      <c r="A2409" t="s">
        <v>30</v>
      </c>
      <c r="B2409" t="s">
        <v>12</v>
      </c>
      <c r="C2409">
        <v>35.76</v>
      </c>
      <c r="D2409" t="s">
        <v>52</v>
      </c>
      <c r="E2409" t="s">
        <v>29</v>
      </c>
      <c r="F2409" t="s">
        <v>32</v>
      </c>
      <c r="G2409" t="s">
        <v>332</v>
      </c>
      <c r="H2409" t="s">
        <v>33</v>
      </c>
      <c r="I2409" t="s">
        <v>20</v>
      </c>
      <c r="J2409" t="s">
        <v>339</v>
      </c>
      <c r="K2409" s="1">
        <v>0.79946171296296298</v>
      </c>
      <c r="L2409">
        <f>YEAR(Coffe_sales[[#This Row],[Date]])</f>
        <v>2024</v>
      </c>
    </row>
    <row r="2410" spans="1:12" x14ac:dyDescent="0.2">
      <c r="A2410" t="s">
        <v>125</v>
      </c>
      <c r="B2410" t="s">
        <v>12</v>
      </c>
      <c r="C2410">
        <v>30.86</v>
      </c>
      <c r="D2410" t="s">
        <v>26</v>
      </c>
      <c r="E2410" t="s">
        <v>29</v>
      </c>
      <c r="F2410" t="s">
        <v>32</v>
      </c>
      <c r="G2410" t="s">
        <v>332</v>
      </c>
      <c r="H2410" t="s">
        <v>33</v>
      </c>
      <c r="I2410" t="s">
        <v>20</v>
      </c>
      <c r="J2410" t="s">
        <v>339</v>
      </c>
      <c r="K2410" s="1">
        <v>0.91678233796296293</v>
      </c>
      <c r="L2410">
        <f>YEAR(Coffe_sales[[#This Row],[Date]])</f>
        <v>2024</v>
      </c>
    </row>
    <row r="2411" spans="1:12" x14ac:dyDescent="0.2">
      <c r="A2411" t="s">
        <v>125</v>
      </c>
      <c r="B2411" t="s">
        <v>12</v>
      </c>
      <c r="C2411">
        <v>25.96</v>
      </c>
      <c r="D2411" t="s">
        <v>24</v>
      </c>
      <c r="E2411" t="s">
        <v>29</v>
      </c>
      <c r="F2411" t="s">
        <v>32</v>
      </c>
      <c r="G2411" t="s">
        <v>332</v>
      </c>
      <c r="H2411" t="s">
        <v>33</v>
      </c>
      <c r="I2411" t="s">
        <v>20</v>
      </c>
      <c r="J2411" t="s">
        <v>339</v>
      </c>
      <c r="K2411" s="1">
        <v>0.93630888888888886</v>
      </c>
      <c r="L2411">
        <f>YEAR(Coffe_sales[[#This Row],[Date]])</f>
        <v>2024</v>
      </c>
    </row>
    <row r="2412" spans="1:12" x14ac:dyDescent="0.2">
      <c r="A2412" t="s">
        <v>123</v>
      </c>
      <c r="B2412" t="s">
        <v>12</v>
      </c>
      <c r="C2412">
        <v>25.96</v>
      </c>
      <c r="D2412" t="s">
        <v>41</v>
      </c>
      <c r="E2412" t="s">
        <v>14</v>
      </c>
      <c r="F2412" t="s">
        <v>38</v>
      </c>
      <c r="G2412" t="s">
        <v>332</v>
      </c>
      <c r="H2412" t="s">
        <v>39</v>
      </c>
      <c r="I2412" t="s">
        <v>20</v>
      </c>
      <c r="J2412" t="s">
        <v>340</v>
      </c>
      <c r="K2412" s="1">
        <v>0.3537647337962963</v>
      </c>
      <c r="L2412">
        <f>YEAR(Coffe_sales[[#This Row],[Date]])</f>
        <v>2024</v>
      </c>
    </row>
    <row r="2413" spans="1:12" x14ac:dyDescent="0.2">
      <c r="A2413" t="s">
        <v>11</v>
      </c>
      <c r="B2413" t="s">
        <v>12</v>
      </c>
      <c r="C2413">
        <v>35.76</v>
      </c>
      <c r="D2413" t="s">
        <v>13</v>
      </c>
      <c r="E2413" t="s">
        <v>14</v>
      </c>
      <c r="F2413" t="s">
        <v>38</v>
      </c>
      <c r="G2413" t="s">
        <v>332</v>
      </c>
      <c r="H2413" t="s">
        <v>39</v>
      </c>
      <c r="I2413" t="s">
        <v>20</v>
      </c>
      <c r="J2413" t="s">
        <v>340</v>
      </c>
      <c r="K2413" s="1">
        <v>0.44627499999999998</v>
      </c>
      <c r="L2413">
        <f>YEAR(Coffe_sales[[#This Row],[Date]])</f>
        <v>2024</v>
      </c>
    </row>
    <row r="2414" spans="1:12" x14ac:dyDescent="0.2">
      <c r="A2414" t="s">
        <v>11</v>
      </c>
      <c r="B2414" t="s">
        <v>12</v>
      </c>
      <c r="C2414">
        <v>35.76</v>
      </c>
      <c r="D2414" t="s">
        <v>52</v>
      </c>
      <c r="E2414" t="s">
        <v>14</v>
      </c>
      <c r="F2414" t="s">
        <v>38</v>
      </c>
      <c r="G2414" t="s">
        <v>332</v>
      </c>
      <c r="H2414" t="s">
        <v>39</v>
      </c>
      <c r="I2414" t="s">
        <v>20</v>
      </c>
      <c r="J2414" t="s">
        <v>340</v>
      </c>
      <c r="K2414" s="1">
        <v>0.44702229166666668</v>
      </c>
      <c r="L2414">
        <f>YEAR(Coffe_sales[[#This Row],[Date]])</f>
        <v>2024</v>
      </c>
    </row>
    <row r="2415" spans="1:12" x14ac:dyDescent="0.2">
      <c r="A2415" t="s">
        <v>20</v>
      </c>
      <c r="B2415" t="s">
        <v>12</v>
      </c>
      <c r="C2415">
        <v>25.96</v>
      </c>
      <c r="D2415" t="s">
        <v>41</v>
      </c>
      <c r="E2415" t="s">
        <v>22</v>
      </c>
      <c r="F2415" t="s">
        <v>38</v>
      </c>
      <c r="G2415" t="s">
        <v>332</v>
      </c>
      <c r="H2415" t="s">
        <v>39</v>
      </c>
      <c r="I2415" t="s">
        <v>20</v>
      </c>
      <c r="J2415" t="s">
        <v>340</v>
      </c>
      <c r="K2415" s="1">
        <v>0.53588975694444441</v>
      </c>
      <c r="L2415">
        <f>YEAR(Coffe_sales[[#This Row],[Date]])</f>
        <v>2024</v>
      </c>
    </row>
    <row r="2416" spans="1:12" x14ac:dyDescent="0.2">
      <c r="A2416" t="s">
        <v>23</v>
      </c>
      <c r="B2416" t="s">
        <v>12</v>
      </c>
      <c r="C2416">
        <v>30.86</v>
      </c>
      <c r="D2416" t="s">
        <v>26</v>
      </c>
      <c r="E2416" t="s">
        <v>22</v>
      </c>
      <c r="F2416" t="s">
        <v>38</v>
      </c>
      <c r="G2416" t="s">
        <v>332</v>
      </c>
      <c r="H2416" t="s">
        <v>39</v>
      </c>
      <c r="I2416" t="s">
        <v>20</v>
      </c>
      <c r="J2416" t="s">
        <v>340</v>
      </c>
      <c r="K2416" s="1">
        <v>0.54347456018518514</v>
      </c>
      <c r="L2416">
        <f>YEAR(Coffe_sales[[#This Row],[Date]])</f>
        <v>2024</v>
      </c>
    </row>
    <row r="2417" spans="1:12" x14ac:dyDescent="0.2">
      <c r="A2417" t="s">
        <v>23</v>
      </c>
      <c r="B2417" t="s">
        <v>12</v>
      </c>
      <c r="C2417">
        <v>30.86</v>
      </c>
      <c r="D2417" t="s">
        <v>26</v>
      </c>
      <c r="E2417" t="s">
        <v>22</v>
      </c>
      <c r="F2417" t="s">
        <v>38</v>
      </c>
      <c r="G2417" t="s">
        <v>332</v>
      </c>
      <c r="H2417" t="s">
        <v>39</v>
      </c>
      <c r="I2417" t="s">
        <v>20</v>
      </c>
      <c r="J2417" t="s">
        <v>340</v>
      </c>
      <c r="K2417" s="1">
        <v>0.54419814814814815</v>
      </c>
      <c r="L2417">
        <f>YEAR(Coffe_sales[[#This Row],[Date]])</f>
        <v>2024</v>
      </c>
    </row>
    <row r="2418" spans="1:12" x14ac:dyDescent="0.2">
      <c r="A2418" t="s">
        <v>37</v>
      </c>
      <c r="B2418" t="s">
        <v>12</v>
      </c>
      <c r="C2418">
        <v>35.76</v>
      </c>
      <c r="D2418" t="s">
        <v>52</v>
      </c>
      <c r="E2418" t="s">
        <v>29</v>
      </c>
      <c r="F2418" t="s">
        <v>38</v>
      </c>
      <c r="G2418" t="s">
        <v>332</v>
      </c>
      <c r="H2418" t="s">
        <v>39</v>
      </c>
      <c r="I2418" t="s">
        <v>20</v>
      </c>
      <c r="J2418" t="s">
        <v>340</v>
      </c>
      <c r="K2418" s="1">
        <v>0.7267279166666667</v>
      </c>
      <c r="L2418">
        <f>YEAR(Coffe_sales[[#This Row],[Date]])</f>
        <v>2024</v>
      </c>
    </row>
    <row r="2419" spans="1:12" x14ac:dyDescent="0.2">
      <c r="A2419" t="s">
        <v>28</v>
      </c>
      <c r="B2419" t="s">
        <v>12</v>
      </c>
      <c r="C2419">
        <v>21.06</v>
      </c>
      <c r="D2419" t="s">
        <v>45</v>
      </c>
      <c r="E2419" t="s">
        <v>29</v>
      </c>
      <c r="F2419" t="s">
        <v>38</v>
      </c>
      <c r="G2419" t="s">
        <v>332</v>
      </c>
      <c r="H2419" t="s">
        <v>39</v>
      </c>
      <c r="I2419" t="s">
        <v>20</v>
      </c>
      <c r="J2419" t="s">
        <v>340</v>
      </c>
      <c r="K2419" s="1">
        <v>0.77903649305555556</v>
      </c>
      <c r="L2419">
        <f>YEAR(Coffe_sales[[#This Row],[Date]])</f>
        <v>2024</v>
      </c>
    </row>
    <row r="2420" spans="1:12" x14ac:dyDescent="0.2">
      <c r="A2420" t="s">
        <v>91</v>
      </c>
      <c r="B2420" t="s">
        <v>12</v>
      </c>
      <c r="C2420">
        <v>35.76</v>
      </c>
      <c r="D2420" t="s">
        <v>52</v>
      </c>
      <c r="E2420" t="s">
        <v>29</v>
      </c>
      <c r="F2420" t="s">
        <v>38</v>
      </c>
      <c r="G2420" t="s">
        <v>332</v>
      </c>
      <c r="H2420" t="s">
        <v>39</v>
      </c>
      <c r="I2420" t="s">
        <v>20</v>
      </c>
      <c r="J2420" t="s">
        <v>340</v>
      </c>
      <c r="K2420" s="1">
        <v>0.86619137731481477</v>
      </c>
      <c r="L2420">
        <f>YEAR(Coffe_sales[[#This Row],[Date]])</f>
        <v>2024</v>
      </c>
    </row>
    <row r="2421" spans="1:12" x14ac:dyDescent="0.2">
      <c r="A2421" t="s">
        <v>131</v>
      </c>
      <c r="B2421" t="s">
        <v>12</v>
      </c>
      <c r="C2421">
        <v>30.86</v>
      </c>
      <c r="D2421" t="s">
        <v>26</v>
      </c>
      <c r="E2421" t="s">
        <v>29</v>
      </c>
      <c r="F2421" t="s">
        <v>38</v>
      </c>
      <c r="G2421" t="s">
        <v>332</v>
      </c>
      <c r="H2421" t="s">
        <v>39</v>
      </c>
      <c r="I2421" t="s">
        <v>20</v>
      </c>
      <c r="J2421" t="s">
        <v>340</v>
      </c>
      <c r="K2421" s="1">
        <v>0.89479258101851855</v>
      </c>
      <c r="L2421">
        <f>YEAR(Coffe_sales[[#This Row],[Date]])</f>
        <v>2024</v>
      </c>
    </row>
    <row r="2422" spans="1:12" x14ac:dyDescent="0.2">
      <c r="A2422" t="s">
        <v>131</v>
      </c>
      <c r="B2422" t="s">
        <v>12</v>
      </c>
      <c r="C2422">
        <v>30.86</v>
      </c>
      <c r="D2422" t="s">
        <v>26</v>
      </c>
      <c r="E2422" t="s">
        <v>29</v>
      </c>
      <c r="F2422" t="s">
        <v>38</v>
      </c>
      <c r="G2422" t="s">
        <v>332</v>
      </c>
      <c r="H2422" t="s">
        <v>39</v>
      </c>
      <c r="I2422" t="s">
        <v>20</v>
      </c>
      <c r="J2422" t="s">
        <v>340</v>
      </c>
      <c r="K2422" s="1">
        <v>0.90374447916666667</v>
      </c>
      <c r="L2422">
        <f>YEAR(Coffe_sales[[#This Row],[Date]])</f>
        <v>2024</v>
      </c>
    </row>
    <row r="2423" spans="1:12" x14ac:dyDescent="0.2">
      <c r="A2423" t="s">
        <v>123</v>
      </c>
      <c r="B2423" t="s">
        <v>12</v>
      </c>
      <c r="C2423">
        <v>35.76</v>
      </c>
      <c r="D2423" t="s">
        <v>52</v>
      </c>
      <c r="E2423" t="s">
        <v>14</v>
      </c>
      <c r="F2423" t="s">
        <v>42</v>
      </c>
      <c r="G2423" t="s">
        <v>332</v>
      </c>
      <c r="H2423" t="s">
        <v>43</v>
      </c>
      <c r="I2423" t="s">
        <v>20</v>
      </c>
      <c r="J2423" t="s">
        <v>341</v>
      </c>
      <c r="K2423" s="1">
        <v>0.35602789351851855</v>
      </c>
      <c r="L2423">
        <f>YEAR(Coffe_sales[[#This Row],[Date]])</f>
        <v>2024</v>
      </c>
    </row>
    <row r="2424" spans="1:12" x14ac:dyDescent="0.2">
      <c r="A2424" t="s">
        <v>46</v>
      </c>
      <c r="B2424" t="s">
        <v>12</v>
      </c>
      <c r="C2424">
        <v>25.96</v>
      </c>
      <c r="D2424" t="s">
        <v>24</v>
      </c>
      <c r="E2424" t="s">
        <v>14</v>
      </c>
      <c r="F2424" t="s">
        <v>42</v>
      </c>
      <c r="G2424" t="s">
        <v>332</v>
      </c>
      <c r="H2424" t="s">
        <v>43</v>
      </c>
      <c r="I2424" t="s">
        <v>20</v>
      </c>
      <c r="J2424" t="s">
        <v>341</v>
      </c>
      <c r="K2424" s="1">
        <v>0.38362467592592592</v>
      </c>
      <c r="L2424">
        <f>YEAR(Coffe_sales[[#This Row],[Date]])</f>
        <v>2024</v>
      </c>
    </row>
    <row r="2425" spans="1:12" x14ac:dyDescent="0.2">
      <c r="A2425" t="s">
        <v>46</v>
      </c>
      <c r="B2425" t="s">
        <v>12</v>
      </c>
      <c r="C2425">
        <v>30.86</v>
      </c>
      <c r="D2425" t="s">
        <v>26</v>
      </c>
      <c r="E2425" t="s">
        <v>14</v>
      </c>
      <c r="F2425" t="s">
        <v>42</v>
      </c>
      <c r="G2425" t="s">
        <v>332</v>
      </c>
      <c r="H2425" t="s">
        <v>43</v>
      </c>
      <c r="I2425" t="s">
        <v>20</v>
      </c>
      <c r="J2425" t="s">
        <v>341</v>
      </c>
      <c r="K2425" s="1">
        <v>0.39858121527777779</v>
      </c>
      <c r="L2425">
        <f>YEAR(Coffe_sales[[#This Row],[Date]])</f>
        <v>2024</v>
      </c>
    </row>
    <row r="2426" spans="1:12" x14ac:dyDescent="0.2">
      <c r="A2426" t="s">
        <v>23</v>
      </c>
      <c r="B2426" t="s">
        <v>12</v>
      </c>
      <c r="C2426">
        <v>25.96</v>
      </c>
      <c r="D2426" t="s">
        <v>41</v>
      </c>
      <c r="E2426" t="s">
        <v>22</v>
      </c>
      <c r="F2426" t="s">
        <v>42</v>
      </c>
      <c r="G2426" t="s">
        <v>332</v>
      </c>
      <c r="H2426" t="s">
        <v>43</v>
      </c>
      <c r="I2426" t="s">
        <v>20</v>
      </c>
      <c r="J2426" t="s">
        <v>341</v>
      </c>
      <c r="K2426" s="1">
        <v>0.54230223379629627</v>
      </c>
      <c r="L2426">
        <f>YEAR(Coffe_sales[[#This Row],[Date]])</f>
        <v>2024</v>
      </c>
    </row>
    <row r="2427" spans="1:12" x14ac:dyDescent="0.2">
      <c r="A2427" t="s">
        <v>131</v>
      </c>
      <c r="B2427" t="s">
        <v>12</v>
      </c>
      <c r="C2427">
        <v>35.76</v>
      </c>
      <c r="D2427" t="s">
        <v>31</v>
      </c>
      <c r="E2427" t="s">
        <v>29</v>
      </c>
      <c r="F2427" t="s">
        <v>42</v>
      </c>
      <c r="G2427" t="s">
        <v>332</v>
      </c>
      <c r="H2427" t="s">
        <v>43</v>
      </c>
      <c r="I2427" t="s">
        <v>20</v>
      </c>
      <c r="J2427" t="s">
        <v>341</v>
      </c>
      <c r="K2427" s="1">
        <v>0.890176724537037</v>
      </c>
      <c r="L2427">
        <f>YEAR(Coffe_sales[[#This Row],[Date]])</f>
        <v>2024</v>
      </c>
    </row>
    <row r="2428" spans="1:12" x14ac:dyDescent="0.2">
      <c r="A2428" t="s">
        <v>20</v>
      </c>
      <c r="B2428" t="s">
        <v>12</v>
      </c>
      <c r="C2428">
        <v>25.96</v>
      </c>
      <c r="D2428" t="s">
        <v>41</v>
      </c>
      <c r="E2428" t="s">
        <v>22</v>
      </c>
      <c r="F2428" t="s">
        <v>47</v>
      </c>
      <c r="G2428" t="s">
        <v>332</v>
      </c>
      <c r="H2428" t="s">
        <v>48</v>
      </c>
      <c r="I2428" t="s">
        <v>20</v>
      </c>
      <c r="J2428" t="s">
        <v>342</v>
      </c>
      <c r="K2428" s="1">
        <v>0.5179369791666667</v>
      </c>
      <c r="L2428">
        <f>YEAR(Coffe_sales[[#This Row],[Date]])</f>
        <v>2024</v>
      </c>
    </row>
    <row r="2429" spans="1:12" x14ac:dyDescent="0.2">
      <c r="A2429" t="s">
        <v>28</v>
      </c>
      <c r="B2429" t="s">
        <v>12</v>
      </c>
      <c r="C2429">
        <v>35.76</v>
      </c>
      <c r="D2429" t="s">
        <v>21</v>
      </c>
      <c r="E2429" t="s">
        <v>29</v>
      </c>
      <c r="F2429" t="s">
        <v>47</v>
      </c>
      <c r="G2429" t="s">
        <v>332</v>
      </c>
      <c r="H2429" t="s">
        <v>48</v>
      </c>
      <c r="I2429" t="s">
        <v>20</v>
      </c>
      <c r="J2429" t="s">
        <v>342</v>
      </c>
      <c r="K2429" s="1">
        <v>0.76525278935185181</v>
      </c>
      <c r="L2429">
        <f>YEAR(Coffe_sales[[#This Row],[Date]])</f>
        <v>2024</v>
      </c>
    </row>
    <row r="2430" spans="1:12" x14ac:dyDescent="0.2">
      <c r="A2430" t="s">
        <v>39</v>
      </c>
      <c r="B2430" t="s">
        <v>12</v>
      </c>
      <c r="C2430">
        <v>35.76</v>
      </c>
      <c r="D2430" t="s">
        <v>13</v>
      </c>
      <c r="E2430" t="s">
        <v>14</v>
      </c>
      <c r="F2430" t="s">
        <v>50</v>
      </c>
      <c r="G2430" t="s">
        <v>332</v>
      </c>
      <c r="H2430" t="s">
        <v>18</v>
      </c>
      <c r="I2430" t="s">
        <v>20</v>
      </c>
      <c r="J2430" t="s">
        <v>343</v>
      </c>
      <c r="K2430" s="1">
        <v>0.32622672453703705</v>
      </c>
      <c r="L2430">
        <f>YEAR(Coffe_sales[[#This Row],[Date]])</f>
        <v>2024</v>
      </c>
    </row>
    <row r="2431" spans="1:12" x14ac:dyDescent="0.2">
      <c r="A2431" t="s">
        <v>11</v>
      </c>
      <c r="B2431" t="s">
        <v>12</v>
      </c>
      <c r="C2431">
        <v>25.96</v>
      </c>
      <c r="D2431" t="s">
        <v>41</v>
      </c>
      <c r="E2431" t="s">
        <v>14</v>
      </c>
      <c r="F2431" t="s">
        <v>50</v>
      </c>
      <c r="G2431" t="s">
        <v>332</v>
      </c>
      <c r="H2431" t="s">
        <v>18</v>
      </c>
      <c r="I2431" t="s">
        <v>20</v>
      </c>
      <c r="J2431" t="s">
        <v>343</v>
      </c>
      <c r="K2431" s="1">
        <v>0.4484712847222222</v>
      </c>
      <c r="L2431">
        <f>YEAR(Coffe_sales[[#This Row],[Date]])</f>
        <v>2024</v>
      </c>
    </row>
    <row r="2432" spans="1:12" x14ac:dyDescent="0.2">
      <c r="A2432" t="s">
        <v>20</v>
      </c>
      <c r="B2432" t="s">
        <v>12</v>
      </c>
      <c r="C2432">
        <v>35.76</v>
      </c>
      <c r="D2432" t="s">
        <v>21</v>
      </c>
      <c r="E2432" t="s">
        <v>22</v>
      </c>
      <c r="F2432" t="s">
        <v>50</v>
      </c>
      <c r="G2432" t="s">
        <v>332</v>
      </c>
      <c r="H2432" t="s">
        <v>18</v>
      </c>
      <c r="I2432" t="s">
        <v>20</v>
      </c>
      <c r="J2432" t="s">
        <v>343</v>
      </c>
      <c r="K2432" s="1">
        <v>0.5091003819444444</v>
      </c>
      <c r="L2432">
        <f>YEAR(Coffe_sales[[#This Row],[Date]])</f>
        <v>2024</v>
      </c>
    </row>
    <row r="2433" spans="1:12" x14ac:dyDescent="0.2">
      <c r="A2433" t="s">
        <v>20</v>
      </c>
      <c r="B2433" t="s">
        <v>12</v>
      </c>
      <c r="C2433">
        <v>21.06</v>
      </c>
      <c r="D2433" t="s">
        <v>45</v>
      </c>
      <c r="E2433" t="s">
        <v>22</v>
      </c>
      <c r="F2433" t="s">
        <v>50</v>
      </c>
      <c r="G2433" t="s">
        <v>332</v>
      </c>
      <c r="H2433" t="s">
        <v>18</v>
      </c>
      <c r="I2433" t="s">
        <v>20</v>
      </c>
      <c r="J2433" t="s">
        <v>343</v>
      </c>
      <c r="K2433" s="1">
        <v>0.53944172453703698</v>
      </c>
      <c r="L2433">
        <f>YEAR(Coffe_sales[[#This Row],[Date]])</f>
        <v>2024</v>
      </c>
    </row>
    <row r="2434" spans="1:12" x14ac:dyDescent="0.2">
      <c r="A2434" t="s">
        <v>37</v>
      </c>
      <c r="B2434" t="s">
        <v>12</v>
      </c>
      <c r="C2434">
        <v>35.76</v>
      </c>
      <c r="D2434" t="s">
        <v>31</v>
      </c>
      <c r="E2434" t="s">
        <v>29</v>
      </c>
      <c r="F2434" t="s">
        <v>50</v>
      </c>
      <c r="G2434" t="s">
        <v>332</v>
      </c>
      <c r="H2434" t="s">
        <v>18</v>
      </c>
      <c r="I2434" t="s">
        <v>20</v>
      </c>
      <c r="J2434" t="s">
        <v>343</v>
      </c>
      <c r="K2434" s="1">
        <v>0.74960017361111109</v>
      </c>
      <c r="L2434">
        <f>YEAR(Coffe_sales[[#This Row],[Date]])</f>
        <v>2024</v>
      </c>
    </row>
    <row r="2435" spans="1:12" x14ac:dyDescent="0.2">
      <c r="A2435" t="s">
        <v>131</v>
      </c>
      <c r="B2435" t="s">
        <v>12</v>
      </c>
      <c r="C2435">
        <v>35.76</v>
      </c>
      <c r="D2435" t="s">
        <v>13</v>
      </c>
      <c r="E2435" t="s">
        <v>29</v>
      </c>
      <c r="F2435" t="s">
        <v>50</v>
      </c>
      <c r="G2435" t="s">
        <v>332</v>
      </c>
      <c r="H2435" t="s">
        <v>18</v>
      </c>
      <c r="I2435" t="s">
        <v>20</v>
      </c>
      <c r="J2435" t="s">
        <v>343</v>
      </c>
      <c r="K2435" s="1">
        <v>0.87578216435185186</v>
      </c>
      <c r="L2435">
        <f>YEAR(Coffe_sales[[#This Row],[Date]])</f>
        <v>2024</v>
      </c>
    </row>
    <row r="2436" spans="1:12" x14ac:dyDescent="0.2">
      <c r="A2436" t="s">
        <v>131</v>
      </c>
      <c r="B2436" t="s">
        <v>12</v>
      </c>
      <c r="C2436">
        <v>35.76</v>
      </c>
      <c r="D2436" t="s">
        <v>13</v>
      </c>
      <c r="E2436" t="s">
        <v>29</v>
      </c>
      <c r="F2436" t="s">
        <v>50</v>
      </c>
      <c r="G2436" t="s">
        <v>332</v>
      </c>
      <c r="H2436" t="s">
        <v>18</v>
      </c>
      <c r="I2436" t="s">
        <v>20</v>
      </c>
      <c r="J2436" t="s">
        <v>343</v>
      </c>
      <c r="K2436" s="1">
        <v>0.88769898148148152</v>
      </c>
      <c r="L2436">
        <f>YEAR(Coffe_sales[[#This Row],[Date]])</f>
        <v>2024</v>
      </c>
    </row>
    <row r="2437" spans="1:12" x14ac:dyDescent="0.2">
      <c r="A2437" t="s">
        <v>39</v>
      </c>
      <c r="B2437" t="s">
        <v>12</v>
      </c>
      <c r="C2437">
        <v>30.86</v>
      </c>
      <c r="D2437" t="s">
        <v>26</v>
      </c>
      <c r="E2437" t="s">
        <v>14</v>
      </c>
      <c r="F2437" t="s">
        <v>53</v>
      </c>
      <c r="G2437" t="s">
        <v>332</v>
      </c>
      <c r="H2437" t="s">
        <v>54</v>
      </c>
      <c r="I2437" t="s">
        <v>20</v>
      </c>
      <c r="J2437" t="s">
        <v>344</v>
      </c>
      <c r="K2437" s="1">
        <v>0.33230539351851851</v>
      </c>
      <c r="L2437">
        <f>YEAR(Coffe_sales[[#This Row],[Date]])</f>
        <v>2024</v>
      </c>
    </row>
    <row r="2438" spans="1:12" x14ac:dyDescent="0.2">
      <c r="A2438" t="s">
        <v>20</v>
      </c>
      <c r="B2438" t="s">
        <v>12</v>
      </c>
      <c r="C2438">
        <v>25.96</v>
      </c>
      <c r="D2438" t="s">
        <v>24</v>
      </c>
      <c r="E2438" t="s">
        <v>22</v>
      </c>
      <c r="F2438" t="s">
        <v>53</v>
      </c>
      <c r="G2438" t="s">
        <v>332</v>
      </c>
      <c r="H2438" t="s">
        <v>54</v>
      </c>
      <c r="I2438" t="s">
        <v>20</v>
      </c>
      <c r="J2438" t="s">
        <v>344</v>
      </c>
      <c r="K2438" s="1">
        <v>0.53430175925925927</v>
      </c>
      <c r="L2438">
        <f>YEAR(Coffe_sales[[#This Row],[Date]])</f>
        <v>2024</v>
      </c>
    </row>
    <row r="2439" spans="1:12" x14ac:dyDescent="0.2">
      <c r="A2439" t="s">
        <v>27</v>
      </c>
      <c r="B2439" t="s">
        <v>12</v>
      </c>
      <c r="C2439">
        <v>21.06</v>
      </c>
      <c r="D2439" t="s">
        <v>45</v>
      </c>
      <c r="E2439" t="s">
        <v>22</v>
      </c>
      <c r="F2439" t="s">
        <v>53</v>
      </c>
      <c r="G2439" t="s">
        <v>332</v>
      </c>
      <c r="H2439" t="s">
        <v>54</v>
      </c>
      <c r="I2439" t="s">
        <v>20</v>
      </c>
      <c r="J2439" t="s">
        <v>344</v>
      </c>
      <c r="K2439" s="1">
        <v>0.7048855092592593</v>
      </c>
      <c r="L2439">
        <f>YEAR(Coffe_sales[[#This Row],[Date]])</f>
        <v>2024</v>
      </c>
    </row>
    <row r="2440" spans="1:12" x14ac:dyDescent="0.2">
      <c r="A2440" t="s">
        <v>27</v>
      </c>
      <c r="B2440" t="s">
        <v>12</v>
      </c>
      <c r="C2440">
        <v>21.06</v>
      </c>
      <c r="D2440" t="s">
        <v>45</v>
      </c>
      <c r="E2440" t="s">
        <v>22</v>
      </c>
      <c r="F2440" t="s">
        <v>53</v>
      </c>
      <c r="G2440" t="s">
        <v>332</v>
      </c>
      <c r="H2440" t="s">
        <v>54</v>
      </c>
      <c r="I2440" t="s">
        <v>20</v>
      </c>
      <c r="J2440" t="s">
        <v>344</v>
      </c>
      <c r="K2440" s="1">
        <v>0.70542973379629625</v>
      </c>
      <c r="L2440">
        <f>YEAR(Coffe_sales[[#This Row],[Date]])</f>
        <v>2024</v>
      </c>
    </row>
    <row r="2441" spans="1:12" x14ac:dyDescent="0.2">
      <c r="A2441" t="s">
        <v>27</v>
      </c>
      <c r="B2441" t="s">
        <v>12</v>
      </c>
      <c r="C2441">
        <v>25.96</v>
      </c>
      <c r="D2441" t="s">
        <v>24</v>
      </c>
      <c r="E2441" t="s">
        <v>22</v>
      </c>
      <c r="F2441" t="s">
        <v>53</v>
      </c>
      <c r="G2441" t="s">
        <v>332</v>
      </c>
      <c r="H2441" t="s">
        <v>54</v>
      </c>
      <c r="I2441" t="s">
        <v>20</v>
      </c>
      <c r="J2441" t="s">
        <v>344</v>
      </c>
      <c r="K2441" s="1">
        <v>0.70626291666666663</v>
      </c>
      <c r="L2441">
        <f>YEAR(Coffe_sales[[#This Row],[Date]])</f>
        <v>2024</v>
      </c>
    </row>
    <row r="2442" spans="1:12" x14ac:dyDescent="0.2">
      <c r="A2442" t="s">
        <v>30</v>
      </c>
      <c r="B2442" t="s">
        <v>12</v>
      </c>
      <c r="C2442">
        <v>35.76</v>
      </c>
      <c r="D2442" t="s">
        <v>31</v>
      </c>
      <c r="E2442" t="s">
        <v>29</v>
      </c>
      <c r="F2442" t="s">
        <v>53</v>
      </c>
      <c r="G2442" t="s">
        <v>332</v>
      </c>
      <c r="H2442" t="s">
        <v>54</v>
      </c>
      <c r="I2442" t="s">
        <v>20</v>
      </c>
      <c r="J2442" t="s">
        <v>344</v>
      </c>
      <c r="K2442" s="1">
        <v>0.82639969907407407</v>
      </c>
      <c r="L2442">
        <f>YEAR(Coffe_sales[[#This Row],[Date]])</f>
        <v>2024</v>
      </c>
    </row>
    <row r="2443" spans="1:12" x14ac:dyDescent="0.2">
      <c r="A2443" t="s">
        <v>30</v>
      </c>
      <c r="B2443" t="s">
        <v>12</v>
      </c>
      <c r="C2443">
        <v>35.76</v>
      </c>
      <c r="D2443" t="s">
        <v>31</v>
      </c>
      <c r="E2443" t="s">
        <v>29</v>
      </c>
      <c r="F2443" t="s">
        <v>53</v>
      </c>
      <c r="G2443" t="s">
        <v>332</v>
      </c>
      <c r="H2443" t="s">
        <v>54</v>
      </c>
      <c r="I2443" t="s">
        <v>20</v>
      </c>
      <c r="J2443" t="s">
        <v>344</v>
      </c>
      <c r="K2443" s="1">
        <v>0.82705710648148145</v>
      </c>
      <c r="L2443">
        <f>YEAR(Coffe_sales[[#This Row],[Date]])</f>
        <v>2024</v>
      </c>
    </row>
    <row r="2444" spans="1:12" x14ac:dyDescent="0.2">
      <c r="A2444" t="s">
        <v>20</v>
      </c>
      <c r="B2444" t="s">
        <v>12</v>
      </c>
      <c r="C2444">
        <v>25.96</v>
      </c>
      <c r="D2444" t="s">
        <v>24</v>
      </c>
      <c r="E2444" t="s">
        <v>22</v>
      </c>
      <c r="F2444" t="s">
        <v>15</v>
      </c>
      <c r="G2444" t="s">
        <v>332</v>
      </c>
      <c r="H2444" t="s">
        <v>17</v>
      </c>
      <c r="I2444" t="s">
        <v>20</v>
      </c>
      <c r="J2444" t="s">
        <v>345</v>
      </c>
      <c r="K2444" s="1">
        <v>0.5190445949074074</v>
      </c>
      <c r="L2444">
        <f>YEAR(Coffe_sales[[#This Row],[Date]])</f>
        <v>2024</v>
      </c>
    </row>
    <row r="2445" spans="1:12" x14ac:dyDescent="0.2">
      <c r="A2445" t="s">
        <v>20</v>
      </c>
      <c r="B2445" t="s">
        <v>12</v>
      </c>
      <c r="C2445">
        <v>25.96</v>
      </c>
      <c r="D2445" t="s">
        <v>24</v>
      </c>
      <c r="E2445" t="s">
        <v>22</v>
      </c>
      <c r="F2445" t="s">
        <v>15</v>
      </c>
      <c r="G2445" t="s">
        <v>332</v>
      </c>
      <c r="H2445" t="s">
        <v>17</v>
      </c>
      <c r="I2445" t="s">
        <v>20</v>
      </c>
      <c r="J2445" t="s">
        <v>345</v>
      </c>
      <c r="K2445" s="1">
        <v>0.53687004629629631</v>
      </c>
      <c r="L2445">
        <f>YEAR(Coffe_sales[[#This Row],[Date]])</f>
        <v>2024</v>
      </c>
    </row>
    <row r="2446" spans="1:12" x14ac:dyDescent="0.2">
      <c r="A2446" t="s">
        <v>20</v>
      </c>
      <c r="B2446" t="s">
        <v>12</v>
      </c>
      <c r="C2446">
        <v>35.76</v>
      </c>
      <c r="D2446" t="s">
        <v>21</v>
      </c>
      <c r="E2446" t="s">
        <v>22</v>
      </c>
      <c r="F2446" t="s">
        <v>15</v>
      </c>
      <c r="G2446" t="s">
        <v>332</v>
      </c>
      <c r="H2446" t="s">
        <v>17</v>
      </c>
      <c r="I2446" t="s">
        <v>20</v>
      </c>
      <c r="J2446" t="s">
        <v>345</v>
      </c>
      <c r="K2446" s="1">
        <v>0.53796488425925926</v>
      </c>
      <c r="L2446">
        <f>YEAR(Coffe_sales[[#This Row],[Date]])</f>
        <v>2024</v>
      </c>
    </row>
    <row r="2447" spans="1:12" x14ac:dyDescent="0.2">
      <c r="A2447" t="s">
        <v>36</v>
      </c>
      <c r="B2447" t="s">
        <v>12</v>
      </c>
      <c r="C2447">
        <v>35.76</v>
      </c>
      <c r="D2447" t="s">
        <v>21</v>
      </c>
      <c r="E2447" t="s">
        <v>22</v>
      </c>
      <c r="F2447" t="s">
        <v>15</v>
      </c>
      <c r="G2447" t="s">
        <v>332</v>
      </c>
      <c r="H2447" t="s">
        <v>17</v>
      </c>
      <c r="I2447" t="s">
        <v>20</v>
      </c>
      <c r="J2447" t="s">
        <v>345</v>
      </c>
      <c r="K2447" s="1">
        <v>0.58469980324074078</v>
      </c>
      <c r="L2447">
        <f>YEAR(Coffe_sales[[#This Row],[Date]])</f>
        <v>2024</v>
      </c>
    </row>
    <row r="2448" spans="1:12" x14ac:dyDescent="0.2">
      <c r="A2448" t="s">
        <v>27</v>
      </c>
      <c r="B2448" t="s">
        <v>12</v>
      </c>
      <c r="C2448">
        <v>35.76</v>
      </c>
      <c r="D2448" t="s">
        <v>31</v>
      </c>
      <c r="E2448" t="s">
        <v>22</v>
      </c>
      <c r="F2448" t="s">
        <v>15</v>
      </c>
      <c r="G2448" t="s">
        <v>332</v>
      </c>
      <c r="H2448" t="s">
        <v>17</v>
      </c>
      <c r="I2448" t="s">
        <v>20</v>
      </c>
      <c r="J2448" t="s">
        <v>345</v>
      </c>
      <c r="K2448" s="1">
        <v>0.68291548611111108</v>
      </c>
      <c r="L2448">
        <f>YEAR(Coffe_sales[[#This Row],[Date]])</f>
        <v>2024</v>
      </c>
    </row>
    <row r="2449" spans="1:12" x14ac:dyDescent="0.2">
      <c r="A2449" t="s">
        <v>30</v>
      </c>
      <c r="B2449" t="s">
        <v>12</v>
      </c>
      <c r="C2449">
        <v>35.76</v>
      </c>
      <c r="D2449" t="s">
        <v>52</v>
      </c>
      <c r="E2449" t="s">
        <v>29</v>
      </c>
      <c r="F2449" t="s">
        <v>15</v>
      </c>
      <c r="G2449" t="s">
        <v>332</v>
      </c>
      <c r="H2449" t="s">
        <v>17</v>
      </c>
      <c r="I2449" t="s">
        <v>20</v>
      </c>
      <c r="J2449" t="s">
        <v>345</v>
      </c>
      <c r="K2449" s="1">
        <v>0.80490521990740738</v>
      </c>
      <c r="L2449">
        <f>YEAR(Coffe_sales[[#This Row],[Date]])</f>
        <v>2024</v>
      </c>
    </row>
    <row r="2450" spans="1:12" x14ac:dyDescent="0.2">
      <c r="A2450" t="s">
        <v>30</v>
      </c>
      <c r="B2450" t="s">
        <v>12</v>
      </c>
      <c r="C2450">
        <v>35.76</v>
      </c>
      <c r="D2450" t="s">
        <v>52</v>
      </c>
      <c r="E2450" t="s">
        <v>29</v>
      </c>
      <c r="F2450" t="s">
        <v>15</v>
      </c>
      <c r="G2450" t="s">
        <v>332</v>
      </c>
      <c r="H2450" t="s">
        <v>17</v>
      </c>
      <c r="I2450" t="s">
        <v>20</v>
      </c>
      <c r="J2450" t="s">
        <v>345</v>
      </c>
      <c r="K2450" s="1">
        <v>0.80567267361111106</v>
      </c>
      <c r="L2450">
        <f>YEAR(Coffe_sales[[#This Row],[Date]])</f>
        <v>2024</v>
      </c>
    </row>
    <row r="2451" spans="1:12" x14ac:dyDescent="0.2">
      <c r="A2451" t="s">
        <v>131</v>
      </c>
      <c r="B2451" t="s">
        <v>12</v>
      </c>
      <c r="C2451">
        <v>35.76</v>
      </c>
      <c r="D2451" t="s">
        <v>13</v>
      </c>
      <c r="E2451" t="s">
        <v>29</v>
      </c>
      <c r="F2451" t="s">
        <v>15</v>
      </c>
      <c r="G2451" t="s">
        <v>332</v>
      </c>
      <c r="H2451" t="s">
        <v>17</v>
      </c>
      <c r="I2451" t="s">
        <v>20</v>
      </c>
      <c r="J2451" t="s">
        <v>345</v>
      </c>
      <c r="K2451" s="1">
        <v>0.89979114583333331</v>
      </c>
      <c r="L2451">
        <f>YEAR(Coffe_sales[[#This Row],[Date]])</f>
        <v>2024</v>
      </c>
    </row>
    <row r="2452" spans="1:12" x14ac:dyDescent="0.2">
      <c r="A2452" t="s">
        <v>123</v>
      </c>
      <c r="B2452" t="s">
        <v>12</v>
      </c>
      <c r="C2452">
        <v>30.86</v>
      </c>
      <c r="D2452" t="s">
        <v>26</v>
      </c>
      <c r="E2452" t="s">
        <v>14</v>
      </c>
      <c r="F2452" t="s">
        <v>32</v>
      </c>
      <c r="G2452" t="s">
        <v>332</v>
      </c>
      <c r="H2452" t="s">
        <v>33</v>
      </c>
      <c r="I2452" t="s">
        <v>20</v>
      </c>
      <c r="J2452" t="s">
        <v>346</v>
      </c>
      <c r="K2452" s="1">
        <v>0.35245432870370369</v>
      </c>
      <c r="L2452">
        <f>YEAR(Coffe_sales[[#This Row],[Date]])</f>
        <v>2024</v>
      </c>
    </row>
    <row r="2453" spans="1:12" x14ac:dyDescent="0.2">
      <c r="A2453" t="s">
        <v>46</v>
      </c>
      <c r="B2453" t="s">
        <v>12</v>
      </c>
      <c r="C2453">
        <v>35.76</v>
      </c>
      <c r="D2453" t="s">
        <v>31</v>
      </c>
      <c r="E2453" t="s">
        <v>14</v>
      </c>
      <c r="F2453" t="s">
        <v>32</v>
      </c>
      <c r="G2453" t="s">
        <v>332</v>
      </c>
      <c r="H2453" t="s">
        <v>33</v>
      </c>
      <c r="I2453" t="s">
        <v>20</v>
      </c>
      <c r="J2453" t="s">
        <v>346</v>
      </c>
      <c r="K2453" s="1">
        <v>0.3771478240740741</v>
      </c>
      <c r="L2453">
        <f>YEAR(Coffe_sales[[#This Row],[Date]])</f>
        <v>2024</v>
      </c>
    </row>
    <row r="2454" spans="1:12" x14ac:dyDescent="0.2">
      <c r="A2454" t="s">
        <v>35</v>
      </c>
      <c r="B2454" t="s">
        <v>12</v>
      </c>
      <c r="C2454">
        <v>35.76</v>
      </c>
      <c r="D2454" t="s">
        <v>52</v>
      </c>
      <c r="E2454" t="s">
        <v>14</v>
      </c>
      <c r="F2454" t="s">
        <v>32</v>
      </c>
      <c r="G2454" t="s">
        <v>332</v>
      </c>
      <c r="H2454" t="s">
        <v>33</v>
      </c>
      <c r="I2454" t="s">
        <v>20</v>
      </c>
      <c r="J2454" t="s">
        <v>346</v>
      </c>
      <c r="K2454" s="1">
        <v>0.48747476851851851</v>
      </c>
      <c r="L2454">
        <f>YEAR(Coffe_sales[[#This Row],[Date]])</f>
        <v>2024</v>
      </c>
    </row>
    <row r="2455" spans="1:12" x14ac:dyDescent="0.2">
      <c r="A2455" t="s">
        <v>23</v>
      </c>
      <c r="B2455" t="s">
        <v>12</v>
      </c>
      <c r="C2455">
        <v>25.96</v>
      </c>
      <c r="D2455" t="s">
        <v>24</v>
      </c>
      <c r="E2455" t="s">
        <v>22</v>
      </c>
      <c r="F2455" t="s">
        <v>32</v>
      </c>
      <c r="G2455" t="s">
        <v>332</v>
      </c>
      <c r="H2455" t="s">
        <v>33</v>
      </c>
      <c r="I2455" t="s">
        <v>20</v>
      </c>
      <c r="J2455" t="s">
        <v>346</v>
      </c>
      <c r="K2455" s="1">
        <v>0.55494251157407404</v>
      </c>
      <c r="L2455">
        <f>YEAR(Coffe_sales[[#This Row],[Date]])</f>
        <v>2024</v>
      </c>
    </row>
    <row r="2456" spans="1:12" x14ac:dyDescent="0.2">
      <c r="A2456" t="s">
        <v>23</v>
      </c>
      <c r="B2456" t="s">
        <v>12</v>
      </c>
      <c r="C2456">
        <v>35.76</v>
      </c>
      <c r="D2456" t="s">
        <v>13</v>
      </c>
      <c r="E2456" t="s">
        <v>22</v>
      </c>
      <c r="F2456" t="s">
        <v>32</v>
      </c>
      <c r="G2456" t="s">
        <v>332</v>
      </c>
      <c r="H2456" t="s">
        <v>33</v>
      </c>
      <c r="I2456" t="s">
        <v>20</v>
      </c>
      <c r="J2456" t="s">
        <v>346</v>
      </c>
      <c r="K2456" s="1">
        <v>0.55565512731481481</v>
      </c>
      <c r="L2456">
        <f>YEAR(Coffe_sales[[#This Row],[Date]])</f>
        <v>2024</v>
      </c>
    </row>
    <row r="2457" spans="1:12" x14ac:dyDescent="0.2">
      <c r="A2457" t="s">
        <v>27</v>
      </c>
      <c r="B2457" t="s">
        <v>12</v>
      </c>
      <c r="C2457">
        <v>35.76</v>
      </c>
      <c r="D2457" t="s">
        <v>31</v>
      </c>
      <c r="E2457" t="s">
        <v>22</v>
      </c>
      <c r="F2457" t="s">
        <v>32</v>
      </c>
      <c r="G2457" t="s">
        <v>332</v>
      </c>
      <c r="H2457" t="s">
        <v>33</v>
      </c>
      <c r="I2457" t="s">
        <v>20</v>
      </c>
      <c r="J2457" t="s">
        <v>346</v>
      </c>
      <c r="K2457" s="1">
        <v>0.67395813657407411</v>
      </c>
      <c r="L2457">
        <f>YEAR(Coffe_sales[[#This Row],[Date]])</f>
        <v>2024</v>
      </c>
    </row>
    <row r="2458" spans="1:12" x14ac:dyDescent="0.2">
      <c r="A2458" t="s">
        <v>27</v>
      </c>
      <c r="B2458" t="s">
        <v>12</v>
      </c>
      <c r="C2458">
        <v>25.96</v>
      </c>
      <c r="D2458" t="s">
        <v>24</v>
      </c>
      <c r="E2458" t="s">
        <v>22</v>
      </c>
      <c r="F2458" t="s">
        <v>32</v>
      </c>
      <c r="G2458" t="s">
        <v>332</v>
      </c>
      <c r="H2458" t="s">
        <v>33</v>
      </c>
      <c r="I2458" t="s">
        <v>20</v>
      </c>
      <c r="J2458" t="s">
        <v>346</v>
      </c>
      <c r="K2458" s="1">
        <v>0.68748767361111107</v>
      </c>
      <c r="L2458">
        <f>YEAR(Coffe_sales[[#This Row],[Date]])</f>
        <v>2024</v>
      </c>
    </row>
    <row r="2459" spans="1:12" x14ac:dyDescent="0.2">
      <c r="A2459" t="s">
        <v>27</v>
      </c>
      <c r="B2459" t="s">
        <v>12</v>
      </c>
      <c r="C2459">
        <v>25.96</v>
      </c>
      <c r="D2459" t="s">
        <v>24</v>
      </c>
      <c r="E2459" t="s">
        <v>22</v>
      </c>
      <c r="F2459" t="s">
        <v>32</v>
      </c>
      <c r="G2459" t="s">
        <v>332</v>
      </c>
      <c r="H2459" t="s">
        <v>33</v>
      </c>
      <c r="I2459" t="s">
        <v>20</v>
      </c>
      <c r="J2459" t="s">
        <v>346</v>
      </c>
      <c r="K2459" s="1">
        <v>0.68807615740740746</v>
      </c>
      <c r="L2459">
        <f>YEAR(Coffe_sales[[#This Row],[Date]])</f>
        <v>2024</v>
      </c>
    </row>
    <row r="2460" spans="1:12" x14ac:dyDescent="0.2">
      <c r="A2460" t="s">
        <v>37</v>
      </c>
      <c r="B2460" t="s">
        <v>12</v>
      </c>
      <c r="C2460">
        <v>25.96</v>
      </c>
      <c r="D2460" t="s">
        <v>24</v>
      </c>
      <c r="E2460" t="s">
        <v>29</v>
      </c>
      <c r="F2460" t="s">
        <v>32</v>
      </c>
      <c r="G2460" t="s">
        <v>332</v>
      </c>
      <c r="H2460" t="s">
        <v>33</v>
      </c>
      <c r="I2460" t="s">
        <v>20</v>
      </c>
      <c r="J2460" t="s">
        <v>346</v>
      </c>
      <c r="K2460" s="1">
        <v>0.70851734953703704</v>
      </c>
      <c r="L2460">
        <f>YEAR(Coffe_sales[[#This Row],[Date]])</f>
        <v>2024</v>
      </c>
    </row>
    <row r="2461" spans="1:12" x14ac:dyDescent="0.2">
      <c r="A2461" t="s">
        <v>37</v>
      </c>
      <c r="B2461" t="s">
        <v>12</v>
      </c>
      <c r="C2461">
        <v>25.96</v>
      </c>
      <c r="D2461" t="s">
        <v>24</v>
      </c>
      <c r="E2461" t="s">
        <v>29</v>
      </c>
      <c r="F2461" t="s">
        <v>32</v>
      </c>
      <c r="G2461" t="s">
        <v>332</v>
      </c>
      <c r="H2461" t="s">
        <v>33</v>
      </c>
      <c r="I2461" t="s">
        <v>20</v>
      </c>
      <c r="J2461" t="s">
        <v>346</v>
      </c>
      <c r="K2461" s="1">
        <v>0.70936556712962962</v>
      </c>
      <c r="L2461">
        <f>YEAR(Coffe_sales[[#This Row],[Date]])</f>
        <v>2024</v>
      </c>
    </row>
    <row r="2462" spans="1:12" x14ac:dyDescent="0.2">
      <c r="A2462" t="s">
        <v>28</v>
      </c>
      <c r="B2462" t="s">
        <v>12</v>
      </c>
      <c r="C2462">
        <v>30.86</v>
      </c>
      <c r="D2462" t="s">
        <v>26</v>
      </c>
      <c r="E2462" t="s">
        <v>29</v>
      </c>
      <c r="F2462" t="s">
        <v>32</v>
      </c>
      <c r="G2462" t="s">
        <v>332</v>
      </c>
      <c r="H2462" t="s">
        <v>33</v>
      </c>
      <c r="I2462" t="s">
        <v>20</v>
      </c>
      <c r="J2462" t="s">
        <v>346</v>
      </c>
      <c r="K2462" s="1">
        <v>0.76648328703703705</v>
      </c>
      <c r="L2462">
        <f>YEAR(Coffe_sales[[#This Row],[Date]])</f>
        <v>2024</v>
      </c>
    </row>
    <row r="2463" spans="1:12" x14ac:dyDescent="0.2">
      <c r="A2463" t="s">
        <v>35</v>
      </c>
      <c r="B2463" t="s">
        <v>12</v>
      </c>
      <c r="C2463">
        <v>35.76</v>
      </c>
      <c r="D2463" t="s">
        <v>13</v>
      </c>
      <c r="E2463" t="s">
        <v>14</v>
      </c>
      <c r="F2463" t="s">
        <v>38</v>
      </c>
      <c r="G2463" t="s">
        <v>332</v>
      </c>
      <c r="H2463" t="s">
        <v>39</v>
      </c>
      <c r="I2463" t="s">
        <v>20</v>
      </c>
      <c r="J2463" t="s">
        <v>347</v>
      </c>
      <c r="K2463" s="1">
        <v>0.46487045138888888</v>
      </c>
      <c r="L2463">
        <f>YEAR(Coffe_sales[[#This Row],[Date]])</f>
        <v>2024</v>
      </c>
    </row>
    <row r="2464" spans="1:12" x14ac:dyDescent="0.2">
      <c r="A2464" t="s">
        <v>35</v>
      </c>
      <c r="B2464" t="s">
        <v>12</v>
      </c>
      <c r="C2464">
        <v>35.76</v>
      </c>
      <c r="D2464" t="s">
        <v>31</v>
      </c>
      <c r="E2464" t="s">
        <v>14</v>
      </c>
      <c r="F2464" t="s">
        <v>38</v>
      </c>
      <c r="G2464" t="s">
        <v>332</v>
      </c>
      <c r="H2464" t="s">
        <v>39</v>
      </c>
      <c r="I2464" t="s">
        <v>20</v>
      </c>
      <c r="J2464" t="s">
        <v>347</v>
      </c>
      <c r="K2464" s="1">
        <v>0.46557515046296294</v>
      </c>
      <c r="L2464">
        <f>YEAR(Coffe_sales[[#This Row],[Date]])</f>
        <v>2024</v>
      </c>
    </row>
    <row r="2465" spans="1:12" x14ac:dyDescent="0.2">
      <c r="A2465" t="s">
        <v>37</v>
      </c>
      <c r="B2465" t="s">
        <v>12</v>
      </c>
      <c r="C2465">
        <v>35.76</v>
      </c>
      <c r="D2465" t="s">
        <v>21</v>
      </c>
      <c r="E2465" t="s">
        <v>29</v>
      </c>
      <c r="F2465" t="s">
        <v>38</v>
      </c>
      <c r="G2465" t="s">
        <v>332</v>
      </c>
      <c r="H2465" t="s">
        <v>39</v>
      </c>
      <c r="I2465" t="s">
        <v>20</v>
      </c>
      <c r="J2465" t="s">
        <v>347</v>
      </c>
      <c r="K2465" s="1">
        <v>0.74867344907407407</v>
      </c>
      <c r="L2465">
        <f>YEAR(Coffe_sales[[#This Row],[Date]])</f>
        <v>2024</v>
      </c>
    </row>
    <row r="2466" spans="1:12" x14ac:dyDescent="0.2">
      <c r="A2466" t="s">
        <v>39</v>
      </c>
      <c r="B2466" t="s">
        <v>12</v>
      </c>
      <c r="C2466">
        <v>35.76</v>
      </c>
      <c r="D2466" t="s">
        <v>13</v>
      </c>
      <c r="E2466" t="s">
        <v>14</v>
      </c>
      <c r="F2466" t="s">
        <v>42</v>
      </c>
      <c r="G2466" t="s">
        <v>332</v>
      </c>
      <c r="H2466" t="s">
        <v>43</v>
      </c>
      <c r="I2466" t="s">
        <v>20</v>
      </c>
      <c r="J2466" t="s">
        <v>348</v>
      </c>
      <c r="K2466" s="1">
        <v>0.32799049768518518</v>
      </c>
      <c r="L2466">
        <f>YEAR(Coffe_sales[[#This Row],[Date]])</f>
        <v>2024</v>
      </c>
    </row>
    <row r="2467" spans="1:12" x14ac:dyDescent="0.2">
      <c r="A2467" t="s">
        <v>123</v>
      </c>
      <c r="B2467" t="s">
        <v>12</v>
      </c>
      <c r="C2467">
        <v>35.76</v>
      </c>
      <c r="D2467" t="s">
        <v>21</v>
      </c>
      <c r="E2467" t="s">
        <v>14</v>
      </c>
      <c r="F2467" t="s">
        <v>42</v>
      </c>
      <c r="G2467" t="s">
        <v>332</v>
      </c>
      <c r="H2467" t="s">
        <v>43</v>
      </c>
      <c r="I2467" t="s">
        <v>20</v>
      </c>
      <c r="J2467" t="s">
        <v>348</v>
      </c>
      <c r="K2467" s="1">
        <v>0.33577660879629628</v>
      </c>
      <c r="L2467">
        <f>YEAR(Coffe_sales[[#This Row],[Date]])</f>
        <v>2024</v>
      </c>
    </row>
    <row r="2468" spans="1:12" x14ac:dyDescent="0.2">
      <c r="A2468" t="s">
        <v>123</v>
      </c>
      <c r="B2468" t="s">
        <v>12</v>
      </c>
      <c r="C2468">
        <v>35.76</v>
      </c>
      <c r="D2468" t="s">
        <v>31</v>
      </c>
      <c r="E2468" t="s">
        <v>14</v>
      </c>
      <c r="F2468" t="s">
        <v>42</v>
      </c>
      <c r="G2468" t="s">
        <v>332</v>
      </c>
      <c r="H2468" t="s">
        <v>43</v>
      </c>
      <c r="I2468" t="s">
        <v>20</v>
      </c>
      <c r="J2468" t="s">
        <v>348</v>
      </c>
      <c r="K2468" s="1">
        <v>0.36590076388888887</v>
      </c>
      <c r="L2468">
        <f>YEAR(Coffe_sales[[#This Row],[Date]])</f>
        <v>2024</v>
      </c>
    </row>
    <row r="2469" spans="1:12" x14ac:dyDescent="0.2">
      <c r="A2469" t="s">
        <v>20</v>
      </c>
      <c r="B2469" t="s">
        <v>12</v>
      </c>
      <c r="C2469">
        <v>30.86</v>
      </c>
      <c r="D2469" t="s">
        <v>26</v>
      </c>
      <c r="E2469" t="s">
        <v>22</v>
      </c>
      <c r="F2469" t="s">
        <v>42</v>
      </c>
      <c r="G2469" t="s">
        <v>332</v>
      </c>
      <c r="H2469" t="s">
        <v>43</v>
      </c>
      <c r="I2469" t="s">
        <v>20</v>
      </c>
      <c r="J2469" t="s">
        <v>348</v>
      </c>
      <c r="K2469" s="1">
        <v>0.51328855324074074</v>
      </c>
      <c r="L2469">
        <f>YEAR(Coffe_sales[[#This Row],[Date]])</f>
        <v>2024</v>
      </c>
    </row>
    <row r="2470" spans="1:12" x14ac:dyDescent="0.2">
      <c r="A2470" t="s">
        <v>23</v>
      </c>
      <c r="B2470" t="s">
        <v>12</v>
      </c>
      <c r="C2470">
        <v>35.76</v>
      </c>
      <c r="D2470" t="s">
        <v>13</v>
      </c>
      <c r="E2470" t="s">
        <v>22</v>
      </c>
      <c r="F2470" t="s">
        <v>42</v>
      </c>
      <c r="G2470" t="s">
        <v>332</v>
      </c>
      <c r="H2470" t="s">
        <v>43</v>
      </c>
      <c r="I2470" t="s">
        <v>20</v>
      </c>
      <c r="J2470" t="s">
        <v>348</v>
      </c>
      <c r="K2470" s="1">
        <v>0.54783075231481482</v>
      </c>
      <c r="L2470">
        <f>YEAR(Coffe_sales[[#This Row],[Date]])</f>
        <v>2024</v>
      </c>
    </row>
    <row r="2471" spans="1:12" x14ac:dyDescent="0.2">
      <c r="A2471" t="s">
        <v>36</v>
      </c>
      <c r="B2471" t="s">
        <v>12</v>
      </c>
      <c r="C2471">
        <v>35.76</v>
      </c>
      <c r="D2471" t="s">
        <v>21</v>
      </c>
      <c r="E2471" t="s">
        <v>22</v>
      </c>
      <c r="F2471" t="s">
        <v>42</v>
      </c>
      <c r="G2471" t="s">
        <v>332</v>
      </c>
      <c r="H2471" t="s">
        <v>43</v>
      </c>
      <c r="I2471" t="s">
        <v>20</v>
      </c>
      <c r="J2471" t="s">
        <v>348</v>
      </c>
      <c r="K2471" s="1">
        <v>0.59257116898148143</v>
      </c>
      <c r="L2471">
        <f>YEAR(Coffe_sales[[#This Row],[Date]])</f>
        <v>2024</v>
      </c>
    </row>
    <row r="2472" spans="1:12" x14ac:dyDescent="0.2">
      <c r="A2472" t="s">
        <v>28</v>
      </c>
      <c r="B2472" t="s">
        <v>12</v>
      </c>
      <c r="C2472">
        <v>35.76</v>
      </c>
      <c r="D2472" t="s">
        <v>13</v>
      </c>
      <c r="E2472" t="s">
        <v>29</v>
      </c>
      <c r="F2472" t="s">
        <v>42</v>
      </c>
      <c r="G2472" t="s">
        <v>332</v>
      </c>
      <c r="H2472" t="s">
        <v>43</v>
      </c>
      <c r="I2472" t="s">
        <v>20</v>
      </c>
      <c r="J2472" t="s">
        <v>348</v>
      </c>
      <c r="K2472" s="1">
        <v>0.76605376157407412</v>
      </c>
      <c r="L2472">
        <f>YEAR(Coffe_sales[[#This Row],[Date]])</f>
        <v>2024</v>
      </c>
    </row>
    <row r="2473" spans="1:12" x14ac:dyDescent="0.2">
      <c r="A2473" t="s">
        <v>28</v>
      </c>
      <c r="B2473" t="s">
        <v>12</v>
      </c>
      <c r="C2473">
        <v>30.86</v>
      </c>
      <c r="D2473" t="s">
        <v>26</v>
      </c>
      <c r="E2473" t="s">
        <v>29</v>
      </c>
      <c r="F2473" t="s">
        <v>42</v>
      </c>
      <c r="G2473" t="s">
        <v>332</v>
      </c>
      <c r="H2473" t="s">
        <v>43</v>
      </c>
      <c r="I2473" t="s">
        <v>20</v>
      </c>
      <c r="J2473" t="s">
        <v>348</v>
      </c>
      <c r="K2473" s="1">
        <v>0.76668303240740743</v>
      </c>
      <c r="L2473">
        <f>YEAR(Coffe_sales[[#This Row],[Date]])</f>
        <v>2024</v>
      </c>
    </row>
    <row r="2474" spans="1:12" x14ac:dyDescent="0.2">
      <c r="A2474" t="s">
        <v>123</v>
      </c>
      <c r="B2474" t="s">
        <v>12</v>
      </c>
      <c r="C2474">
        <v>25.96</v>
      </c>
      <c r="D2474" t="s">
        <v>41</v>
      </c>
      <c r="E2474" t="s">
        <v>14</v>
      </c>
      <c r="F2474" t="s">
        <v>47</v>
      </c>
      <c r="G2474" t="s">
        <v>332</v>
      </c>
      <c r="H2474" t="s">
        <v>48</v>
      </c>
      <c r="I2474" t="s">
        <v>20</v>
      </c>
      <c r="J2474" t="s">
        <v>349</v>
      </c>
      <c r="K2474" s="1">
        <v>0.36687682870370369</v>
      </c>
      <c r="L2474">
        <f>YEAR(Coffe_sales[[#This Row],[Date]])</f>
        <v>2024</v>
      </c>
    </row>
    <row r="2475" spans="1:12" x14ac:dyDescent="0.2">
      <c r="A2475" t="s">
        <v>123</v>
      </c>
      <c r="B2475" t="s">
        <v>12</v>
      </c>
      <c r="C2475">
        <v>35.76</v>
      </c>
      <c r="D2475" t="s">
        <v>52</v>
      </c>
      <c r="E2475" t="s">
        <v>14</v>
      </c>
      <c r="F2475" t="s">
        <v>47</v>
      </c>
      <c r="G2475" t="s">
        <v>332</v>
      </c>
      <c r="H2475" t="s">
        <v>48</v>
      </c>
      <c r="I2475" t="s">
        <v>20</v>
      </c>
      <c r="J2475" t="s">
        <v>349</v>
      </c>
      <c r="K2475" s="1">
        <v>0.36982211805555554</v>
      </c>
      <c r="L2475">
        <f>YEAR(Coffe_sales[[#This Row],[Date]])</f>
        <v>2024</v>
      </c>
    </row>
    <row r="2476" spans="1:12" x14ac:dyDescent="0.2">
      <c r="A2476" t="s">
        <v>11</v>
      </c>
      <c r="B2476" t="s">
        <v>12</v>
      </c>
      <c r="C2476">
        <v>30.86</v>
      </c>
      <c r="D2476" t="s">
        <v>26</v>
      </c>
      <c r="E2476" t="s">
        <v>14</v>
      </c>
      <c r="F2476" t="s">
        <v>47</v>
      </c>
      <c r="G2476" t="s">
        <v>332</v>
      </c>
      <c r="H2476" t="s">
        <v>48</v>
      </c>
      <c r="I2476" t="s">
        <v>20</v>
      </c>
      <c r="J2476" t="s">
        <v>349</v>
      </c>
      <c r="K2476" s="1">
        <v>0.45075850694444447</v>
      </c>
      <c r="L2476">
        <f>YEAR(Coffe_sales[[#This Row],[Date]])</f>
        <v>2024</v>
      </c>
    </row>
    <row r="2477" spans="1:12" x14ac:dyDescent="0.2">
      <c r="A2477" t="s">
        <v>27</v>
      </c>
      <c r="B2477" t="s">
        <v>12</v>
      </c>
      <c r="C2477">
        <v>25.96</v>
      </c>
      <c r="D2477" t="s">
        <v>24</v>
      </c>
      <c r="E2477" t="s">
        <v>22</v>
      </c>
      <c r="F2477" t="s">
        <v>47</v>
      </c>
      <c r="G2477" t="s">
        <v>332</v>
      </c>
      <c r="H2477" t="s">
        <v>48</v>
      </c>
      <c r="I2477" t="s">
        <v>20</v>
      </c>
      <c r="J2477" t="s">
        <v>349</v>
      </c>
      <c r="K2477" s="1">
        <v>0.68235021990740741</v>
      </c>
      <c r="L2477">
        <f>YEAR(Coffe_sales[[#This Row],[Date]])</f>
        <v>2024</v>
      </c>
    </row>
    <row r="2478" spans="1:12" x14ac:dyDescent="0.2">
      <c r="A2478" t="s">
        <v>27</v>
      </c>
      <c r="B2478" t="s">
        <v>12</v>
      </c>
      <c r="C2478">
        <v>35.76</v>
      </c>
      <c r="D2478" t="s">
        <v>31</v>
      </c>
      <c r="E2478" t="s">
        <v>22</v>
      </c>
      <c r="F2478" t="s">
        <v>47</v>
      </c>
      <c r="G2478" t="s">
        <v>332</v>
      </c>
      <c r="H2478" t="s">
        <v>48</v>
      </c>
      <c r="I2478" t="s">
        <v>20</v>
      </c>
      <c r="J2478" t="s">
        <v>349</v>
      </c>
      <c r="K2478" s="1">
        <v>0.6830625578703704</v>
      </c>
      <c r="L2478">
        <f>YEAR(Coffe_sales[[#This Row],[Date]])</f>
        <v>2024</v>
      </c>
    </row>
    <row r="2479" spans="1:12" x14ac:dyDescent="0.2">
      <c r="A2479" t="s">
        <v>37</v>
      </c>
      <c r="B2479" t="s">
        <v>12</v>
      </c>
      <c r="C2479">
        <v>35.76</v>
      </c>
      <c r="D2479" t="s">
        <v>52</v>
      </c>
      <c r="E2479" t="s">
        <v>29</v>
      </c>
      <c r="F2479" t="s">
        <v>47</v>
      </c>
      <c r="G2479" t="s">
        <v>332</v>
      </c>
      <c r="H2479" t="s">
        <v>48</v>
      </c>
      <c r="I2479" t="s">
        <v>20</v>
      </c>
      <c r="J2479" t="s">
        <v>349</v>
      </c>
      <c r="K2479" s="1">
        <v>0.71831093749999997</v>
      </c>
      <c r="L2479">
        <f>YEAR(Coffe_sales[[#This Row],[Date]])</f>
        <v>2024</v>
      </c>
    </row>
    <row r="2480" spans="1:12" x14ac:dyDescent="0.2">
      <c r="A2480" t="s">
        <v>28</v>
      </c>
      <c r="B2480" t="s">
        <v>12</v>
      </c>
      <c r="C2480">
        <v>35.76</v>
      </c>
      <c r="D2480" t="s">
        <v>31</v>
      </c>
      <c r="E2480" t="s">
        <v>29</v>
      </c>
      <c r="F2480" t="s">
        <v>47</v>
      </c>
      <c r="G2480" t="s">
        <v>332</v>
      </c>
      <c r="H2480" t="s">
        <v>48</v>
      </c>
      <c r="I2480" t="s">
        <v>20</v>
      </c>
      <c r="J2480" t="s">
        <v>349</v>
      </c>
      <c r="K2480" s="1">
        <v>0.78816321759259256</v>
      </c>
      <c r="L2480">
        <f>YEAR(Coffe_sales[[#This Row],[Date]])</f>
        <v>2024</v>
      </c>
    </row>
    <row r="2481" spans="1:12" x14ac:dyDescent="0.2">
      <c r="A2481" t="s">
        <v>46</v>
      </c>
      <c r="B2481" t="s">
        <v>12</v>
      </c>
      <c r="C2481">
        <v>35.76</v>
      </c>
      <c r="D2481" t="s">
        <v>13</v>
      </c>
      <c r="E2481" t="s">
        <v>14</v>
      </c>
      <c r="F2481" t="s">
        <v>50</v>
      </c>
      <c r="G2481" t="s">
        <v>332</v>
      </c>
      <c r="H2481" t="s">
        <v>18</v>
      </c>
      <c r="I2481" t="s">
        <v>20</v>
      </c>
      <c r="J2481" t="s">
        <v>350</v>
      </c>
      <c r="K2481" s="1">
        <v>0.39616070601851849</v>
      </c>
      <c r="L2481">
        <f>YEAR(Coffe_sales[[#This Row],[Date]])</f>
        <v>2024</v>
      </c>
    </row>
    <row r="2482" spans="1:12" x14ac:dyDescent="0.2">
      <c r="A2482" t="s">
        <v>11</v>
      </c>
      <c r="B2482" t="s">
        <v>12</v>
      </c>
      <c r="C2482">
        <v>30.86</v>
      </c>
      <c r="D2482" t="s">
        <v>26</v>
      </c>
      <c r="E2482" t="s">
        <v>14</v>
      </c>
      <c r="F2482" t="s">
        <v>50</v>
      </c>
      <c r="G2482" t="s">
        <v>332</v>
      </c>
      <c r="H2482" t="s">
        <v>18</v>
      </c>
      <c r="I2482" t="s">
        <v>20</v>
      </c>
      <c r="J2482" t="s">
        <v>350</v>
      </c>
      <c r="K2482" s="1">
        <v>0.41760984953703706</v>
      </c>
      <c r="L2482">
        <f>YEAR(Coffe_sales[[#This Row],[Date]])</f>
        <v>2024</v>
      </c>
    </row>
    <row r="2483" spans="1:12" x14ac:dyDescent="0.2">
      <c r="A2483" t="s">
        <v>11</v>
      </c>
      <c r="B2483" t="s">
        <v>12</v>
      </c>
      <c r="C2483">
        <v>35.76</v>
      </c>
      <c r="D2483" t="s">
        <v>13</v>
      </c>
      <c r="E2483" t="s">
        <v>14</v>
      </c>
      <c r="F2483" t="s">
        <v>50</v>
      </c>
      <c r="G2483" t="s">
        <v>332</v>
      </c>
      <c r="H2483" t="s">
        <v>18</v>
      </c>
      <c r="I2483" t="s">
        <v>20</v>
      </c>
      <c r="J2483" t="s">
        <v>350</v>
      </c>
      <c r="K2483" s="1">
        <v>0.41877393518518519</v>
      </c>
      <c r="L2483">
        <f>YEAR(Coffe_sales[[#This Row],[Date]])</f>
        <v>2024</v>
      </c>
    </row>
    <row r="2484" spans="1:12" x14ac:dyDescent="0.2">
      <c r="A2484" t="s">
        <v>11</v>
      </c>
      <c r="B2484" t="s">
        <v>12</v>
      </c>
      <c r="C2484">
        <v>35.76</v>
      </c>
      <c r="D2484" t="s">
        <v>52</v>
      </c>
      <c r="E2484" t="s">
        <v>14</v>
      </c>
      <c r="F2484" t="s">
        <v>50</v>
      </c>
      <c r="G2484" t="s">
        <v>332</v>
      </c>
      <c r="H2484" t="s">
        <v>18</v>
      </c>
      <c r="I2484" t="s">
        <v>20</v>
      </c>
      <c r="J2484" t="s">
        <v>350</v>
      </c>
      <c r="K2484" s="1">
        <v>0.4194835648148148</v>
      </c>
      <c r="L2484">
        <f>YEAR(Coffe_sales[[#This Row],[Date]])</f>
        <v>2024</v>
      </c>
    </row>
    <row r="2485" spans="1:12" x14ac:dyDescent="0.2">
      <c r="A2485" t="s">
        <v>11</v>
      </c>
      <c r="B2485" t="s">
        <v>12</v>
      </c>
      <c r="C2485">
        <v>35.76</v>
      </c>
      <c r="D2485" t="s">
        <v>21</v>
      </c>
      <c r="E2485" t="s">
        <v>14</v>
      </c>
      <c r="F2485" t="s">
        <v>53</v>
      </c>
      <c r="G2485" t="s">
        <v>332</v>
      </c>
      <c r="H2485" t="s">
        <v>54</v>
      </c>
      <c r="I2485" t="s">
        <v>20</v>
      </c>
      <c r="J2485" t="s">
        <v>351</v>
      </c>
      <c r="K2485" s="1">
        <v>0.42512945601851854</v>
      </c>
      <c r="L2485">
        <f>YEAR(Coffe_sales[[#This Row],[Date]])</f>
        <v>2024</v>
      </c>
    </row>
    <row r="2486" spans="1:12" x14ac:dyDescent="0.2">
      <c r="A2486" t="s">
        <v>35</v>
      </c>
      <c r="B2486" t="s">
        <v>12</v>
      </c>
      <c r="C2486">
        <v>30.86</v>
      </c>
      <c r="D2486" t="s">
        <v>26</v>
      </c>
      <c r="E2486" t="s">
        <v>14</v>
      </c>
      <c r="F2486" t="s">
        <v>53</v>
      </c>
      <c r="G2486" t="s">
        <v>332</v>
      </c>
      <c r="H2486" t="s">
        <v>54</v>
      </c>
      <c r="I2486" t="s">
        <v>20</v>
      </c>
      <c r="J2486" t="s">
        <v>351</v>
      </c>
      <c r="K2486" s="1">
        <v>0.47620303240740741</v>
      </c>
      <c r="L2486">
        <f>YEAR(Coffe_sales[[#This Row],[Date]])</f>
        <v>2024</v>
      </c>
    </row>
    <row r="2487" spans="1:12" x14ac:dyDescent="0.2">
      <c r="A2487" t="s">
        <v>20</v>
      </c>
      <c r="B2487" t="s">
        <v>12</v>
      </c>
      <c r="C2487">
        <v>21.06</v>
      </c>
      <c r="D2487" t="s">
        <v>45</v>
      </c>
      <c r="E2487" t="s">
        <v>22</v>
      </c>
      <c r="F2487" t="s">
        <v>53</v>
      </c>
      <c r="G2487" t="s">
        <v>332</v>
      </c>
      <c r="H2487" t="s">
        <v>54</v>
      </c>
      <c r="I2487" t="s">
        <v>20</v>
      </c>
      <c r="J2487" t="s">
        <v>351</v>
      </c>
      <c r="K2487" s="1">
        <v>0.50755010416666668</v>
      </c>
      <c r="L2487">
        <f>YEAR(Coffe_sales[[#This Row],[Date]])</f>
        <v>2024</v>
      </c>
    </row>
    <row r="2488" spans="1:12" x14ac:dyDescent="0.2">
      <c r="A2488" t="s">
        <v>23</v>
      </c>
      <c r="B2488" t="s">
        <v>12</v>
      </c>
      <c r="C2488">
        <v>35.76</v>
      </c>
      <c r="D2488" t="s">
        <v>21</v>
      </c>
      <c r="E2488" t="s">
        <v>22</v>
      </c>
      <c r="F2488" t="s">
        <v>53</v>
      </c>
      <c r="G2488" t="s">
        <v>332</v>
      </c>
      <c r="H2488" t="s">
        <v>54</v>
      </c>
      <c r="I2488" t="s">
        <v>20</v>
      </c>
      <c r="J2488" t="s">
        <v>351</v>
      </c>
      <c r="K2488" s="1">
        <v>0.56871281250000005</v>
      </c>
      <c r="L2488">
        <f>YEAR(Coffe_sales[[#This Row],[Date]])</f>
        <v>2024</v>
      </c>
    </row>
    <row r="2489" spans="1:12" x14ac:dyDescent="0.2">
      <c r="A2489" t="s">
        <v>30</v>
      </c>
      <c r="B2489" t="s">
        <v>12</v>
      </c>
      <c r="C2489">
        <v>35.76</v>
      </c>
      <c r="D2489" t="s">
        <v>52</v>
      </c>
      <c r="E2489" t="s">
        <v>29</v>
      </c>
      <c r="F2489" t="s">
        <v>53</v>
      </c>
      <c r="G2489" t="s">
        <v>332</v>
      </c>
      <c r="H2489" t="s">
        <v>54</v>
      </c>
      <c r="I2489" t="s">
        <v>20</v>
      </c>
      <c r="J2489" t="s">
        <v>351</v>
      </c>
      <c r="K2489" s="1">
        <v>0.79231785879629635</v>
      </c>
      <c r="L2489">
        <f>YEAR(Coffe_sales[[#This Row],[Date]])</f>
        <v>2024</v>
      </c>
    </row>
    <row r="2490" spans="1:12" x14ac:dyDescent="0.2">
      <c r="A2490" t="s">
        <v>30</v>
      </c>
      <c r="B2490" t="s">
        <v>12</v>
      </c>
      <c r="C2490">
        <v>35.76</v>
      </c>
      <c r="D2490" t="s">
        <v>52</v>
      </c>
      <c r="E2490" t="s">
        <v>29</v>
      </c>
      <c r="F2490" t="s">
        <v>53</v>
      </c>
      <c r="G2490" t="s">
        <v>332</v>
      </c>
      <c r="H2490" t="s">
        <v>54</v>
      </c>
      <c r="I2490" t="s">
        <v>20</v>
      </c>
      <c r="J2490" t="s">
        <v>351</v>
      </c>
      <c r="K2490" s="1">
        <v>0.7990805671296296</v>
      </c>
      <c r="L2490">
        <f>YEAR(Coffe_sales[[#This Row],[Date]])</f>
        <v>2024</v>
      </c>
    </row>
    <row r="2491" spans="1:12" x14ac:dyDescent="0.2">
      <c r="A2491" t="s">
        <v>30</v>
      </c>
      <c r="B2491" t="s">
        <v>12</v>
      </c>
      <c r="C2491">
        <v>30.86</v>
      </c>
      <c r="D2491" t="s">
        <v>26</v>
      </c>
      <c r="E2491" t="s">
        <v>29</v>
      </c>
      <c r="F2491" t="s">
        <v>53</v>
      </c>
      <c r="G2491" t="s">
        <v>332</v>
      </c>
      <c r="H2491" t="s">
        <v>54</v>
      </c>
      <c r="I2491" t="s">
        <v>20</v>
      </c>
      <c r="J2491" t="s">
        <v>351</v>
      </c>
      <c r="K2491" s="1">
        <v>0.82520858796296293</v>
      </c>
      <c r="L2491">
        <f>YEAR(Coffe_sales[[#This Row],[Date]])</f>
        <v>2024</v>
      </c>
    </row>
    <row r="2492" spans="1:12" x14ac:dyDescent="0.2">
      <c r="A2492" t="s">
        <v>30</v>
      </c>
      <c r="B2492" t="s">
        <v>12</v>
      </c>
      <c r="C2492">
        <v>35.76</v>
      </c>
      <c r="D2492" t="s">
        <v>21</v>
      </c>
      <c r="E2492" t="s">
        <v>29</v>
      </c>
      <c r="F2492" t="s">
        <v>53</v>
      </c>
      <c r="G2492" t="s">
        <v>332</v>
      </c>
      <c r="H2492" t="s">
        <v>54</v>
      </c>
      <c r="I2492" t="s">
        <v>20</v>
      </c>
      <c r="J2492" t="s">
        <v>351</v>
      </c>
      <c r="K2492" s="1">
        <v>0.82618719907407412</v>
      </c>
      <c r="L2492">
        <f>YEAR(Coffe_sales[[#This Row],[Date]])</f>
        <v>2024</v>
      </c>
    </row>
    <row r="2493" spans="1:12" x14ac:dyDescent="0.2">
      <c r="A2493" t="s">
        <v>131</v>
      </c>
      <c r="B2493" t="s">
        <v>12</v>
      </c>
      <c r="C2493">
        <v>35.76</v>
      </c>
      <c r="D2493" t="s">
        <v>13</v>
      </c>
      <c r="E2493" t="s">
        <v>29</v>
      </c>
      <c r="F2493" t="s">
        <v>53</v>
      </c>
      <c r="G2493" t="s">
        <v>332</v>
      </c>
      <c r="H2493" t="s">
        <v>54</v>
      </c>
      <c r="I2493" t="s">
        <v>20</v>
      </c>
      <c r="J2493" t="s">
        <v>351</v>
      </c>
      <c r="K2493" s="1">
        <v>0.88069225694444442</v>
      </c>
      <c r="L2493">
        <f>YEAR(Coffe_sales[[#This Row],[Date]])</f>
        <v>2024</v>
      </c>
    </row>
    <row r="2494" spans="1:12" x14ac:dyDescent="0.2">
      <c r="A2494" t="s">
        <v>131</v>
      </c>
      <c r="B2494" t="s">
        <v>12</v>
      </c>
      <c r="C2494">
        <v>35.76</v>
      </c>
      <c r="D2494" t="s">
        <v>52</v>
      </c>
      <c r="E2494" t="s">
        <v>29</v>
      </c>
      <c r="F2494" t="s">
        <v>53</v>
      </c>
      <c r="G2494" t="s">
        <v>332</v>
      </c>
      <c r="H2494" t="s">
        <v>54</v>
      </c>
      <c r="I2494" t="s">
        <v>20</v>
      </c>
      <c r="J2494" t="s">
        <v>351</v>
      </c>
      <c r="K2494" s="1">
        <v>0.88143193287037036</v>
      </c>
      <c r="L2494">
        <f>YEAR(Coffe_sales[[#This Row],[Date]])</f>
        <v>2024</v>
      </c>
    </row>
    <row r="2495" spans="1:12" x14ac:dyDescent="0.2">
      <c r="A2495" t="s">
        <v>123</v>
      </c>
      <c r="B2495" t="s">
        <v>12</v>
      </c>
      <c r="C2495">
        <v>25.96</v>
      </c>
      <c r="D2495" t="s">
        <v>41</v>
      </c>
      <c r="E2495" t="s">
        <v>14</v>
      </c>
      <c r="F2495" t="s">
        <v>15</v>
      </c>
      <c r="G2495" t="s">
        <v>332</v>
      </c>
      <c r="H2495" t="s">
        <v>17</v>
      </c>
      <c r="I2495" t="s">
        <v>20</v>
      </c>
      <c r="J2495" t="s">
        <v>352</v>
      </c>
      <c r="K2495" s="1">
        <v>0.34365688657407406</v>
      </c>
      <c r="L2495">
        <f>YEAR(Coffe_sales[[#This Row],[Date]])</f>
        <v>2024</v>
      </c>
    </row>
    <row r="2496" spans="1:12" x14ac:dyDescent="0.2">
      <c r="A2496" t="s">
        <v>46</v>
      </c>
      <c r="B2496" t="s">
        <v>12</v>
      </c>
      <c r="C2496">
        <v>30.86</v>
      </c>
      <c r="D2496" t="s">
        <v>26</v>
      </c>
      <c r="E2496" t="s">
        <v>14</v>
      </c>
      <c r="F2496" t="s">
        <v>15</v>
      </c>
      <c r="G2496" t="s">
        <v>332</v>
      </c>
      <c r="H2496" t="s">
        <v>17</v>
      </c>
      <c r="I2496" t="s">
        <v>20</v>
      </c>
      <c r="J2496" t="s">
        <v>352</v>
      </c>
      <c r="K2496" s="1">
        <v>0.40242895833333331</v>
      </c>
      <c r="L2496">
        <f>YEAR(Coffe_sales[[#This Row],[Date]])</f>
        <v>2024</v>
      </c>
    </row>
    <row r="2497" spans="1:12" x14ac:dyDescent="0.2">
      <c r="A2497" t="s">
        <v>11</v>
      </c>
      <c r="B2497" t="s">
        <v>12</v>
      </c>
      <c r="C2497">
        <v>35.76</v>
      </c>
      <c r="D2497" t="s">
        <v>52</v>
      </c>
      <c r="E2497" t="s">
        <v>14</v>
      </c>
      <c r="F2497" t="s">
        <v>15</v>
      </c>
      <c r="G2497" t="s">
        <v>332</v>
      </c>
      <c r="H2497" t="s">
        <v>17</v>
      </c>
      <c r="I2497" t="s">
        <v>20</v>
      </c>
      <c r="J2497" t="s">
        <v>352</v>
      </c>
      <c r="K2497" s="1">
        <v>0.42549572916666667</v>
      </c>
      <c r="L2497">
        <f>YEAR(Coffe_sales[[#This Row],[Date]])</f>
        <v>2024</v>
      </c>
    </row>
    <row r="2498" spans="1:12" x14ac:dyDescent="0.2">
      <c r="A2498" t="s">
        <v>11</v>
      </c>
      <c r="B2498" t="s">
        <v>12</v>
      </c>
      <c r="C2498">
        <v>25.96</v>
      </c>
      <c r="D2498" t="s">
        <v>41</v>
      </c>
      <c r="E2498" t="s">
        <v>14</v>
      </c>
      <c r="F2498" t="s">
        <v>15</v>
      </c>
      <c r="G2498" t="s">
        <v>332</v>
      </c>
      <c r="H2498" t="s">
        <v>17</v>
      </c>
      <c r="I2498" t="s">
        <v>20</v>
      </c>
      <c r="J2498" t="s">
        <v>352</v>
      </c>
      <c r="K2498" s="1">
        <v>0.45519822916666669</v>
      </c>
      <c r="L2498">
        <f>YEAR(Coffe_sales[[#This Row],[Date]])</f>
        <v>2024</v>
      </c>
    </row>
    <row r="2499" spans="1:12" x14ac:dyDescent="0.2">
      <c r="A2499" t="s">
        <v>20</v>
      </c>
      <c r="B2499" t="s">
        <v>12</v>
      </c>
      <c r="C2499">
        <v>21.06</v>
      </c>
      <c r="D2499" t="s">
        <v>45</v>
      </c>
      <c r="E2499" t="s">
        <v>22</v>
      </c>
      <c r="F2499" t="s">
        <v>15</v>
      </c>
      <c r="G2499" t="s">
        <v>332</v>
      </c>
      <c r="H2499" t="s">
        <v>17</v>
      </c>
      <c r="I2499" t="s">
        <v>20</v>
      </c>
      <c r="J2499" t="s">
        <v>352</v>
      </c>
      <c r="K2499" s="1">
        <v>0.51478278935185184</v>
      </c>
      <c r="L2499">
        <f>YEAR(Coffe_sales[[#This Row],[Date]])</f>
        <v>2024</v>
      </c>
    </row>
    <row r="2500" spans="1:12" x14ac:dyDescent="0.2">
      <c r="A2500" t="s">
        <v>20</v>
      </c>
      <c r="B2500" t="s">
        <v>12</v>
      </c>
      <c r="C2500">
        <v>30.86</v>
      </c>
      <c r="D2500" t="s">
        <v>26</v>
      </c>
      <c r="E2500" t="s">
        <v>22</v>
      </c>
      <c r="F2500" t="s">
        <v>15</v>
      </c>
      <c r="G2500" t="s">
        <v>332</v>
      </c>
      <c r="H2500" t="s">
        <v>17</v>
      </c>
      <c r="I2500" t="s">
        <v>20</v>
      </c>
      <c r="J2500" t="s">
        <v>352</v>
      </c>
      <c r="K2500" s="1">
        <v>0.51584921296296293</v>
      </c>
      <c r="L2500">
        <f>YEAR(Coffe_sales[[#This Row],[Date]])</f>
        <v>2024</v>
      </c>
    </row>
    <row r="2501" spans="1:12" x14ac:dyDescent="0.2">
      <c r="A2501" t="s">
        <v>36</v>
      </c>
      <c r="B2501" t="s">
        <v>12</v>
      </c>
      <c r="C2501">
        <v>25.96</v>
      </c>
      <c r="D2501" t="s">
        <v>41</v>
      </c>
      <c r="E2501" t="s">
        <v>22</v>
      </c>
      <c r="F2501" t="s">
        <v>15</v>
      </c>
      <c r="G2501" t="s">
        <v>332</v>
      </c>
      <c r="H2501" t="s">
        <v>17</v>
      </c>
      <c r="I2501" t="s">
        <v>20</v>
      </c>
      <c r="J2501" t="s">
        <v>352</v>
      </c>
      <c r="K2501" s="1">
        <v>0.62384663194444445</v>
      </c>
      <c r="L2501">
        <f>YEAR(Coffe_sales[[#This Row],[Date]])</f>
        <v>2024</v>
      </c>
    </row>
    <row r="2502" spans="1:12" x14ac:dyDescent="0.2">
      <c r="A2502" t="s">
        <v>28</v>
      </c>
      <c r="B2502" t="s">
        <v>12</v>
      </c>
      <c r="C2502">
        <v>35.76</v>
      </c>
      <c r="D2502" t="s">
        <v>52</v>
      </c>
      <c r="E2502" t="s">
        <v>29</v>
      </c>
      <c r="F2502" t="s">
        <v>15</v>
      </c>
      <c r="G2502" t="s">
        <v>332</v>
      </c>
      <c r="H2502" t="s">
        <v>17</v>
      </c>
      <c r="I2502" t="s">
        <v>20</v>
      </c>
      <c r="J2502" t="s">
        <v>352</v>
      </c>
      <c r="K2502" s="1">
        <v>0.76970082175925925</v>
      </c>
      <c r="L2502">
        <f>YEAR(Coffe_sales[[#This Row],[Date]])</f>
        <v>2024</v>
      </c>
    </row>
    <row r="2503" spans="1:12" x14ac:dyDescent="0.2">
      <c r="A2503" t="s">
        <v>28</v>
      </c>
      <c r="B2503" t="s">
        <v>12</v>
      </c>
      <c r="C2503">
        <v>35.76</v>
      </c>
      <c r="D2503" t="s">
        <v>52</v>
      </c>
      <c r="E2503" t="s">
        <v>29</v>
      </c>
      <c r="F2503" t="s">
        <v>15</v>
      </c>
      <c r="G2503" t="s">
        <v>332</v>
      </c>
      <c r="H2503" t="s">
        <v>17</v>
      </c>
      <c r="I2503" t="s">
        <v>20</v>
      </c>
      <c r="J2503" t="s">
        <v>352</v>
      </c>
      <c r="K2503" s="1">
        <v>0.7897375694444444</v>
      </c>
      <c r="L2503">
        <f>YEAR(Coffe_sales[[#This Row],[Date]])</f>
        <v>2024</v>
      </c>
    </row>
    <row r="2504" spans="1:12" x14ac:dyDescent="0.2">
      <c r="A2504" t="s">
        <v>11</v>
      </c>
      <c r="B2504" t="s">
        <v>12</v>
      </c>
      <c r="C2504">
        <v>35.76</v>
      </c>
      <c r="D2504" t="s">
        <v>52</v>
      </c>
      <c r="E2504" t="s">
        <v>14</v>
      </c>
      <c r="F2504" t="s">
        <v>32</v>
      </c>
      <c r="G2504" t="s">
        <v>332</v>
      </c>
      <c r="H2504" t="s">
        <v>33</v>
      </c>
      <c r="I2504" t="s">
        <v>20</v>
      </c>
      <c r="J2504" t="s">
        <v>353</v>
      </c>
      <c r="K2504" s="1">
        <v>0.43013744212962962</v>
      </c>
      <c r="L2504">
        <f>YEAR(Coffe_sales[[#This Row],[Date]])</f>
        <v>2024</v>
      </c>
    </row>
    <row r="2505" spans="1:12" x14ac:dyDescent="0.2">
      <c r="A2505" t="s">
        <v>11</v>
      </c>
      <c r="B2505" t="s">
        <v>12</v>
      </c>
      <c r="C2505">
        <v>35.76</v>
      </c>
      <c r="D2505" t="s">
        <v>13</v>
      </c>
      <c r="E2505" t="s">
        <v>14</v>
      </c>
      <c r="F2505" t="s">
        <v>32</v>
      </c>
      <c r="G2505" t="s">
        <v>332</v>
      </c>
      <c r="H2505" t="s">
        <v>33</v>
      </c>
      <c r="I2505" t="s">
        <v>20</v>
      </c>
      <c r="J2505" t="s">
        <v>353</v>
      </c>
      <c r="K2505" s="1">
        <v>0.43103131944444445</v>
      </c>
      <c r="L2505">
        <f>YEAR(Coffe_sales[[#This Row],[Date]])</f>
        <v>2024</v>
      </c>
    </row>
    <row r="2506" spans="1:12" x14ac:dyDescent="0.2">
      <c r="A2506" t="s">
        <v>11</v>
      </c>
      <c r="B2506" t="s">
        <v>12</v>
      </c>
      <c r="C2506">
        <v>25.96</v>
      </c>
      <c r="D2506" t="s">
        <v>24</v>
      </c>
      <c r="E2506" t="s">
        <v>14</v>
      </c>
      <c r="F2506" t="s">
        <v>32</v>
      </c>
      <c r="G2506" t="s">
        <v>332</v>
      </c>
      <c r="H2506" t="s">
        <v>33</v>
      </c>
      <c r="I2506" t="s">
        <v>20</v>
      </c>
      <c r="J2506" t="s">
        <v>353</v>
      </c>
      <c r="K2506" s="1">
        <v>0.43892124999999999</v>
      </c>
      <c r="L2506">
        <f>YEAR(Coffe_sales[[#This Row],[Date]])</f>
        <v>2024</v>
      </c>
    </row>
    <row r="2507" spans="1:12" x14ac:dyDescent="0.2">
      <c r="A2507" t="s">
        <v>25</v>
      </c>
      <c r="B2507" t="s">
        <v>12</v>
      </c>
      <c r="C2507">
        <v>35.76</v>
      </c>
      <c r="D2507" t="s">
        <v>21</v>
      </c>
      <c r="E2507" t="s">
        <v>22</v>
      </c>
      <c r="F2507" t="s">
        <v>32</v>
      </c>
      <c r="G2507" t="s">
        <v>332</v>
      </c>
      <c r="H2507" t="s">
        <v>33</v>
      </c>
      <c r="I2507" t="s">
        <v>20</v>
      </c>
      <c r="J2507" t="s">
        <v>353</v>
      </c>
      <c r="K2507" s="1">
        <v>0.64795866898148147</v>
      </c>
      <c r="L2507">
        <f>YEAR(Coffe_sales[[#This Row],[Date]])</f>
        <v>2024</v>
      </c>
    </row>
    <row r="2508" spans="1:12" x14ac:dyDescent="0.2">
      <c r="A2508" t="s">
        <v>25</v>
      </c>
      <c r="B2508" t="s">
        <v>12</v>
      </c>
      <c r="C2508">
        <v>35.76</v>
      </c>
      <c r="D2508" t="s">
        <v>13</v>
      </c>
      <c r="E2508" t="s">
        <v>22</v>
      </c>
      <c r="F2508" t="s">
        <v>32</v>
      </c>
      <c r="G2508" t="s">
        <v>332</v>
      </c>
      <c r="H2508" t="s">
        <v>33</v>
      </c>
      <c r="I2508" t="s">
        <v>20</v>
      </c>
      <c r="J2508" t="s">
        <v>353</v>
      </c>
      <c r="K2508" s="1">
        <v>0.64849090277777777</v>
      </c>
      <c r="L2508">
        <f>YEAR(Coffe_sales[[#This Row],[Date]])</f>
        <v>2024</v>
      </c>
    </row>
    <row r="2509" spans="1:12" x14ac:dyDescent="0.2">
      <c r="A2509" t="s">
        <v>25</v>
      </c>
      <c r="B2509" t="s">
        <v>12</v>
      </c>
      <c r="C2509">
        <v>30.86</v>
      </c>
      <c r="D2509" t="s">
        <v>26</v>
      </c>
      <c r="E2509" t="s">
        <v>22</v>
      </c>
      <c r="F2509" t="s">
        <v>32</v>
      </c>
      <c r="G2509" t="s">
        <v>332</v>
      </c>
      <c r="H2509" t="s">
        <v>33</v>
      </c>
      <c r="I2509" t="s">
        <v>20</v>
      </c>
      <c r="J2509" t="s">
        <v>353</v>
      </c>
      <c r="K2509" s="1">
        <v>0.64964552083333338</v>
      </c>
      <c r="L2509">
        <f>YEAR(Coffe_sales[[#This Row],[Date]])</f>
        <v>2024</v>
      </c>
    </row>
    <row r="2510" spans="1:12" x14ac:dyDescent="0.2">
      <c r="A2510" t="s">
        <v>25</v>
      </c>
      <c r="B2510" t="s">
        <v>12</v>
      </c>
      <c r="C2510">
        <v>35.76</v>
      </c>
      <c r="D2510" t="s">
        <v>13</v>
      </c>
      <c r="E2510" t="s">
        <v>22</v>
      </c>
      <c r="F2510" t="s">
        <v>32</v>
      </c>
      <c r="G2510" t="s">
        <v>332</v>
      </c>
      <c r="H2510" t="s">
        <v>33</v>
      </c>
      <c r="I2510" t="s">
        <v>20</v>
      </c>
      <c r="J2510" t="s">
        <v>353</v>
      </c>
      <c r="K2510" s="1">
        <v>0.66535905092592595</v>
      </c>
      <c r="L2510">
        <f>YEAR(Coffe_sales[[#This Row],[Date]])</f>
        <v>2024</v>
      </c>
    </row>
    <row r="2511" spans="1:12" x14ac:dyDescent="0.2">
      <c r="A2511" t="s">
        <v>37</v>
      </c>
      <c r="B2511" t="s">
        <v>12</v>
      </c>
      <c r="C2511">
        <v>35.76</v>
      </c>
      <c r="D2511" t="s">
        <v>31</v>
      </c>
      <c r="E2511" t="s">
        <v>29</v>
      </c>
      <c r="F2511" t="s">
        <v>32</v>
      </c>
      <c r="G2511" t="s">
        <v>332</v>
      </c>
      <c r="H2511" t="s">
        <v>33</v>
      </c>
      <c r="I2511" t="s">
        <v>20</v>
      </c>
      <c r="J2511" t="s">
        <v>353</v>
      </c>
      <c r="K2511" s="1">
        <v>0.74129458333333331</v>
      </c>
      <c r="L2511">
        <f>YEAR(Coffe_sales[[#This Row],[Date]])</f>
        <v>2024</v>
      </c>
    </row>
    <row r="2512" spans="1:12" x14ac:dyDescent="0.2">
      <c r="A2512" t="s">
        <v>28</v>
      </c>
      <c r="B2512" t="s">
        <v>12</v>
      </c>
      <c r="C2512">
        <v>35.76</v>
      </c>
      <c r="D2512" t="s">
        <v>21</v>
      </c>
      <c r="E2512" t="s">
        <v>29</v>
      </c>
      <c r="F2512" t="s">
        <v>32</v>
      </c>
      <c r="G2512" t="s">
        <v>332</v>
      </c>
      <c r="H2512" t="s">
        <v>33</v>
      </c>
      <c r="I2512" t="s">
        <v>20</v>
      </c>
      <c r="J2512" t="s">
        <v>353</v>
      </c>
      <c r="K2512" s="1">
        <v>0.75181561342592595</v>
      </c>
      <c r="L2512">
        <f>YEAR(Coffe_sales[[#This Row],[Date]])</f>
        <v>2024</v>
      </c>
    </row>
    <row r="2513" spans="1:12" x14ac:dyDescent="0.2">
      <c r="A2513" t="s">
        <v>28</v>
      </c>
      <c r="B2513" t="s">
        <v>12</v>
      </c>
      <c r="C2513">
        <v>25.96</v>
      </c>
      <c r="D2513" t="s">
        <v>41</v>
      </c>
      <c r="E2513" t="s">
        <v>29</v>
      </c>
      <c r="F2513" t="s">
        <v>32</v>
      </c>
      <c r="G2513" t="s">
        <v>332</v>
      </c>
      <c r="H2513" t="s">
        <v>33</v>
      </c>
      <c r="I2513" t="s">
        <v>20</v>
      </c>
      <c r="J2513" t="s">
        <v>353</v>
      </c>
      <c r="K2513" s="1">
        <v>0.75575427083333335</v>
      </c>
      <c r="L2513">
        <f>YEAR(Coffe_sales[[#This Row],[Date]])</f>
        <v>2024</v>
      </c>
    </row>
    <row r="2514" spans="1:12" x14ac:dyDescent="0.2">
      <c r="A2514" t="s">
        <v>30</v>
      </c>
      <c r="B2514" t="s">
        <v>12</v>
      </c>
      <c r="C2514">
        <v>30.86</v>
      </c>
      <c r="D2514" t="s">
        <v>26</v>
      </c>
      <c r="E2514" t="s">
        <v>29</v>
      </c>
      <c r="F2514" t="s">
        <v>32</v>
      </c>
      <c r="G2514" t="s">
        <v>332</v>
      </c>
      <c r="H2514" t="s">
        <v>33</v>
      </c>
      <c r="I2514" t="s">
        <v>20</v>
      </c>
      <c r="J2514" t="s">
        <v>353</v>
      </c>
      <c r="K2514" s="1">
        <v>0.82515571759259254</v>
      </c>
      <c r="L2514">
        <f>YEAR(Coffe_sales[[#This Row],[Date]])</f>
        <v>2024</v>
      </c>
    </row>
    <row r="2515" spans="1:12" x14ac:dyDescent="0.2">
      <c r="A2515" t="s">
        <v>30</v>
      </c>
      <c r="B2515" t="s">
        <v>12</v>
      </c>
      <c r="C2515">
        <v>25.96</v>
      </c>
      <c r="D2515" t="s">
        <v>41</v>
      </c>
      <c r="E2515" t="s">
        <v>29</v>
      </c>
      <c r="F2515" t="s">
        <v>32</v>
      </c>
      <c r="G2515" t="s">
        <v>332</v>
      </c>
      <c r="H2515" t="s">
        <v>33</v>
      </c>
      <c r="I2515" t="s">
        <v>20</v>
      </c>
      <c r="J2515" t="s">
        <v>353</v>
      </c>
      <c r="K2515" s="1">
        <v>0.82622417824074079</v>
      </c>
      <c r="L2515">
        <f>YEAR(Coffe_sales[[#This Row],[Date]])</f>
        <v>2024</v>
      </c>
    </row>
    <row r="2516" spans="1:12" x14ac:dyDescent="0.2">
      <c r="A2516" t="s">
        <v>131</v>
      </c>
      <c r="B2516" t="s">
        <v>12</v>
      </c>
      <c r="C2516">
        <v>25.96</v>
      </c>
      <c r="D2516" t="s">
        <v>41</v>
      </c>
      <c r="E2516" t="s">
        <v>29</v>
      </c>
      <c r="F2516" t="s">
        <v>32</v>
      </c>
      <c r="G2516" t="s">
        <v>332</v>
      </c>
      <c r="H2516" t="s">
        <v>33</v>
      </c>
      <c r="I2516" t="s">
        <v>20</v>
      </c>
      <c r="J2516" t="s">
        <v>353</v>
      </c>
      <c r="K2516" s="1">
        <v>0.90957538194444443</v>
      </c>
      <c r="L2516">
        <f>YEAR(Coffe_sales[[#This Row],[Date]])</f>
        <v>2024</v>
      </c>
    </row>
    <row r="2517" spans="1:12" x14ac:dyDescent="0.2">
      <c r="A2517" t="s">
        <v>131</v>
      </c>
      <c r="B2517" t="s">
        <v>12</v>
      </c>
      <c r="C2517">
        <v>35.76</v>
      </c>
      <c r="D2517" t="s">
        <v>13</v>
      </c>
      <c r="E2517" t="s">
        <v>29</v>
      </c>
      <c r="F2517" t="s">
        <v>32</v>
      </c>
      <c r="G2517" t="s">
        <v>332</v>
      </c>
      <c r="H2517" t="s">
        <v>33</v>
      </c>
      <c r="I2517" t="s">
        <v>20</v>
      </c>
      <c r="J2517" t="s">
        <v>353</v>
      </c>
      <c r="K2517" s="1">
        <v>0.91584206018518521</v>
      </c>
      <c r="L2517">
        <f>YEAR(Coffe_sales[[#This Row],[Date]])</f>
        <v>2024</v>
      </c>
    </row>
    <row r="2518" spans="1:12" x14ac:dyDescent="0.2">
      <c r="A2518" t="s">
        <v>125</v>
      </c>
      <c r="B2518" t="s">
        <v>12</v>
      </c>
      <c r="C2518">
        <v>25.96</v>
      </c>
      <c r="D2518" t="s">
        <v>41</v>
      </c>
      <c r="E2518" t="s">
        <v>29</v>
      </c>
      <c r="F2518" t="s">
        <v>32</v>
      </c>
      <c r="G2518" t="s">
        <v>332</v>
      </c>
      <c r="H2518" t="s">
        <v>33</v>
      </c>
      <c r="I2518" t="s">
        <v>20</v>
      </c>
      <c r="J2518" t="s">
        <v>353</v>
      </c>
      <c r="K2518" s="1">
        <v>0.92794142361111109</v>
      </c>
      <c r="L2518">
        <f>YEAR(Coffe_sales[[#This Row],[Date]])</f>
        <v>2024</v>
      </c>
    </row>
    <row r="2519" spans="1:12" x14ac:dyDescent="0.2">
      <c r="A2519" t="s">
        <v>11</v>
      </c>
      <c r="B2519" t="s">
        <v>12</v>
      </c>
      <c r="C2519">
        <v>35.76</v>
      </c>
      <c r="D2519" t="s">
        <v>52</v>
      </c>
      <c r="E2519" t="s">
        <v>14</v>
      </c>
      <c r="F2519" t="s">
        <v>38</v>
      </c>
      <c r="G2519" t="s">
        <v>332</v>
      </c>
      <c r="H2519" t="s">
        <v>39</v>
      </c>
      <c r="I2519" t="s">
        <v>20</v>
      </c>
      <c r="J2519" t="s">
        <v>354</v>
      </c>
      <c r="K2519" s="1">
        <v>0.44648293981481479</v>
      </c>
      <c r="L2519">
        <f>YEAR(Coffe_sales[[#This Row],[Date]])</f>
        <v>2024</v>
      </c>
    </row>
    <row r="2520" spans="1:12" x14ac:dyDescent="0.2">
      <c r="A2520" t="s">
        <v>28</v>
      </c>
      <c r="B2520" t="s">
        <v>12</v>
      </c>
      <c r="C2520">
        <v>35.76</v>
      </c>
      <c r="D2520" t="s">
        <v>52</v>
      </c>
      <c r="E2520" t="s">
        <v>29</v>
      </c>
      <c r="F2520" t="s">
        <v>38</v>
      </c>
      <c r="G2520" t="s">
        <v>332</v>
      </c>
      <c r="H2520" t="s">
        <v>39</v>
      </c>
      <c r="I2520" t="s">
        <v>20</v>
      </c>
      <c r="J2520" t="s">
        <v>354</v>
      </c>
      <c r="K2520" s="1">
        <v>0.78870960648148147</v>
      </c>
      <c r="L2520">
        <f>YEAR(Coffe_sales[[#This Row],[Date]])</f>
        <v>2024</v>
      </c>
    </row>
    <row r="2521" spans="1:12" x14ac:dyDescent="0.2">
      <c r="A2521" t="s">
        <v>30</v>
      </c>
      <c r="B2521" t="s">
        <v>12</v>
      </c>
      <c r="C2521">
        <v>35.76</v>
      </c>
      <c r="D2521" t="s">
        <v>21</v>
      </c>
      <c r="E2521" t="s">
        <v>29</v>
      </c>
      <c r="F2521" t="s">
        <v>38</v>
      </c>
      <c r="G2521" t="s">
        <v>332</v>
      </c>
      <c r="H2521" t="s">
        <v>39</v>
      </c>
      <c r="I2521" t="s">
        <v>20</v>
      </c>
      <c r="J2521" t="s">
        <v>354</v>
      </c>
      <c r="K2521" s="1">
        <v>0.81650287037037039</v>
      </c>
      <c r="L2521">
        <f>YEAR(Coffe_sales[[#This Row],[Date]])</f>
        <v>2024</v>
      </c>
    </row>
    <row r="2522" spans="1:12" x14ac:dyDescent="0.2">
      <c r="A2522" t="s">
        <v>30</v>
      </c>
      <c r="B2522" t="s">
        <v>12</v>
      </c>
      <c r="C2522">
        <v>35.76</v>
      </c>
      <c r="D2522" t="s">
        <v>21</v>
      </c>
      <c r="E2522" t="s">
        <v>29</v>
      </c>
      <c r="F2522" t="s">
        <v>38</v>
      </c>
      <c r="G2522" t="s">
        <v>332</v>
      </c>
      <c r="H2522" t="s">
        <v>39</v>
      </c>
      <c r="I2522" t="s">
        <v>20</v>
      </c>
      <c r="J2522" t="s">
        <v>354</v>
      </c>
      <c r="K2522" s="1">
        <v>0.8170123032407407</v>
      </c>
      <c r="L2522">
        <f>YEAR(Coffe_sales[[#This Row],[Date]])</f>
        <v>2024</v>
      </c>
    </row>
    <row r="2523" spans="1:12" x14ac:dyDescent="0.2">
      <c r="A2523" t="s">
        <v>91</v>
      </c>
      <c r="B2523" t="s">
        <v>12</v>
      </c>
      <c r="C2523">
        <v>35.76</v>
      </c>
      <c r="D2523" t="s">
        <v>21</v>
      </c>
      <c r="E2523" t="s">
        <v>29</v>
      </c>
      <c r="F2523" t="s">
        <v>38</v>
      </c>
      <c r="G2523" t="s">
        <v>332</v>
      </c>
      <c r="H2523" t="s">
        <v>39</v>
      </c>
      <c r="I2523" t="s">
        <v>20</v>
      </c>
      <c r="J2523" t="s">
        <v>354</v>
      </c>
      <c r="K2523" s="1">
        <v>0.85181402777777782</v>
      </c>
      <c r="L2523">
        <f>YEAR(Coffe_sales[[#This Row],[Date]])</f>
        <v>2024</v>
      </c>
    </row>
    <row r="2524" spans="1:12" x14ac:dyDescent="0.2">
      <c r="A2524" t="s">
        <v>131</v>
      </c>
      <c r="B2524" t="s">
        <v>12</v>
      </c>
      <c r="C2524">
        <v>35.76</v>
      </c>
      <c r="D2524" t="s">
        <v>31</v>
      </c>
      <c r="E2524" t="s">
        <v>29</v>
      </c>
      <c r="F2524" t="s">
        <v>38</v>
      </c>
      <c r="G2524" t="s">
        <v>332</v>
      </c>
      <c r="H2524" t="s">
        <v>39</v>
      </c>
      <c r="I2524" t="s">
        <v>20</v>
      </c>
      <c r="J2524" t="s">
        <v>354</v>
      </c>
      <c r="K2524" s="1">
        <v>0.91341150462962961</v>
      </c>
      <c r="L2524">
        <f>YEAR(Coffe_sales[[#This Row],[Date]])</f>
        <v>2024</v>
      </c>
    </row>
    <row r="2525" spans="1:12" x14ac:dyDescent="0.2">
      <c r="A2525" t="s">
        <v>131</v>
      </c>
      <c r="B2525" t="s">
        <v>12</v>
      </c>
      <c r="C2525">
        <v>25.96</v>
      </c>
      <c r="D2525" t="s">
        <v>41</v>
      </c>
      <c r="E2525" t="s">
        <v>29</v>
      </c>
      <c r="F2525" t="s">
        <v>38</v>
      </c>
      <c r="G2525" t="s">
        <v>332</v>
      </c>
      <c r="H2525" t="s">
        <v>39</v>
      </c>
      <c r="I2525" t="s">
        <v>20</v>
      </c>
      <c r="J2525" t="s">
        <v>354</v>
      </c>
      <c r="K2525" s="1">
        <v>0.91454046296296299</v>
      </c>
      <c r="L2525">
        <f>YEAR(Coffe_sales[[#This Row],[Date]])</f>
        <v>2024</v>
      </c>
    </row>
    <row r="2526" spans="1:12" x14ac:dyDescent="0.2">
      <c r="A2526" t="s">
        <v>46</v>
      </c>
      <c r="B2526" t="s">
        <v>12</v>
      </c>
      <c r="C2526">
        <v>25.96</v>
      </c>
      <c r="D2526" t="s">
        <v>41</v>
      </c>
      <c r="E2526" t="s">
        <v>14</v>
      </c>
      <c r="F2526" t="s">
        <v>42</v>
      </c>
      <c r="G2526" t="s">
        <v>332</v>
      </c>
      <c r="H2526" t="s">
        <v>43</v>
      </c>
      <c r="I2526" t="s">
        <v>20</v>
      </c>
      <c r="J2526" t="s">
        <v>355</v>
      </c>
      <c r="K2526" s="1">
        <v>0.37732667824074073</v>
      </c>
      <c r="L2526">
        <f>YEAR(Coffe_sales[[#This Row],[Date]])</f>
        <v>2024</v>
      </c>
    </row>
    <row r="2527" spans="1:12" x14ac:dyDescent="0.2">
      <c r="A2527" t="s">
        <v>46</v>
      </c>
      <c r="B2527" t="s">
        <v>12</v>
      </c>
      <c r="C2527">
        <v>30.86</v>
      </c>
      <c r="D2527" t="s">
        <v>26</v>
      </c>
      <c r="E2527" t="s">
        <v>14</v>
      </c>
      <c r="F2527" t="s">
        <v>42</v>
      </c>
      <c r="G2527" t="s">
        <v>332</v>
      </c>
      <c r="H2527" t="s">
        <v>43</v>
      </c>
      <c r="I2527" t="s">
        <v>20</v>
      </c>
      <c r="J2527" t="s">
        <v>355</v>
      </c>
      <c r="K2527" s="1">
        <v>0.39048489583333335</v>
      </c>
      <c r="L2527">
        <f>YEAR(Coffe_sales[[#This Row],[Date]])</f>
        <v>2024</v>
      </c>
    </row>
    <row r="2528" spans="1:12" x14ac:dyDescent="0.2">
      <c r="A2528" t="s">
        <v>11</v>
      </c>
      <c r="B2528" t="s">
        <v>12</v>
      </c>
      <c r="C2528">
        <v>30.86</v>
      </c>
      <c r="D2528" t="s">
        <v>26</v>
      </c>
      <c r="E2528" t="s">
        <v>14</v>
      </c>
      <c r="F2528" t="s">
        <v>42</v>
      </c>
      <c r="G2528" t="s">
        <v>332</v>
      </c>
      <c r="H2528" t="s">
        <v>43</v>
      </c>
      <c r="I2528" t="s">
        <v>20</v>
      </c>
      <c r="J2528" t="s">
        <v>355</v>
      </c>
      <c r="K2528" s="1">
        <v>0.44587287037037038</v>
      </c>
      <c r="L2528">
        <f>YEAR(Coffe_sales[[#This Row],[Date]])</f>
        <v>2024</v>
      </c>
    </row>
    <row r="2529" spans="1:12" x14ac:dyDescent="0.2">
      <c r="A2529" t="s">
        <v>35</v>
      </c>
      <c r="B2529" t="s">
        <v>12</v>
      </c>
      <c r="C2529">
        <v>35.76</v>
      </c>
      <c r="D2529" t="s">
        <v>52</v>
      </c>
      <c r="E2529" t="s">
        <v>14</v>
      </c>
      <c r="F2529" t="s">
        <v>42</v>
      </c>
      <c r="G2529" t="s">
        <v>332</v>
      </c>
      <c r="H2529" t="s">
        <v>43</v>
      </c>
      <c r="I2529" t="s">
        <v>20</v>
      </c>
      <c r="J2529" t="s">
        <v>355</v>
      </c>
      <c r="K2529" s="1">
        <v>0.48326884259259262</v>
      </c>
      <c r="L2529">
        <f>YEAR(Coffe_sales[[#This Row],[Date]])</f>
        <v>2024</v>
      </c>
    </row>
    <row r="2530" spans="1:12" x14ac:dyDescent="0.2">
      <c r="A2530" t="s">
        <v>36</v>
      </c>
      <c r="B2530" t="s">
        <v>12</v>
      </c>
      <c r="C2530">
        <v>35.76</v>
      </c>
      <c r="D2530" t="s">
        <v>13</v>
      </c>
      <c r="E2530" t="s">
        <v>22</v>
      </c>
      <c r="F2530" t="s">
        <v>42</v>
      </c>
      <c r="G2530" t="s">
        <v>332</v>
      </c>
      <c r="H2530" t="s">
        <v>43</v>
      </c>
      <c r="I2530" t="s">
        <v>20</v>
      </c>
      <c r="J2530" t="s">
        <v>355</v>
      </c>
      <c r="K2530" s="1">
        <v>0.58717285879629633</v>
      </c>
      <c r="L2530">
        <f>YEAR(Coffe_sales[[#This Row],[Date]])</f>
        <v>2024</v>
      </c>
    </row>
    <row r="2531" spans="1:12" x14ac:dyDescent="0.2">
      <c r="A2531" t="s">
        <v>25</v>
      </c>
      <c r="B2531" t="s">
        <v>12</v>
      </c>
      <c r="C2531">
        <v>30.86</v>
      </c>
      <c r="D2531" t="s">
        <v>26</v>
      </c>
      <c r="E2531" t="s">
        <v>22</v>
      </c>
      <c r="F2531" t="s">
        <v>42</v>
      </c>
      <c r="G2531" t="s">
        <v>332</v>
      </c>
      <c r="H2531" t="s">
        <v>43</v>
      </c>
      <c r="I2531" t="s">
        <v>20</v>
      </c>
      <c r="J2531" t="s">
        <v>355</v>
      </c>
      <c r="K2531" s="1">
        <v>0.62527406249999995</v>
      </c>
      <c r="L2531">
        <f>YEAR(Coffe_sales[[#This Row],[Date]])</f>
        <v>2024</v>
      </c>
    </row>
    <row r="2532" spans="1:12" x14ac:dyDescent="0.2">
      <c r="A2532" t="s">
        <v>27</v>
      </c>
      <c r="B2532" t="s">
        <v>12</v>
      </c>
      <c r="C2532">
        <v>35.76</v>
      </c>
      <c r="D2532" t="s">
        <v>13</v>
      </c>
      <c r="E2532" t="s">
        <v>22</v>
      </c>
      <c r="F2532" t="s">
        <v>42</v>
      </c>
      <c r="G2532" t="s">
        <v>332</v>
      </c>
      <c r="H2532" t="s">
        <v>43</v>
      </c>
      <c r="I2532" t="s">
        <v>20</v>
      </c>
      <c r="J2532" t="s">
        <v>355</v>
      </c>
      <c r="K2532" s="1">
        <v>0.67697271990740737</v>
      </c>
      <c r="L2532">
        <f>YEAR(Coffe_sales[[#This Row],[Date]])</f>
        <v>2024</v>
      </c>
    </row>
    <row r="2533" spans="1:12" x14ac:dyDescent="0.2">
      <c r="A2533" t="s">
        <v>37</v>
      </c>
      <c r="B2533" t="s">
        <v>12</v>
      </c>
      <c r="C2533">
        <v>25.96</v>
      </c>
      <c r="D2533" t="s">
        <v>41</v>
      </c>
      <c r="E2533" t="s">
        <v>29</v>
      </c>
      <c r="F2533" t="s">
        <v>42</v>
      </c>
      <c r="G2533" t="s">
        <v>332</v>
      </c>
      <c r="H2533" t="s">
        <v>43</v>
      </c>
      <c r="I2533" t="s">
        <v>20</v>
      </c>
      <c r="J2533" t="s">
        <v>355</v>
      </c>
      <c r="K2533" s="1">
        <v>0.72315387731481484</v>
      </c>
      <c r="L2533">
        <f>YEAR(Coffe_sales[[#This Row],[Date]])</f>
        <v>2024</v>
      </c>
    </row>
    <row r="2534" spans="1:12" x14ac:dyDescent="0.2">
      <c r="A2534" t="s">
        <v>37</v>
      </c>
      <c r="B2534" t="s">
        <v>12</v>
      </c>
      <c r="C2534">
        <v>35.76</v>
      </c>
      <c r="D2534" t="s">
        <v>13</v>
      </c>
      <c r="E2534" t="s">
        <v>29</v>
      </c>
      <c r="F2534" t="s">
        <v>42</v>
      </c>
      <c r="G2534" t="s">
        <v>332</v>
      </c>
      <c r="H2534" t="s">
        <v>43</v>
      </c>
      <c r="I2534" t="s">
        <v>20</v>
      </c>
      <c r="J2534" t="s">
        <v>355</v>
      </c>
      <c r="K2534" s="1">
        <v>0.72407751157407407</v>
      </c>
      <c r="L2534">
        <f>YEAR(Coffe_sales[[#This Row],[Date]])</f>
        <v>2024</v>
      </c>
    </row>
    <row r="2535" spans="1:12" x14ac:dyDescent="0.2">
      <c r="A2535" t="s">
        <v>91</v>
      </c>
      <c r="B2535" t="s">
        <v>12</v>
      </c>
      <c r="C2535">
        <v>25.96</v>
      </c>
      <c r="D2535" t="s">
        <v>41</v>
      </c>
      <c r="E2535" t="s">
        <v>29</v>
      </c>
      <c r="F2535" t="s">
        <v>42</v>
      </c>
      <c r="G2535" t="s">
        <v>332</v>
      </c>
      <c r="H2535" t="s">
        <v>43</v>
      </c>
      <c r="I2535" t="s">
        <v>20</v>
      </c>
      <c r="J2535" t="s">
        <v>355</v>
      </c>
      <c r="K2535" s="1">
        <v>0.86536141203703709</v>
      </c>
      <c r="L2535">
        <f>YEAR(Coffe_sales[[#This Row],[Date]])</f>
        <v>2024</v>
      </c>
    </row>
    <row r="2536" spans="1:12" x14ac:dyDescent="0.2">
      <c r="A2536" t="s">
        <v>25</v>
      </c>
      <c r="B2536" t="s">
        <v>12</v>
      </c>
      <c r="C2536">
        <v>30.86</v>
      </c>
      <c r="D2536" t="s">
        <v>26</v>
      </c>
      <c r="E2536" t="s">
        <v>22</v>
      </c>
      <c r="F2536" t="s">
        <v>47</v>
      </c>
      <c r="G2536" t="s">
        <v>332</v>
      </c>
      <c r="H2536" t="s">
        <v>48</v>
      </c>
      <c r="I2536" t="s">
        <v>20</v>
      </c>
      <c r="J2536" t="s">
        <v>356</v>
      </c>
      <c r="K2536" s="1">
        <v>0.63244700231481477</v>
      </c>
      <c r="L2536">
        <f>YEAR(Coffe_sales[[#This Row],[Date]])</f>
        <v>2024</v>
      </c>
    </row>
    <row r="2537" spans="1:12" x14ac:dyDescent="0.2">
      <c r="A2537" t="s">
        <v>27</v>
      </c>
      <c r="B2537" t="s">
        <v>12</v>
      </c>
      <c r="C2537">
        <v>35.76</v>
      </c>
      <c r="D2537" t="s">
        <v>21</v>
      </c>
      <c r="E2537" t="s">
        <v>22</v>
      </c>
      <c r="F2537" t="s">
        <v>47</v>
      </c>
      <c r="G2537" t="s">
        <v>332</v>
      </c>
      <c r="H2537" t="s">
        <v>48</v>
      </c>
      <c r="I2537" t="s">
        <v>20</v>
      </c>
      <c r="J2537" t="s">
        <v>356</v>
      </c>
      <c r="K2537" s="1">
        <v>0.67266354166666664</v>
      </c>
      <c r="L2537">
        <f>YEAR(Coffe_sales[[#This Row],[Date]])</f>
        <v>2024</v>
      </c>
    </row>
    <row r="2538" spans="1:12" x14ac:dyDescent="0.2">
      <c r="A2538" t="s">
        <v>37</v>
      </c>
      <c r="B2538" t="s">
        <v>12</v>
      </c>
      <c r="C2538">
        <v>25.96</v>
      </c>
      <c r="D2538" t="s">
        <v>41</v>
      </c>
      <c r="E2538" t="s">
        <v>29</v>
      </c>
      <c r="F2538" t="s">
        <v>47</v>
      </c>
      <c r="G2538" t="s">
        <v>332</v>
      </c>
      <c r="H2538" t="s">
        <v>48</v>
      </c>
      <c r="I2538" t="s">
        <v>20</v>
      </c>
      <c r="J2538" t="s">
        <v>356</v>
      </c>
      <c r="K2538" s="1">
        <v>0.74685832175925926</v>
      </c>
      <c r="L2538">
        <f>YEAR(Coffe_sales[[#This Row],[Date]])</f>
        <v>2024</v>
      </c>
    </row>
    <row r="2539" spans="1:12" x14ac:dyDescent="0.2">
      <c r="A2539" t="s">
        <v>30</v>
      </c>
      <c r="B2539" t="s">
        <v>12</v>
      </c>
      <c r="C2539">
        <v>35.76</v>
      </c>
      <c r="D2539" t="s">
        <v>21</v>
      </c>
      <c r="E2539" t="s">
        <v>29</v>
      </c>
      <c r="F2539" t="s">
        <v>47</v>
      </c>
      <c r="G2539" t="s">
        <v>332</v>
      </c>
      <c r="H2539" t="s">
        <v>48</v>
      </c>
      <c r="I2539" t="s">
        <v>20</v>
      </c>
      <c r="J2539" t="s">
        <v>356</v>
      </c>
      <c r="K2539" s="1">
        <v>0.79903092592592595</v>
      </c>
      <c r="L2539">
        <f>YEAR(Coffe_sales[[#This Row],[Date]])</f>
        <v>2024</v>
      </c>
    </row>
    <row r="2540" spans="1:12" x14ac:dyDescent="0.2">
      <c r="A2540" t="s">
        <v>30</v>
      </c>
      <c r="B2540" t="s">
        <v>12</v>
      </c>
      <c r="C2540">
        <v>35.76</v>
      </c>
      <c r="D2540" t="s">
        <v>13</v>
      </c>
      <c r="E2540" t="s">
        <v>29</v>
      </c>
      <c r="F2540" t="s">
        <v>47</v>
      </c>
      <c r="G2540" t="s">
        <v>332</v>
      </c>
      <c r="H2540" t="s">
        <v>48</v>
      </c>
      <c r="I2540" t="s">
        <v>20</v>
      </c>
      <c r="J2540" t="s">
        <v>356</v>
      </c>
      <c r="K2540" s="1">
        <v>0.79973222222222218</v>
      </c>
      <c r="L2540">
        <f>YEAR(Coffe_sales[[#This Row],[Date]])</f>
        <v>2024</v>
      </c>
    </row>
    <row r="2541" spans="1:12" x14ac:dyDescent="0.2">
      <c r="A2541" t="s">
        <v>30</v>
      </c>
      <c r="B2541" t="s">
        <v>12</v>
      </c>
      <c r="C2541">
        <v>21.06</v>
      </c>
      <c r="D2541" t="s">
        <v>45</v>
      </c>
      <c r="E2541" t="s">
        <v>29</v>
      </c>
      <c r="F2541" t="s">
        <v>47</v>
      </c>
      <c r="G2541" t="s">
        <v>332</v>
      </c>
      <c r="H2541" t="s">
        <v>48</v>
      </c>
      <c r="I2541" t="s">
        <v>20</v>
      </c>
      <c r="J2541" t="s">
        <v>356</v>
      </c>
      <c r="K2541" s="1">
        <v>0.80040488425925926</v>
      </c>
      <c r="L2541">
        <f>YEAR(Coffe_sales[[#This Row],[Date]])</f>
        <v>2024</v>
      </c>
    </row>
    <row r="2542" spans="1:12" x14ac:dyDescent="0.2">
      <c r="A2542" t="s">
        <v>30</v>
      </c>
      <c r="B2542" t="s">
        <v>12</v>
      </c>
      <c r="C2542">
        <v>35.76</v>
      </c>
      <c r="D2542" t="s">
        <v>52</v>
      </c>
      <c r="E2542" t="s">
        <v>29</v>
      </c>
      <c r="F2542" t="s">
        <v>47</v>
      </c>
      <c r="G2542" t="s">
        <v>332</v>
      </c>
      <c r="H2542" t="s">
        <v>48</v>
      </c>
      <c r="I2542" t="s">
        <v>20</v>
      </c>
      <c r="J2542" t="s">
        <v>356</v>
      </c>
      <c r="K2542" s="1">
        <v>0.8166936574074074</v>
      </c>
      <c r="L2542">
        <f>YEAR(Coffe_sales[[#This Row],[Date]])</f>
        <v>2024</v>
      </c>
    </row>
    <row r="2543" spans="1:12" x14ac:dyDescent="0.2">
      <c r="A2543" t="s">
        <v>11</v>
      </c>
      <c r="B2543" t="s">
        <v>12</v>
      </c>
      <c r="C2543">
        <v>35.76</v>
      </c>
      <c r="D2543" t="s">
        <v>13</v>
      </c>
      <c r="E2543" t="s">
        <v>14</v>
      </c>
      <c r="F2543" t="s">
        <v>50</v>
      </c>
      <c r="G2543" t="s">
        <v>332</v>
      </c>
      <c r="H2543" t="s">
        <v>18</v>
      </c>
      <c r="I2543" t="s">
        <v>20</v>
      </c>
      <c r="J2543" t="s">
        <v>357</v>
      </c>
      <c r="K2543" s="1">
        <v>0.44718540509259258</v>
      </c>
      <c r="L2543">
        <f>YEAR(Coffe_sales[[#This Row],[Date]])</f>
        <v>2024</v>
      </c>
    </row>
    <row r="2544" spans="1:12" x14ac:dyDescent="0.2">
      <c r="A2544" t="s">
        <v>11</v>
      </c>
      <c r="B2544" t="s">
        <v>12</v>
      </c>
      <c r="C2544">
        <v>35.76</v>
      </c>
      <c r="D2544" t="s">
        <v>13</v>
      </c>
      <c r="E2544" t="s">
        <v>14</v>
      </c>
      <c r="F2544" t="s">
        <v>50</v>
      </c>
      <c r="G2544" t="s">
        <v>332</v>
      </c>
      <c r="H2544" t="s">
        <v>18</v>
      </c>
      <c r="I2544" t="s">
        <v>20</v>
      </c>
      <c r="J2544" t="s">
        <v>357</v>
      </c>
      <c r="K2544" s="1">
        <v>0.44794421296296294</v>
      </c>
      <c r="L2544">
        <f>YEAR(Coffe_sales[[#This Row],[Date]])</f>
        <v>2024</v>
      </c>
    </row>
    <row r="2545" spans="1:12" x14ac:dyDescent="0.2">
      <c r="A2545" t="s">
        <v>20</v>
      </c>
      <c r="B2545" t="s">
        <v>12</v>
      </c>
      <c r="C2545">
        <v>30.86</v>
      </c>
      <c r="D2545" t="s">
        <v>26</v>
      </c>
      <c r="E2545" t="s">
        <v>22</v>
      </c>
      <c r="F2545" t="s">
        <v>50</v>
      </c>
      <c r="G2545" t="s">
        <v>332</v>
      </c>
      <c r="H2545" t="s">
        <v>18</v>
      </c>
      <c r="I2545" t="s">
        <v>20</v>
      </c>
      <c r="J2545" t="s">
        <v>357</v>
      </c>
      <c r="K2545" s="1">
        <v>0.52434357638888884</v>
      </c>
      <c r="L2545">
        <f>YEAR(Coffe_sales[[#This Row],[Date]])</f>
        <v>2024</v>
      </c>
    </row>
    <row r="2546" spans="1:12" x14ac:dyDescent="0.2">
      <c r="A2546" t="s">
        <v>20</v>
      </c>
      <c r="B2546" t="s">
        <v>12</v>
      </c>
      <c r="C2546">
        <v>25.96</v>
      </c>
      <c r="D2546" t="s">
        <v>24</v>
      </c>
      <c r="E2546" t="s">
        <v>22</v>
      </c>
      <c r="F2546" t="s">
        <v>50</v>
      </c>
      <c r="G2546" t="s">
        <v>332</v>
      </c>
      <c r="H2546" t="s">
        <v>18</v>
      </c>
      <c r="I2546" t="s">
        <v>20</v>
      </c>
      <c r="J2546" t="s">
        <v>357</v>
      </c>
      <c r="K2546" s="1">
        <v>0.52500091435185181</v>
      </c>
      <c r="L2546">
        <f>YEAR(Coffe_sales[[#This Row],[Date]])</f>
        <v>2024</v>
      </c>
    </row>
    <row r="2547" spans="1:12" x14ac:dyDescent="0.2">
      <c r="A2547" t="s">
        <v>23</v>
      </c>
      <c r="B2547" t="s">
        <v>12</v>
      </c>
      <c r="C2547">
        <v>30.86</v>
      </c>
      <c r="D2547" t="s">
        <v>26</v>
      </c>
      <c r="E2547" t="s">
        <v>22</v>
      </c>
      <c r="F2547" t="s">
        <v>50</v>
      </c>
      <c r="G2547" t="s">
        <v>332</v>
      </c>
      <c r="H2547" t="s">
        <v>18</v>
      </c>
      <c r="I2547" t="s">
        <v>20</v>
      </c>
      <c r="J2547" t="s">
        <v>357</v>
      </c>
      <c r="K2547" s="1">
        <v>0.55360415509259264</v>
      </c>
      <c r="L2547">
        <f>YEAR(Coffe_sales[[#This Row],[Date]])</f>
        <v>2024</v>
      </c>
    </row>
    <row r="2548" spans="1:12" x14ac:dyDescent="0.2">
      <c r="A2548" t="s">
        <v>23</v>
      </c>
      <c r="B2548" t="s">
        <v>12</v>
      </c>
      <c r="C2548">
        <v>25.96</v>
      </c>
      <c r="D2548" t="s">
        <v>24</v>
      </c>
      <c r="E2548" t="s">
        <v>22</v>
      </c>
      <c r="F2548" t="s">
        <v>50</v>
      </c>
      <c r="G2548" t="s">
        <v>332</v>
      </c>
      <c r="H2548" t="s">
        <v>18</v>
      </c>
      <c r="I2548" t="s">
        <v>20</v>
      </c>
      <c r="J2548" t="s">
        <v>357</v>
      </c>
      <c r="K2548" s="1">
        <v>0.56443917824074075</v>
      </c>
      <c r="L2548">
        <f>YEAR(Coffe_sales[[#This Row],[Date]])</f>
        <v>2024</v>
      </c>
    </row>
    <row r="2549" spans="1:12" x14ac:dyDescent="0.2">
      <c r="A2549" t="s">
        <v>91</v>
      </c>
      <c r="B2549" t="s">
        <v>12</v>
      </c>
      <c r="C2549">
        <v>35.76</v>
      </c>
      <c r="D2549" t="s">
        <v>52</v>
      </c>
      <c r="E2549" t="s">
        <v>29</v>
      </c>
      <c r="F2549" t="s">
        <v>50</v>
      </c>
      <c r="G2549" t="s">
        <v>332</v>
      </c>
      <c r="H2549" t="s">
        <v>18</v>
      </c>
      <c r="I2549" t="s">
        <v>20</v>
      </c>
      <c r="J2549" t="s">
        <v>357</v>
      </c>
      <c r="K2549" s="1">
        <v>0.83518901620370367</v>
      </c>
      <c r="L2549">
        <f>YEAR(Coffe_sales[[#This Row],[Date]])</f>
        <v>2024</v>
      </c>
    </row>
    <row r="2550" spans="1:12" x14ac:dyDescent="0.2">
      <c r="A2550" t="s">
        <v>131</v>
      </c>
      <c r="B2550" t="s">
        <v>12</v>
      </c>
      <c r="C2550">
        <v>35.76</v>
      </c>
      <c r="D2550" t="s">
        <v>31</v>
      </c>
      <c r="E2550" t="s">
        <v>29</v>
      </c>
      <c r="F2550" t="s">
        <v>50</v>
      </c>
      <c r="G2550" t="s">
        <v>332</v>
      </c>
      <c r="H2550" t="s">
        <v>18</v>
      </c>
      <c r="I2550" t="s">
        <v>20</v>
      </c>
      <c r="J2550" t="s">
        <v>357</v>
      </c>
      <c r="K2550" s="1">
        <v>0.88807689814814816</v>
      </c>
      <c r="L2550">
        <f>YEAR(Coffe_sales[[#This Row],[Date]])</f>
        <v>2024</v>
      </c>
    </row>
    <row r="2551" spans="1:12" x14ac:dyDescent="0.2">
      <c r="A2551" t="s">
        <v>131</v>
      </c>
      <c r="B2551" t="s">
        <v>12</v>
      </c>
      <c r="C2551">
        <v>35.76</v>
      </c>
      <c r="D2551" t="s">
        <v>31</v>
      </c>
      <c r="E2551" t="s">
        <v>29</v>
      </c>
      <c r="F2551" t="s">
        <v>50</v>
      </c>
      <c r="G2551" t="s">
        <v>332</v>
      </c>
      <c r="H2551" t="s">
        <v>18</v>
      </c>
      <c r="I2551" t="s">
        <v>20</v>
      </c>
      <c r="J2551" t="s">
        <v>357</v>
      </c>
      <c r="K2551" s="1">
        <v>0.88868163194444449</v>
      </c>
      <c r="L2551">
        <f>YEAR(Coffe_sales[[#This Row],[Date]])</f>
        <v>2024</v>
      </c>
    </row>
    <row r="2552" spans="1:12" x14ac:dyDescent="0.2">
      <c r="A2552" t="s">
        <v>131</v>
      </c>
      <c r="B2552" t="s">
        <v>12</v>
      </c>
      <c r="C2552">
        <v>35.76</v>
      </c>
      <c r="D2552" t="s">
        <v>13</v>
      </c>
      <c r="E2552" t="s">
        <v>29</v>
      </c>
      <c r="F2552" t="s">
        <v>50</v>
      </c>
      <c r="G2552" t="s">
        <v>332</v>
      </c>
      <c r="H2552" t="s">
        <v>18</v>
      </c>
      <c r="I2552" t="s">
        <v>20</v>
      </c>
      <c r="J2552" t="s">
        <v>357</v>
      </c>
      <c r="K2552" s="1">
        <v>0.91493368055555557</v>
      </c>
      <c r="L2552">
        <f>YEAR(Coffe_sales[[#This Row],[Date]])</f>
        <v>2024</v>
      </c>
    </row>
    <row r="2553" spans="1:12" x14ac:dyDescent="0.2">
      <c r="A2553" t="s">
        <v>125</v>
      </c>
      <c r="B2553" t="s">
        <v>12</v>
      </c>
      <c r="C2553">
        <v>35.76</v>
      </c>
      <c r="D2553" t="s">
        <v>52</v>
      </c>
      <c r="E2553" t="s">
        <v>29</v>
      </c>
      <c r="F2553" t="s">
        <v>50</v>
      </c>
      <c r="G2553" t="s">
        <v>332</v>
      </c>
      <c r="H2553" t="s">
        <v>18</v>
      </c>
      <c r="I2553" t="s">
        <v>20</v>
      </c>
      <c r="J2553" t="s">
        <v>357</v>
      </c>
      <c r="K2553" s="1">
        <v>0.95211690972222218</v>
      </c>
      <c r="L2553">
        <f>YEAR(Coffe_sales[[#This Row],[Date]])</f>
        <v>2024</v>
      </c>
    </row>
    <row r="2554" spans="1:12" x14ac:dyDescent="0.2">
      <c r="A2554" t="s">
        <v>125</v>
      </c>
      <c r="B2554" t="s">
        <v>12</v>
      </c>
      <c r="C2554">
        <v>30.86</v>
      </c>
      <c r="D2554" t="s">
        <v>26</v>
      </c>
      <c r="E2554" t="s">
        <v>29</v>
      </c>
      <c r="F2554" t="s">
        <v>50</v>
      </c>
      <c r="G2554" t="s">
        <v>332</v>
      </c>
      <c r="H2554" t="s">
        <v>18</v>
      </c>
      <c r="I2554" t="s">
        <v>20</v>
      </c>
      <c r="J2554" t="s">
        <v>357</v>
      </c>
      <c r="K2554" s="1">
        <v>0.95354659722222224</v>
      </c>
      <c r="L2554">
        <f>YEAR(Coffe_sales[[#This Row],[Date]])</f>
        <v>2024</v>
      </c>
    </row>
    <row r="2555" spans="1:12" x14ac:dyDescent="0.2">
      <c r="A2555" t="s">
        <v>23</v>
      </c>
      <c r="B2555" t="s">
        <v>12</v>
      </c>
      <c r="C2555">
        <v>35.76</v>
      </c>
      <c r="D2555" t="s">
        <v>52</v>
      </c>
      <c r="E2555" t="s">
        <v>22</v>
      </c>
      <c r="F2555" t="s">
        <v>53</v>
      </c>
      <c r="G2555" t="s">
        <v>332</v>
      </c>
      <c r="H2555" t="s">
        <v>54</v>
      </c>
      <c r="I2555" t="s">
        <v>20</v>
      </c>
      <c r="J2555" t="s">
        <v>358</v>
      </c>
      <c r="K2555" s="1">
        <v>0.55043912037037035</v>
      </c>
      <c r="L2555">
        <f>YEAR(Coffe_sales[[#This Row],[Date]])</f>
        <v>2024</v>
      </c>
    </row>
    <row r="2556" spans="1:12" x14ac:dyDescent="0.2">
      <c r="A2556" t="s">
        <v>25</v>
      </c>
      <c r="B2556" t="s">
        <v>12</v>
      </c>
      <c r="C2556">
        <v>21.06</v>
      </c>
      <c r="D2556" t="s">
        <v>45</v>
      </c>
      <c r="E2556" t="s">
        <v>22</v>
      </c>
      <c r="F2556" t="s">
        <v>53</v>
      </c>
      <c r="G2556" t="s">
        <v>332</v>
      </c>
      <c r="H2556" t="s">
        <v>54</v>
      </c>
      <c r="I2556" t="s">
        <v>20</v>
      </c>
      <c r="J2556" t="s">
        <v>358</v>
      </c>
      <c r="K2556" s="1">
        <v>0.62817674768518517</v>
      </c>
      <c r="L2556">
        <f>YEAR(Coffe_sales[[#This Row],[Date]])</f>
        <v>2024</v>
      </c>
    </row>
    <row r="2557" spans="1:12" x14ac:dyDescent="0.2">
      <c r="A2557" t="s">
        <v>39</v>
      </c>
      <c r="B2557" t="s">
        <v>12</v>
      </c>
      <c r="C2557">
        <v>25.96</v>
      </c>
      <c r="D2557" t="s">
        <v>24</v>
      </c>
      <c r="E2557" t="s">
        <v>14</v>
      </c>
      <c r="F2557" t="s">
        <v>15</v>
      </c>
      <c r="G2557" t="s">
        <v>332</v>
      </c>
      <c r="H2557" t="s">
        <v>17</v>
      </c>
      <c r="I2557" t="s">
        <v>20</v>
      </c>
      <c r="J2557" t="s">
        <v>359</v>
      </c>
      <c r="K2557" s="1">
        <v>0.32662859953703705</v>
      </c>
      <c r="L2557">
        <f>YEAR(Coffe_sales[[#This Row],[Date]])</f>
        <v>2024</v>
      </c>
    </row>
    <row r="2558" spans="1:12" x14ac:dyDescent="0.2">
      <c r="A2558" t="s">
        <v>123</v>
      </c>
      <c r="B2558" t="s">
        <v>12</v>
      </c>
      <c r="C2558">
        <v>25.96</v>
      </c>
      <c r="D2558" t="s">
        <v>41</v>
      </c>
      <c r="E2558" t="s">
        <v>14</v>
      </c>
      <c r="F2558" t="s">
        <v>15</v>
      </c>
      <c r="G2558" t="s">
        <v>332</v>
      </c>
      <c r="H2558" t="s">
        <v>17</v>
      </c>
      <c r="I2558" t="s">
        <v>20</v>
      </c>
      <c r="J2558" t="s">
        <v>359</v>
      </c>
      <c r="K2558" s="1">
        <v>0.37336703703703705</v>
      </c>
      <c r="L2558">
        <f>YEAR(Coffe_sales[[#This Row],[Date]])</f>
        <v>2024</v>
      </c>
    </row>
    <row r="2559" spans="1:12" x14ac:dyDescent="0.2">
      <c r="A2559" t="s">
        <v>46</v>
      </c>
      <c r="B2559" t="s">
        <v>12</v>
      </c>
      <c r="C2559">
        <v>25.96</v>
      </c>
      <c r="D2559" t="s">
        <v>41</v>
      </c>
      <c r="E2559" t="s">
        <v>14</v>
      </c>
      <c r="F2559" t="s">
        <v>15</v>
      </c>
      <c r="G2559" t="s">
        <v>332</v>
      </c>
      <c r="H2559" t="s">
        <v>17</v>
      </c>
      <c r="I2559" t="s">
        <v>20</v>
      </c>
      <c r="J2559" t="s">
        <v>359</v>
      </c>
      <c r="K2559" s="1">
        <v>0.38188918981481479</v>
      </c>
      <c r="L2559">
        <f>YEAR(Coffe_sales[[#This Row],[Date]])</f>
        <v>2024</v>
      </c>
    </row>
    <row r="2560" spans="1:12" x14ac:dyDescent="0.2">
      <c r="A2560" t="s">
        <v>11</v>
      </c>
      <c r="B2560" t="s">
        <v>12</v>
      </c>
      <c r="C2560">
        <v>30.86</v>
      </c>
      <c r="D2560" t="s">
        <v>26</v>
      </c>
      <c r="E2560" t="s">
        <v>14</v>
      </c>
      <c r="F2560" t="s">
        <v>15</v>
      </c>
      <c r="G2560" t="s">
        <v>332</v>
      </c>
      <c r="H2560" t="s">
        <v>17</v>
      </c>
      <c r="I2560" t="s">
        <v>20</v>
      </c>
      <c r="J2560" t="s">
        <v>359</v>
      </c>
      <c r="K2560" s="1">
        <v>0.42561834490740741</v>
      </c>
      <c r="L2560">
        <f>YEAR(Coffe_sales[[#This Row],[Date]])</f>
        <v>2024</v>
      </c>
    </row>
    <row r="2561" spans="1:12" x14ac:dyDescent="0.2">
      <c r="A2561" t="s">
        <v>37</v>
      </c>
      <c r="B2561" t="s">
        <v>12</v>
      </c>
      <c r="C2561">
        <v>35.76</v>
      </c>
      <c r="D2561" t="s">
        <v>13</v>
      </c>
      <c r="E2561" t="s">
        <v>29</v>
      </c>
      <c r="F2561" t="s">
        <v>15</v>
      </c>
      <c r="G2561" t="s">
        <v>332</v>
      </c>
      <c r="H2561" t="s">
        <v>17</v>
      </c>
      <c r="I2561" t="s">
        <v>20</v>
      </c>
      <c r="J2561" t="s">
        <v>359</v>
      </c>
      <c r="K2561" s="1">
        <v>0.71672038194444443</v>
      </c>
      <c r="L2561">
        <f>YEAR(Coffe_sales[[#This Row],[Date]])</f>
        <v>2024</v>
      </c>
    </row>
    <row r="2562" spans="1:12" x14ac:dyDescent="0.2">
      <c r="A2562" t="s">
        <v>30</v>
      </c>
      <c r="B2562" t="s">
        <v>12</v>
      </c>
      <c r="C2562">
        <v>25.96</v>
      </c>
      <c r="D2562" t="s">
        <v>24</v>
      </c>
      <c r="E2562" t="s">
        <v>29</v>
      </c>
      <c r="F2562" t="s">
        <v>15</v>
      </c>
      <c r="G2562" t="s">
        <v>332</v>
      </c>
      <c r="H2562" t="s">
        <v>17</v>
      </c>
      <c r="I2562" t="s">
        <v>20</v>
      </c>
      <c r="J2562" t="s">
        <v>359</v>
      </c>
      <c r="K2562" s="1">
        <v>0.82462795138888889</v>
      </c>
      <c r="L2562">
        <f>YEAR(Coffe_sales[[#This Row],[Date]])</f>
        <v>2024</v>
      </c>
    </row>
    <row r="2563" spans="1:12" x14ac:dyDescent="0.2">
      <c r="A2563" t="s">
        <v>30</v>
      </c>
      <c r="B2563" t="s">
        <v>12</v>
      </c>
      <c r="C2563">
        <v>30.86</v>
      </c>
      <c r="D2563" t="s">
        <v>26</v>
      </c>
      <c r="E2563" t="s">
        <v>29</v>
      </c>
      <c r="F2563" t="s">
        <v>15</v>
      </c>
      <c r="G2563" t="s">
        <v>332</v>
      </c>
      <c r="H2563" t="s">
        <v>17</v>
      </c>
      <c r="I2563" t="s">
        <v>20</v>
      </c>
      <c r="J2563" t="s">
        <v>359</v>
      </c>
      <c r="K2563" s="1">
        <v>0.82525049768518521</v>
      </c>
      <c r="L2563">
        <f>YEAR(Coffe_sales[[#This Row],[Date]])</f>
        <v>2024</v>
      </c>
    </row>
    <row r="2564" spans="1:12" x14ac:dyDescent="0.2">
      <c r="A2564" t="s">
        <v>125</v>
      </c>
      <c r="B2564" t="s">
        <v>12</v>
      </c>
      <c r="C2564">
        <v>35.76</v>
      </c>
      <c r="D2564" t="s">
        <v>31</v>
      </c>
      <c r="E2564" t="s">
        <v>29</v>
      </c>
      <c r="F2564" t="s">
        <v>15</v>
      </c>
      <c r="G2564" t="s">
        <v>332</v>
      </c>
      <c r="H2564" t="s">
        <v>17</v>
      </c>
      <c r="I2564" t="s">
        <v>20</v>
      </c>
      <c r="J2564" t="s">
        <v>359</v>
      </c>
      <c r="K2564" s="1">
        <v>0.95454737268518519</v>
      </c>
      <c r="L2564">
        <f>YEAR(Coffe_sales[[#This Row],[Date]])</f>
        <v>2024</v>
      </c>
    </row>
    <row r="2565" spans="1:12" x14ac:dyDescent="0.2">
      <c r="A2565" t="s">
        <v>46</v>
      </c>
      <c r="B2565" t="s">
        <v>12</v>
      </c>
      <c r="C2565">
        <v>25.96</v>
      </c>
      <c r="D2565" t="s">
        <v>41</v>
      </c>
      <c r="E2565" t="s">
        <v>14</v>
      </c>
      <c r="F2565" t="s">
        <v>32</v>
      </c>
      <c r="G2565" t="s">
        <v>332</v>
      </c>
      <c r="H2565" t="s">
        <v>33</v>
      </c>
      <c r="I2565" t="s">
        <v>20</v>
      </c>
      <c r="J2565" t="s">
        <v>360</v>
      </c>
      <c r="K2565" s="1">
        <v>0.37527158564814816</v>
      </c>
      <c r="L2565">
        <f>YEAR(Coffe_sales[[#This Row],[Date]])</f>
        <v>2024</v>
      </c>
    </row>
    <row r="2566" spans="1:12" x14ac:dyDescent="0.2">
      <c r="A2566" t="s">
        <v>46</v>
      </c>
      <c r="B2566" t="s">
        <v>12</v>
      </c>
      <c r="C2566">
        <v>25.96</v>
      </c>
      <c r="D2566" t="s">
        <v>41</v>
      </c>
      <c r="E2566" t="s">
        <v>14</v>
      </c>
      <c r="F2566" t="s">
        <v>32</v>
      </c>
      <c r="G2566" t="s">
        <v>332</v>
      </c>
      <c r="H2566" t="s">
        <v>33</v>
      </c>
      <c r="I2566" t="s">
        <v>20</v>
      </c>
      <c r="J2566" t="s">
        <v>360</v>
      </c>
      <c r="K2566" s="1">
        <v>0.41016144675925925</v>
      </c>
      <c r="L2566">
        <f>YEAR(Coffe_sales[[#This Row],[Date]])</f>
        <v>2024</v>
      </c>
    </row>
    <row r="2567" spans="1:12" x14ac:dyDescent="0.2">
      <c r="A2567" t="s">
        <v>11</v>
      </c>
      <c r="B2567" t="s">
        <v>12</v>
      </c>
      <c r="C2567">
        <v>30.86</v>
      </c>
      <c r="D2567" t="s">
        <v>26</v>
      </c>
      <c r="E2567" t="s">
        <v>14</v>
      </c>
      <c r="F2567" t="s">
        <v>32</v>
      </c>
      <c r="G2567" t="s">
        <v>332</v>
      </c>
      <c r="H2567" t="s">
        <v>33</v>
      </c>
      <c r="I2567" t="s">
        <v>20</v>
      </c>
      <c r="J2567" t="s">
        <v>360</v>
      </c>
      <c r="K2567" s="1">
        <v>0.42967854166666669</v>
      </c>
      <c r="L2567">
        <f>YEAR(Coffe_sales[[#This Row],[Date]])</f>
        <v>2024</v>
      </c>
    </row>
    <row r="2568" spans="1:12" x14ac:dyDescent="0.2">
      <c r="A2568" t="s">
        <v>11</v>
      </c>
      <c r="B2568" t="s">
        <v>12</v>
      </c>
      <c r="C2568">
        <v>35.76</v>
      </c>
      <c r="D2568" t="s">
        <v>13</v>
      </c>
      <c r="E2568" t="s">
        <v>14</v>
      </c>
      <c r="F2568" t="s">
        <v>32</v>
      </c>
      <c r="G2568" t="s">
        <v>332</v>
      </c>
      <c r="H2568" t="s">
        <v>33</v>
      </c>
      <c r="I2568" t="s">
        <v>20</v>
      </c>
      <c r="J2568" t="s">
        <v>360</v>
      </c>
      <c r="K2568" s="1">
        <v>0.45281394675925923</v>
      </c>
      <c r="L2568">
        <f>YEAR(Coffe_sales[[#This Row],[Date]])</f>
        <v>2024</v>
      </c>
    </row>
    <row r="2569" spans="1:12" x14ac:dyDescent="0.2">
      <c r="A2569" t="s">
        <v>36</v>
      </c>
      <c r="B2569" t="s">
        <v>12</v>
      </c>
      <c r="C2569">
        <v>35.76</v>
      </c>
      <c r="D2569" t="s">
        <v>52</v>
      </c>
      <c r="E2569" t="s">
        <v>22</v>
      </c>
      <c r="F2569" t="s">
        <v>32</v>
      </c>
      <c r="G2569" t="s">
        <v>332</v>
      </c>
      <c r="H2569" t="s">
        <v>33</v>
      </c>
      <c r="I2569" t="s">
        <v>20</v>
      </c>
      <c r="J2569" t="s">
        <v>360</v>
      </c>
      <c r="K2569" s="1">
        <v>0.59029266203703701</v>
      </c>
      <c r="L2569">
        <f>YEAR(Coffe_sales[[#This Row],[Date]])</f>
        <v>2024</v>
      </c>
    </row>
    <row r="2570" spans="1:12" x14ac:dyDescent="0.2">
      <c r="A2570" t="s">
        <v>36</v>
      </c>
      <c r="B2570" t="s">
        <v>12</v>
      </c>
      <c r="C2570">
        <v>35.76</v>
      </c>
      <c r="D2570" t="s">
        <v>21</v>
      </c>
      <c r="E2570" t="s">
        <v>22</v>
      </c>
      <c r="F2570" t="s">
        <v>32</v>
      </c>
      <c r="G2570" t="s">
        <v>332</v>
      </c>
      <c r="H2570" t="s">
        <v>33</v>
      </c>
      <c r="I2570" t="s">
        <v>20</v>
      </c>
      <c r="J2570" t="s">
        <v>360</v>
      </c>
      <c r="K2570" s="1">
        <v>0.59256202546296299</v>
      </c>
      <c r="L2570">
        <f>YEAR(Coffe_sales[[#This Row],[Date]])</f>
        <v>2024</v>
      </c>
    </row>
    <row r="2571" spans="1:12" x14ac:dyDescent="0.2">
      <c r="A2571" t="s">
        <v>37</v>
      </c>
      <c r="B2571" t="s">
        <v>12</v>
      </c>
      <c r="C2571">
        <v>35.76</v>
      </c>
      <c r="D2571" t="s">
        <v>13</v>
      </c>
      <c r="E2571" t="s">
        <v>29</v>
      </c>
      <c r="F2571" t="s">
        <v>32</v>
      </c>
      <c r="G2571" t="s">
        <v>332</v>
      </c>
      <c r="H2571" t="s">
        <v>33</v>
      </c>
      <c r="I2571" t="s">
        <v>20</v>
      </c>
      <c r="J2571" t="s">
        <v>360</v>
      </c>
      <c r="K2571" s="1">
        <v>0.7247716666666667</v>
      </c>
      <c r="L2571">
        <f>YEAR(Coffe_sales[[#This Row],[Date]])</f>
        <v>2024</v>
      </c>
    </row>
    <row r="2572" spans="1:12" x14ac:dyDescent="0.2">
      <c r="A2572" t="s">
        <v>125</v>
      </c>
      <c r="B2572" t="s">
        <v>12</v>
      </c>
      <c r="C2572">
        <v>35.76</v>
      </c>
      <c r="D2572" t="s">
        <v>52</v>
      </c>
      <c r="E2572" t="s">
        <v>29</v>
      </c>
      <c r="F2572" t="s">
        <v>32</v>
      </c>
      <c r="G2572" t="s">
        <v>332</v>
      </c>
      <c r="H2572" t="s">
        <v>33</v>
      </c>
      <c r="I2572" t="s">
        <v>20</v>
      </c>
      <c r="J2572" t="s">
        <v>360</v>
      </c>
      <c r="K2572" s="1">
        <v>0.92432663194444442</v>
      </c>
      <c r="L2572">
        <f>YEAR(Coffe_sales[[#This Row],[Date]])</f>
        <v>2024</v>
      </c>
    </row>
    <row r="2573" spans="1:12" x14ac:dyDescent="0.2">
      <c r="A2573" t="s">
        <v>23</v>
      </c>
      <c r="B2573" t="s">
        <v>12</v>
      </c>
      <c r="C2573">
        <v>25.96</v>
      </c>
      <c r="D2573" t="s">
        <v>41</v>
      </c>
      <c r="E2573" t="s">
        <v>22</v>
      </c>
      <c r="F2573" t="s">
        <v>38</v>
      </c>
      <c r="G2573" t="s">
        <v>332</v>
      </c>
      <c r="H2573" t="s">
        <v>39</v>
      </c>
      <c r="I2573" t="s">
        <v>20</v>
      </c>
      <c r="J2573" t="s">
        <v>361</v>
      </c>
      <c r="K2573" s="1">
        <v>0.57380135416666667</v>
      </c>
      <c r="L2573">
        <f>YEAR(Coffe_sales[[#This Row],[Date]])</f>
        <v>2024</v>
      </c>
    </row>
    <row r="2574" spans="1:12" x14ac:dyDescent="0.2">
      <c r="A2574" t="s">
        <v>25</v>
      </c>
      <c r="B2574" t="s">
        <v>12</v>
      </c>
      <c r="C2574">
        <v>21.06</v>
      </c>
      <c r="D2574" t="s">
        <v>45</v>
      </c>
      <c r="E2574" t="s">
        <v>22</v>
      </c>
      <c r="F2574" t="s">
        <v>38</v>
      </c>
      <c r="G2574" t="s">
        <v>332</v>
      </c>
      <c r="H2574" t="s">
        <v>39</v>
      </c>
      <c r="I2574" t="s">
        <v>20</v>
      </c>
      <c r="J2574" t="s">
        <v>361</v>
      </c>
      <c r="K2574" s="1">
        <v>0.62808601851851853</v>
      </c>
      <c r="L2574">
        <f>YEAR(Coffe_sales[[#This Row],[Date]])</f>
        <v>2024</v>
      </c>
    </row>
    <row r="2575" spans="1:12" x14ac:dyDescent="0.2">
      <c r="A2575" t="s">
        <v>25</v>
      </c>
      <c r="B2575" t="s">
        <v>12</v>
      </c>
      <c r="C2575">
        <v>25.96</v>
      </c>
      <c r="D2575" t="s">
        <v>24</v>
      </c>
      <c r="E2575" t="s">
        <v>22</v>
      </c>
      <c r="F2575" t="s">
        <v>38</v>
      </c>
      <c r="G2575" t="s">
        <v>332</v>
      </c>
      <c r="H2575" t="s">
        <v>39</v>
      </c>
      <c r="I2575" t="s">
        <v>20</v>
      </c>
      <c r="J2575" t="s">
        <v>361</v>
      </c>
      <c r="K2575" s="1">
        <v>0.62866114583333332</v>
      </c>
      <c r="L2575">
        <f>YEAR(Coffe_sales[[#This Row],[Date]])</f>
        <v>2024</v>
      </c>
    </row>
    <row r="2576" spans="1:12" x14ac:dyDescent="0.2">
      <c r="A2576" t="s">
        <v>37</v>
      </c>
      <c r="B2576" t="s">
        <v>12</v>
      </c>
      <c r="C2576">
        <v>25.96</v>
      </c>
      <c r="D2576" t="s">
        <v>41</v>
      </c>
      <c r="E2576" t="s">
        <v>29</v>
      </c>
      <c r="F2576" t="s">
        <v>38</v>
      </c>
      <c r="G2576" t="s">
        <v>332</v>
      </c>
      <c r="H2576" t="s">
        <v>39</v>
      </c>
      <c r="I2576" t="s">
        <v>20</v>
      </c>
      <c r="J2576" t="s">
        <v>361</v>
      </c>
      <c r="K2576" s="1">
        <v>0.729218900462963</v>
      </c>
      <c r="L2576">
        <f>YEAR(Coffe_sales[[#This Row],[Date]])</f>
        <v>2024</v>
      </c>
    </row>
    <row r="2577" spans="1:12" x14ac:dyDescent="0.2">
      <c r="A2577" t="s">
        <v>37</v>
      </c>
      <c r="B2577" t="s">
        <v>12</v>
      </c>
      <c r="C2577">
        <v>21.06</v>
      </c>
      <c r="D2577" t="s">
        <v>45</v>
      </c>
      <c r="E2577" t="s">
        <v>29</v>
      </c>
      <c r="F2577" t="s">
        <v>38</v>
      </c>
      <c r="G2577" t="s">
        <v>332</v>
      </c>
      <c r="H2577" t="s">
        <v>39</v>
      </c>
      <c r="I2577" t="s">
        <v>20</v>
      </c>
      <c r="J2577" t="s">
        <v>361</v>
      </c>
      <c r="K2577" s="1">
        <v>0.73040164351851855</v>
      </c>
      <c r="L2577">
        <f>YEAR(Coffe_sales[[#This Row],[Date]])</f>
        <v>2024</v>
      </c>
    </row>
    <row r="2578" spans="1:12" x14ac:dyDescent="0.2">
      <c r="A2578" t="s">
        <v>30</v>
      </c>
      <c r="B2578" t="s">
        <v>12</v>
      </c>
      <c r="C2578">
        <v>25.96</v>
      </c>
      <c r="D2578" t="s">
        <v>41</v>
      </c>
      <c r="E2578" t="s">
        <v>29</v>
      </c>
      <c r="F2578" t="s">
        <v>38</v>
      </c>
      <c r="G2578" t="s">
        <v>332</v>
      </c>
      <c r="H2578" t="s">
        <v>39</v>
      </c>
      <c r="I2578" t="s">
        <v>20</v>
      </c>
      <c r="J2578" t="s">
        <v>361</v>
      </c>
      <c r="K2578" s="1">
        <v>0.82481185185185191</v>
      </c>
      <c r="L2578">
        <f>YEAR(Coffe_sales[[#This Row],[Date]])</f>
        <v>2024</v>
      </c>
    </row>
    <row r="2579" spans="1:12" x14ac:dyDescent="0.2">
      <c r="A2579" t="s">
        <v>91</v>
      </c>
      <c r="B2579" t="s">
        <v>12</v>
      </c>
      <c r="C2579">
        <v>35.76</v>
      </c>
      <c r="D2579" t="s">
        <v>21</v>
      </c>
      <c r="E2579" t="s">
        <v>29</v>
      </c>
      <c r="F2579" t="s">
        <v>38</v>
      </c>
      <c r="G2579" t="s">
        <v>332</v>
      </c>
      <c r="H2579" t="s">
        <v>39</v>
      </c>
      <c r="I2579" t="s">
        <v>20</v>
      </c>
      <c r="J2579" t="s">
        <v>361</v>
      </c>
      <c r="K2579" s="1">
        <v>0.85132211805555558</v>
      </c>
      <c r="L2579">
        <f>YEAR(Coffe_sales[[#This Row],[Date]])</f>
        <v>2024</v>
      </c>
    </row>
    <row r="2580" spans="1:12" x14ac:dyDescent="0.2">
      <c r="A2580" t="s">
        <v>131</v>
      </c>
      <c r="B2580" t="s">
        <v>12</v>
      </c>
      <c r="C2580">
        <v>35.76</v>
      </c>
      <c r="D2580" t="s">
        <v>13</v>
      </c>
      <c r="E2580" t="s">
        <v>29</v>
      </c>
      <c r="F2580" t="s">
        <v>38</v>
      </c>
      <c r="G2580" t="s">
        <v>332</v>
      </c>
      <c r="H2580" t="s">
        <v>39</v>
      </c>
      <c r="I2580" t="s">
        <v>20</v>
      </c>
      <c r="J2580" t="s">
        <v>361</v>
      </c>
      <c r="K2580" s="1">
        <v>0.88702928240740742</v>
      </c>
      <c r="L2580">
        <f>YEAR(Coffe_sales[[#This Row],[Date]])</f>
        <v>2024</v>
      </c>
    </row>
    <row r="2581" spans="1:12" x14ac:dyDescent="0.2">
      <c r="A2581" t="s">
        <v>46</v>
      </c>
      <c r="B2581" t="s">
        <v>12</v>
      </c>
      <c r="C2581">
        <v>25.96</v>
      </c>
      <c r="D2581" t="s">
        <v>41</v>
      </c>
      <c r="E2581" t="s">
        <v>14</v>
      </c>
      <c r="F2581" t="s">
        <v>42</v>
      </c>
      <c r="G2581" t="s">
        <v>332</v>
      </c>
      <c r="H2581" t="s">
        <v>43</v>
      </c>
      <c r="I2581" t="s">
        <v>20</v>
      </c>
      <c r="J2581" t="s">
        <v>362</v>
      </c>
      <c r="K2581" s="1">
        <v>0.37690141203703703</v>
      </c>
      <c r="L2581">
        <f>YEAR(Coffe_sales[[#This Row],[Date]])</f>
        <v>2024</v>
      </c>
    </row>
    <row r="2582" spans="1:12" x14ac:dyDescent="0.2">
      <c r="A2582" t="s">
        <v>46</v>
      </c>
      <c r="B2582" t="s">
        <v>12</v>
      </c>
      <c r="C2582">
        <v>30.86</v>
      </c>
      <c r="D2582" t="s">
        <v>26</v>
      </c>
      <c r="E2582" t="s">
        <v>14</v>
      </c>
      <c r="F2582" t="s">
        <v>42</v>
      </c>
      <c r="G2582" t="s">
        <v>332</v>
      </c>
      <c r="H2582" t="s">
        <v>43</v>
      </c>
      <c r="I2582" t="s">
        <v>20</v>
      </c>
      <c r="J2582" t="s">
        <v>362</v>
      </c>
      <c r="K2582" s="1">
        <v>0.40569401620370371</v>
      </c>
      <c r="L2582">
        <f>YEAR(Coffe_sales[[#This Row],[Date]])</f>
        <v>2024</v>
      </c>
    </row>
    <row r="2583" spans="1:12" x14ac:dyDescent="0.2">
      <c r="A2583" t="s">
        <v>23</v>
      </c>
      <c r="B2583" t="s">
        <v>12</v>
      </c>
      <c r="C2583">
        <v>35.76</v>
      </c>
      <c r="D2583" t="s">
        <v>13</v>
      </c>
      <c r="E2583" t="s">
        <v>22</v>
      </c>
      <c r="F2583" t="s">
        <v>42</v>
      </c>
      <c r="G2583" t="s">
        <v>332</v>
      </c>
      <c r="H2583" t="s">
        <v>43</v>
      </c>
      <c r="I2583" t="s">
        <v>20</v>
      </c>
      <c r="J2583" t="s">
        <v>362</v>
      </c>
      <c r="K2583" s="1">
        <v>0.57814069444444449</v>
      </c>
      <c r="L2583">
        <f>YEAR(Coffe_sales[[#This Row],[Date]])</f>
        <v>2024</v>
      </c>
    </row>
    <row r="2584" spans="1:12" x14ac:dyDescent="0.2">
      <c r="A2584" t="s">
        <v>23</v>
      </c>
      <c r="B2584" t="s">
        <v>12</v>
      </c>
      <c r="C2584">
        <v>35.76</v>
      </c>
      <c r="D2584" t="s">
        <v>21</v>
      </c>
      <c r="E2584" t="s">
        <v>22</v>
      </c>
      <c r="F2584" t="s">
        <v>42</v>
      </c>
      <c r="G2584" t="s">
        <v>332</v>
      </c>
      <c r="H2584" t="s">
        <v>43</v>
      </c>
      <c r="I2584" t="s">
        <v>20</v>
      </c>
      <c r="J2584" t="s">
        <v>362</v>
      </c>
      <c r="K2584" s="1">
        <v>0.5789265393518519</v>
      </c>
      <c r="L2584">
        <f>YEAR(Coffe_sales[[#This Row],[Date]])</f>
        <v>2024</v>
      </c>
    </row>
    <row r="2585" spans="1:12" x14ac:dyDescent="0.2">
      <c r="A2585" t="s">
        <v>25</v>
      </c>
      <c r="B2585" t="s">
        <v>12</v>
      </c>
      <c r="C2585">
        <v>35.76</v>
      </c>
      <c r="D2585" t="s">
        <v>13</v>
      </c>
      <c r="E2585" t="s">
        <v>22</v>
      </c>
      <c r="F2585" t="s">
        <v>42</v>
      </c>
      <c r="G2585" t="s">
        <v>332</v>
      </c>
      <c r="H2585" t="s">
        <v>43</v>
      </c>
      <c r="I2585" t="s">
        <v>20</v>
      </c>
      <c r="J2585" t="s">
        <v>362</v>
      </c>
      <c r="K2585" s="1">
        <v>0.63385466435185189</v>
      </c>
      <c r="L2585">
        <f>YEAR(Coffe_sales[[#This Row],[Date]])</f>
        <v>2024</v>
      </c>
    </row>
    <row r="2586" spans="1:12" x14ac:dyDescent="0.2">
      <c r="A2586" t="s">
        <v>25</v>
      </c>
      <c r="B2586" t="s">
        <v>12</v>
      </c>
      <c r="C2586">
        <v>30.86</v>
      </c>
      <c r="D2586" t="s">
        <v>26</v>
      </c>
      <c r="E2586" t="s">
        <v>22</v>
      </c>
      <c r="F2586" t="s">
        <v>42</v>
      </c>
      <c r="G2586" t="s">
        <v>332</v>
      </c>
      <c r="H2586" t="s">
        <v>43</v>
      </c>
      <c r="I2586" t="s">
        <v>20</v>
      </c>
      <c r="J2586" t="s">
        <v>362</v>
      </c>
      <c r="K2586" s="1">
        <v>0.63447559027777778</v>
      </c>
      <c r="L2586">
        <f>YEAR(Coffe_sales[[#This Row],[Date]])</f>
        <v>2024</v>
      </c>
    </row>
    <row r="2587" spans="1:12" x14ac:dyDescent="0.2">
      <c r="A2587" t="s">
        <v>27</v>
      </c>
      <c r="B2587" t="s">
        <v>12</v>
      </c>
      <c r="C2587">
        <v>30.86</v>
      </c>
      <c r="D2587" t="s">
        <v>26</v>
      </c>
      <c r="E2587" t="s">
        <v>22</v>
      </c>
      <c r="F2587" t="s">
        <v>42</v>
      </c>
      <c r="G2587" t="s">
        <v>332</v>
      </c>
      <c r="H2587" t="s">
        <v>43</v>
      </c>
      <c r="I2587" t="s">
        <v>20</v>
      </c>
      <c r="J2587" t="s">
        <v>362</v>
      </c>
      <c r="K2587" s="1">
        <v>0.68742920138888886</v>
      </c>
      <c r="L2587">
        <f>YEAR(Coffe_sales[[#This Row],[Date]])</f>
        <v>2024</v>
      </c>
    </row>
    <row r="2588" spans="1:12" x14ac:dyDescent="0.2">
      <c r="A2588" t="s">
        <v>27</v>
      </c>
      <c r="B2588" t="s">
        <v>12</v>
      </c>
      <c r="C2588">
        <v>25.96</v>
      </c>
      <c r="D2588" t="s">
        <v>24</v>
      </c>
      <c r="E2588" t="s">
        <v>22</v>
      </c>
      <c r="F2588" t="s">
        <v>42</v>
      </c>
      <c r="G2588" t="s">
        <v>332</v>
      </c>
      <c r="H2588" t="s">
        <v>43</v>
      </c>
      <c r="I2588" t="s">
        <v>20</v>
      </c>
      <c r="J2588" t="s">
        <v>362</v>
      </c>
      <c r="K2588" s="1">
        <v>0.68852693287037037</v>
      </c>
      <c r="L2588">
        <f>YEAR(Coffe_sales[[#This Row],[Date]])</f>
        <v>2024</v>
      </c>
    </row>
    <row r="2589" spans="1:12" x14ac:dyDescent="0.2">
      <c r="A2589" t="s">
        <v>27</v>
      </c>
      <c r="B2589" t="s">
        <v>12</v>
      </c>
      <c r="C2589">
        <v>35.76</v>
      </c>
      <c r="D2589" t="s">
        <v>52</v>
      </c>
      <c r="E2589" t="s">
        <v>22</v>
      </c>
      <c r="F2589" t="s">
        <v>42</v>
      </c>
      <c r="G2589" t="s">
        <v>332</v>
      </c>
      <c r="H2589" t="s">
        <v>43</v>
      </c>
      <c r="I2589" t="s">
        <v>20</v>
      </c>
      <c r="J2589" t="s">
        <v>362</v>
      </c>
      <c r="K2589" s="1">
        <v>0.69219387731481485</v>
      </c>
      <c r="L2589">
        <f>YEAR(Coffe_sales[[#This Row],[Date]])</f>
        <v>2024</v>
      </c>
    </row>
    <row r="2590" spans="1:12" x14ac:dyDescent="0.2">
      <c r="A2590" t="s">
        <v>123</v>
      </c>
      <c r="B2590" t="s">
        <v>12</v>
      </c>
      <c r="C2590">
        <v>25.96</v>
      </c>
      <c r="D2590" t="s">
        <v>41</v>
      </c>
      <c r="E2590" t="s">
        <v>14</v>
      </c>
      <c r="F2590" t="s">
        <v>47</v>
      </c>
      <c r="G2590" t="s">
        <v>332</v>
      </c>
      <c r="H2590" t="s">
        <v>48</v>
      </c>
      <c r="I2590" t="s">
        <v>20</v>
      </c>
      <c r="J2590" t="s">
        <v>363</v>
      </c>
      <c r="K2590" s="1">
        <v>0.36977640046296295</v>
      </c>
      <c r="L2590">
        <f>YEAR(Coffe_sales[[#This Row],[Date]])</f>
        <v>2024</v>
      </c>
    </row>
    <row r="2591" spans="1:12" x14ac:dyDescent="0.2">
      <c r="A2591" t="s">
        <v>46</v>
      </c>
      <c r="B2591" t="s">
        <v>12</v>
      </c>
      <c r="C2591">
        <v>35.76</v>
      </c>
      <c r="D2591" t="s">
        <v>52</v>
      </c>
      <c r="E2591" t="s">
        <v>14</v>
      </c>
      <c r="F2591" t="s">
        <v>47</v>
      </c>
      <c r="G2591" t="s">
        <v>332</v>
      </c>
      <c r="H2591" t="s">
        <v>48</v>
      </c>
      <c r="I2591" t="s">
        <v>20</v>
      </c>
      <c r="J2591" t="s">
        <v>363</v>
      </c>
      <c r="K2591" s="1">
        <v>0.40057883101851854</v>
      </c>
      <c r="L2591">
        <f>YEAR(Coffe_sales[[#This Row],[Date]])</f>
        <v>2024</v>
      </c>
    </row>
    <row r="2592" spans="1:12" x14ac:dyDescent="0.2">
      <c r="A2592" t="s">
        <v>46</v>
      </c>
      <c r="B2592" t="s">
        <v>12</v>
      </c>
      <c r="C2592">
        <v>25.96</v>
      </c>
      <c r="D2592" t="s">
        <v>41</v>
      </c>
      <c r="E2592" t="s">
        <v>14</v>
      </c>
      <c r="F2592" t="s">
        <v>47</v>
      </c>
      <c r="G2592" t="s">
        <v>332</v>
      </c>
      <c r="H2592" t="s">
        <v>48</v>
      </c>
      <c r="I2592" t="s">
        <v>20</v>
      </c>
      <c r="J2592" t="s">
        <v>363</v>
      </c>
      <c r="K2592" s="1">
        <v>0.40256333333333333</v>
      </c>
      <c r="L2592">
        <f>YEAR(Coffe_sales[[#This Row],[Date]])</f>
        <v>2024</v>
      </c>
    </row>
    <row r="2593" spans="1:12" x14ac:dyDescent="0.2">
      <c r="A2593" t="s">
        <v>46</v>
      </c>
      <c r="B2593" t="s">
        <v>12</v>
      </c>
      <c r="C2593">
        <v>35.76</v>
      </c>
      <c r="D2593" t="s">
        <v>31</v>
      </c>
      <c r="E2593" t="s">
        <v>14</v>
      </c>
      <c r="F2593" t="s">
        <v>47</v>
      </c>
      <c r="G2593" t="s">
        <v>332</v>
      </c>
      <c r="H2593" t="s">
        <v>48</v>
      </c>
      <c r="I2593" t="s">
        <v>20</v>
      </c>
      <c r="J2593" t="s">
        <v>363</v>
      </c>
      <c r="K2593" s="1">
        <v>0.40658015046296297</v>
      </c>
      <c r="L2593">
        <f>YEAR(Coffe_sales[[#This Row],[Date]])</f>
        <v>2024</v>
      </c>
    </row>
    <row r="2594" spans="1:12" x14ac:dyDescent="0.2">
      <c r="A2594" t="s">
        <v>11</v>
      </c>
      <c r="B2594" t="s">
        <v>12</v>
      </c>
      <c r="C2594">
        <v>30.86</v>
      </c>
      <c r="D2594" t="s">
        <v>26</v>
      </c>
      <c r="E2594" t="s">
        <v>14</v>
      </c>
      <c r="F2594" t="s">
        <v>47</v>
      </c>
      <c r="G2594" t="s">
        <v>332</v>
      </c>
      <c r="H2594" t="s">
        <v>48</v>
      </c>
      <c r="I2594" t="s">
        <v>20</v>
      </c>
      <c r="J2594" t="s">
        <v>363</v>
      </c>
      <c r="K2594" s="1">
        <v>0.43533532407407405</v>
      </c>
      <c r="L2594">
        <f>YEAR(Coffe_sales[[#This Row],[Date]])</f>
        <v>2024</v>
      </c>
    </row>
    <row r="2595" spans="1:12" x14ac:dyDescent="0.2">
      <c r="A2595" t="s">
        <v>11</v>
      </c>
      <c r="B2595" t="s">
        <v>12</v>
      </c>
      <c r="C2595">
        <v>30.86</v>
      </c>
      <c r="D2595" t="s">
        <v>26</v>
      </c>
      <c r="E2595" t="s">
        <v>14</v>
      </c>
      <c r="F2595" t="s">
        <v>47</v>
      </c>
      <c r="G2595" t="s">
        <v>332</v>
      </c>
      <c r="H2595" t="s">
        <v>48</v>
      </c>
      <c r="I2595" t="s">
        <v>20</v>
      </c>
      <c r="J2595" t="s">
        <v>363</v>
      </c>
      <c r="K2595" s="1">
        <v>0.43713207175925928</v>
      </c>
      <c r="L2595">
        <f>YEAR(Coffe_sales[[#This Row],[Date]])</f>
        <v>2024</v>
      </c>
    </row>
    <row r="2596" spans="1:12" x14ac:dyDescent="0.2">
      <c r="A2596" t="s">
        <v>35</v>
      </c>
      <c r="B2596" t="s">
        <v>12</v>
      </c>
      <c r="C2596">
        <v>35.76</v>
      </c>
      <c r="D2596" t="s">
        <v>52</v>
      </c>
      <c r="E2596" t="s">
        <v>14</v>
      </c>
      <c r="F2596" t="s">
        <v>47</v>
      </c>
      <c r="G2596" t="s">
        <v>332</v>
      </c>
      <c r="H2596" t="s">
        <v>48</v>
      </c>
      <c r="I2596" t="s">
        <v>20</v>
      </c>
      <c r="J2596" t="s">
        <v>363</v>
      </c>
      <c r="K2596" s="1">
        <v>0.46632833333333334</v>
      </c>
      <c r="L2596">
        <f>YEAR(Coffe_sales[[#This Row],[Date]])</f>
        <v>2024</v>
      </c>
    </row>
    <row r="2597" spans="1:12" x14ac:dyDescent="0.2">
      <c r="A2597" t="s">
        <v>35</v>
      </c>
      <c r="B2597" t="s">
        <v>12</v>
      </c>
      <c r="C2597">
        <v>30.86</v>
      </c>
      <c r="D2597" t="s">
        <v>26</v>
      </c>
      <c r="E2597" t="s">
        <v>14</v>
      </c>
      <c r="F2597" t="s">
        <v>47</v>
      </c>
      <c r="G2597" t="s">
        <v>332</v>
      </c>
      <c r="H2597" t="s">
        <v>48</v>
      </c>
      <c r="I2597" t="s">
        <v>20</v>
      </c>
      <c r="J2597" t="s">
        <v>363</v>
      </c>
      <c r="K2597" s="1">
        <v>0.46715339120370369</v>
      </c>
      <c r="L2597">
        <f>YEAR(Coffe_sales[[#This Row],[Date]])</f>
        <v>2024</v>
      </c>
    </row>
    <row r="2598" spans="1:12" x14ac:dyDescent="0.2">
      <c r="A2598" t="s">
        <v>25</v>
      </c>
      <c r="B2598" t="s">
        <v>12</v>
      </c>
      <c r="C2598">
        <v>21.06</v>
      </c>
      <c r="D2598" t="s">
        <v>45</v>
      </c>
      <c r="E2598" t="s">
        <v>22</v>
      </c>
      <c r="F2598" t="s">
        <v>47</v>
      </c>
      <c r="G2598" t="s">
        <v>332</v>
      </c>
      <c r="H2598" t="s">
        <v>48</v>
      </c>
      <c r="I2598" t="s">
        <v>20</v>
      </c>
      <c r="J2598" t="s">
        <v>363</v>
      </c>
      <c r="K2598" s="1">
        <v>0.65432978009259257</v>
      </c>
      <c r="L2598">
        <f>YEAR(Coffe_sales[[#This Row],[Date]])</f>
        <v>2024</v>
      </c>
    </row>
    <row r="2599" spans="1:12" x14ac:dyDescent="0.2">
      <c r="A2599" t="s">
        <v>25</v>
      </c>
      <c r="B2599" t="s">
        <v>12</v>
      </c>
      <c r="C2599">
        <v>25.96</v>
      </c>
      <c r="D2599" t="s">
        <v>24</v>
      </c>
      <c r="E2599" t="s">
        <v>22</v>
      </c>
      <c r="F2599" t="s">
        <v>47</v>
      </c>
      <c r="G2599" t="s">
        <v>332</v>
      </c>
      <c r="H2599" t="s">
        <v>48</v>
      </c>
      <c r="I2599" t="s">
        <v>20</v>
      </c>
      <c r="J2599" t="s">
        <v>363</v>
      </c>
      <c r="K2599" s="1">
        <v>0.65501504629629625</v>
      </c>
      <c r="L2599">
        <f>YEAR(Coffe_sales[[#This Row],[Date]])</f>
        <v>2024</v>
      </c>
    </row>
    <row r="2600" spans="1:12" x14ac:dyDescent="0.2">
      <c r="A2600" t="s">
        <v>27</v>
      </c>
      <c r="B2600" t="s">
        <v>12</v>
      </c>
      <c r="C2600">
        <v>35.76</v>
      </c>
      <c r="D2600" t="s">
        <v>52</v>
      </c>
      <c r="E2600" t="s">
        <v>22</v>
      </c>
      <c r="F2600" t="s">
        <v>47</v>
      </c>
      <c r="G2600" t="s">
        <v>332</v>
      </c>
      <c r="H2600" t="s">
        <v>48</v>
      </c>
      <c r="I2600" t="s">
        <v>20</v>
      </c>
      <c r="J2600" t="s">
        <v>363</v>
      </c>
      <c r="K2600" s="1">
        <v>0.67174633101851855</v>
      </c>
      <c r="L2600">
        <f>YEAR(Coffe_sales[[#This Row],[Date]])</f>
        <v>2024</v>
      </c>
    </row>
    <row r="2601" spans="1:12" x14ac:dyDescent="0.2">
      <c r="A2601" t="s">
        <v>37</v>
      </c>
      <c r="B2601" t="s">
        <v>12</v>
      </c>
      <c r="C2601">
        <v>35.76</v>
      </c>
      <c r="D2601" t="s">
        <v>13</v>
      </c>
      <c r="E2601" t="s">
        <v>29</v>
      </c>
      <c r="F2601" t="s">
        <v>47</v>
      </c>
      <c r="G2601" t="s">
        <v>332</v>
      </c>
      <c r="H2601" t="s">
        <v>48</v>
      </c>
      <c r="I2601" t="s">
        <v>20</v>
      </c>
      <c r="J2601" t="s">
        <v>363</v>
      </c>
      <c r="K2601" s="1">
        <v>0.71548075231481478</v>
      </c>
      <c r="L2601">
        <f>YEAR(Coffe_sales[[#This Row],[Date]])</f>
        <v>2024</v>
      </c>
    </row>
    <row r="2602" spans="1:12" x14ac:dyDescent="0.2">
      <c r="A2602" t="s">
        <v>37</v>
      </c>
      <c r="B2602" t="s">
        <v>12</v>
      </c>
      <c r="C2602">
        <v>30.86</v>
      </c>
      <c r="D2602" t="s">
        <v>26</v>
      </c>
      <c r="E2602" t="s">
        <v>29</v>
      </c>
      <c r="F2602" t="s">
        <v>47</v>
      </c>
      <c r="G2602" t="s">
        <v>332</v>
      </c>
      <c r="H2602" t="s">
        <v>48</v>
      </c>
      <c r="I2602" t="s">
        <v>20</v>
      </c>
      <c r="J2602" t="s">
        <v>363</v>
      </c>
      <c r="K2602" s="1">
        <v>0.7297776041666667</v>
      </c>
      <c r="L2602">
        <f>YEAR(Coffe_sales[[#This Row],[Date]])</f>
        <v>2024</v>
      </c>
    </row>
    <row r="2603" spans="1:12" x14ac:dyDescent="0.2">
      <c r="A2603" t="s">
        <v>37</v>
      </c>
      <c r="B2603" t="s">
        <v>12</v>
      </c>
      <c r="C2603">
        <v>35.76</v>
      </c>
      <c r="D2603" t="s">
        <v>52</v>
      </c>
      <c r="E2603" t="s">
        <v>29</v>
      </c>
      <c r="F2603" t="s">
        <v>47</v>
      </c>
      <c r="G2603" t="s">
        <v>332</v>
      </c>
      <c r="H2603" t="s">
        <v>48</v>
      </c>
      <c r="I2603" t="s">
        <v>20</v>
      </c>
      <c r="J2603" t="s">
        <v>363</v>
      </c>
      <c r="K2603" s="1">
        <v>0.73042295138888891</v>
      </c>
      <c r="L2603">
        <f>YEAR(Coffe_sales[[#This Row],[Date]])</f>
        <v>2024</v>
      </c>
    </row>
    <row r="2604" spans="1:12" x14ac:dyDescent="0.2">
      <c r="A2604" t="s">
        <v>30</v>
      </c>
      <c r="B2604" t="s">
        <v>12</v>
      </c>
      <c r="C2604">
        <v>35.76</v>
      </c>
      <c r="D2604" t="s">
        <v>13</v>
      </c>
      <c r="E2604" t="s">
        <v>29</v>
      </c>
      <c r="F2604" t="s">
        <v>47</v>
      </c>
      <c r="G2604" t="s">
        <v>332</v>
      </c>
      <c r="H2604" t="s">
        <v>48</v>
      </c>
      <c r="I2604" t="s">
        <v>20</v>
      </c>
      <c r="J2604" t="s">
        <v>363</v>
      </c>
      <c r="K2604" s="1">
        <v>0.79682190972222222</v>
      </c>
      <c r="L2604">
        <f>YEAR(Coffe_sales[[#This Row],[Date]])</f>
        <v>2024</v>
      </c>
    </row>
    <row r="2605" spans="1:12" x14ac:dyDescent="0.2">
      <c r="A2605" t="s">
        <v>30</v>
      </c>
      <c r="B2605" t="s">
        <v>12</v>
      </c>
      <c r="C2605">
        <v>35.76</v>
      </c>
      <c r="D2605" t="s">
        <v>21</v>
      </c>
      <c r="E2605" t="s">
        <v>29</v>
      </c>
      <c r="F2605" t="s">
        <v>47</v>
      </c>
      <c r="G2605" t="s">
        <v>332</v>
      </c>
      <c r="H2605" t="s">
        <v>48</v>
      </c>
      <c r="I2605" t="s">
        <v>20</v>
      </c>
      <c r="J2605" t="s">
        <v>363</v>
      </c>
      <c r="K2605" s="1">
        <v>0.79767244212962962</v>
      </c>
      <c r="L2605">
        <f>YEAR(Coffe_sales[[#This Row],[Date]])</f>
        <v>2024</v>
      </c>
    </row>
    <row r="2606" spans="1:12" x14ac:dyDescent="0.2">
      <c r="A2606" t="s">
        <v>46</v>
      </c>
      <c r="B2606" t="s">
        <v>12</v>
      </c>
      <c r="C2606">
        <v>30.86</v>
      </c>
      <c r="D2606" t="s">
        <v>26</v>
      </c>
      <c r="E2606" t="s">
        <v>14</v>
      </c>
      <c r="F2606" t="s">
        <v>53</v>
      </c>
      <c r="G2606" t="s">
        <v>364</v>
      </c>
      <c r="H2606" t="s">
        <v>54</v>
      </c>
      <c r="I2606" t="s">
        <v>43</v>
      </c>
      <c r="J2606" t="s">
        <v>365</v>
      </c>
      <c r="K2606" s="1">
        <v>0.41533952546296299</v>
      </c>
      <c r="L2606">
        <f>YEAR(Coffe_sales[[#This Row],[Date]])</f>
        <v>2025</v>
      </c>
    </row>
    <row r="2607" spans="1:12" x14ac:dyDescent="0.2">
      <c r="A2607" t="s">
        <v>23</v>
      </c>
      <c r="B2607" t="s">
        <v>12</v>
      </c>
      <c r="C2607">
        <v>35.76</v>
      </c>
      <c r="D2607" t="s">
        <v>31</v>
      </c>
      <c r="E2607" t="s">
        <v>22</v>
      </c>
      <c r="F2607" t="s">
        <v>53</v>
      </c>
      <c r="G2607" t="s">
        <v>364</v>
      </c>
      <c r="H2607" t="s">
        <v>54</v>
      </c>
      <c r="I2607" t="s">
        <v>43</v>
      </c>
      <c r="J2607" t="s">
        <v>365</v>
      </c>
      <c r="K2607" s="1">
        <v>0.56227000000000005</v>
      </c>
      <c r="L2607">
        <f>YEAR(Coffe_sales[[#This Row],[Date]])</f>
        <v>2025</v>
      </c>
    </row>
    <row r="2608" spans="1:12" x14ac:dyDescent="0.2">
      <c r="A2608" t="s">
        <v>23</v>
      </c>
      <c r="B2608" t="s">
        <v>12</v>
      </c>
      <c r="C2608">
        <v>35.76</v>
      </c>
      <c r="D2608" t="s">
        <v>31</v>
      </c>
      <c r="E2608" t="s">
        <v>22</v>
      </c>
      <c r="F2608" t="s">
        <v>53</v>
      </c>
      <c r="G2608" t="s">
        <v>364</v>
      </c>
      <c r="H2608" t="s">
        <v>54</v>
      </c>
      <c r="I2608" t="s">
        <v>43</v>
      </c>
      <c r="J2608" t="s">
        <v>365</v>
      </c>
      <c r="K2608" s="1">
        <v>0.5629481481481482</v>
      </c>
      <c r="L2608">
        <f>YEAR(Coffe_sales[[#This Row],[Date]])</f>
        <v>2025</v>
      </c>
    </row>
    <row r="2609" spans="1:12" x14ac:dyDescent="0.2">
      <c r="A2609" t="s">
        <v>36</v>
      </c>
      <c r="B2609" t="s">
        <v>12</v>
      </c>
      <c r="C2609">
        <v>25.96</v>
      </c>
      <c r="D2609" t="s">
        <v>41</v>
      </c>
      <c r="E2609" t="s">
        <v>22</v>
      </c>
      <c r="F2609" t="s">
        <v>53</v>
      </c>
      <c r="G2609" t="s">
        <v>364</v>
      </c>
      <c r="H2609" t="s">
        <v>54</v>
      </c>
      <c r="I2609" t="s">
        <v>43</v>
      </c>
      <c r="J2609" t="s">
        <v>365</v>
      </c>
      <c r="K2609" s="1">
        <v>0.61192817129629629</v>
      </c>
      <c r="L2609">
        <f>YEAR(Coffe_sales[[#This Row],[Date]])</f>
        <v>2025</v>
      </c>
    </row>
    <row r="2610" spans="1:12" x14ac:dyDescent="0.2">
      <c r="A2610" t="s">
        <v>36</v>
      </c>
      <c r="B2610" t="s">
        <v>12</v>
      </c>
      <c r="C2610">
        <v>25.96</v>
      </c>
      <c r="D2610" t="s">
        <v>41</v>
      </c>
      <c r="E2610" t="s">
        <v>22</v>
      </c>
      <c r="F2610" t="s">
        <v>53</v>
      </c>
      <c r="G2610" t="s">
        <v>364</v>
      </c>
      <c r="H2610" t="s">
        <v>54</v>
      </c>
      <c r="I2610" t="s">
        <v>43</v>
      </c>
      <c r="J2610" t="s">
        <v>365</v>
      </c>
      <c r="K2610" s="1">
        <v>0.61303063657407408</v>
      </c>
      <c r="L2610">
        <f>YEAR(Coffe_sales[[#This Row],[Date]])</f>
        <v>2025</v>
      </c>
    </row>
    <row r="2611" spans="1:12" x14ac:dyDescent="0.2">
      <c r="A2611" t="s">
        <v>27</v>
      </c>
      <c r="B2611" t="s">
        <v>12</v>
      </c>
      <c r="C2611">
        <v>25.96</v>
      </c>
      <c r="D2611" t="s">
        <v>24</v>
      </c>
      <c r="E2611" t="s">
        <v>22</v>
      </c>
      <c r="F2611" t="s">
        <v>53</v>
      </c>
      <c r="G2611" t="s">
        <v>364</v>
      </c>
      <c r="H2611" t="s">
        <v>54</v>
      </c>
      <c r="I2611" t="s">
        <v>43</v>
      </c>
      <c r="J2611" t="s">
        <v>365</v>
      </c>
      <c r="K2611" s="1">
        <v>0.6823192939814815</v>
      </c>
      <c r="L2611">
        <f>YEAR(Coffe_sales[[#This Row],[Date]])</f>
        <v>2025</v>
      </c>
    </row>
    <row r="2612" spans="1:12" x14ac:dyDescent="0.2">
      <c r="A2612" t="s">
        <v>27</v>
      </c>
      <c r="B2612" t="s">
        <v>12</v>
      </c>
      <c r="C2612">
        <v>35.76</v>
      </c>
      <c r="D2612" t="s">
        <v>21</v>
      </c>
      <c r="E2612" t="s">
        <v>22</v>
      </c>
      <c r="F2612" t="s">
        <v>53</v>
      </c>
      <c r="G2612" t="s">
        <v>364</v>
      </c>
      <c r="H2612" t="s">
        <v>54</v>
      </c>
      <c r="I2612" t="s">
        <v>43</v>
      </c>
      <c r="J2612" t="s">
        <v>365</v>
      </c>
      <c r="K2612" s="1">
        <v>0.69096608796296299</v>
      </c>
      <c r="L2612">
        <f>YEAR(Coffe_sales[[#This Row],[Date]])</f>
        <v>2025</v>
      </c>
    </row>
    <row r="2613" spans="1:12" x14ac:dyDescent="0.2">
      <c r="A2613" t="s">
        <v>27</v>
      </c>
      <c r="B2613" t="s">
        <v>12</v>
      </c>
      <c r="C2613">
        <v>30.86</v>
      </c>
      <c r="D2613" t="s">
        <v>26</v>
      </c>
      <c r="E2613" t="s">
        <v>22</v>
      </c>
      <c r="F2613" t="s">
        <v>53</v>
      </c>
      <c r="G2613" t="s">
        <v>364</v>
      </c>
      <c r="H2613" t="s">
        <v>54</v>
      </c>
      <c r="I2613" t="s">
        <v>43</v>
      </c>
      <c r="J2613" t="s">
        <v>365</v>
      </c>
      <c r="K2613" s="1">
        <v>0.69148478009259262</v>
      </c>
      <c r="L2613">
        <f>YEAR(Coffe_sales[[#This Row],[Date]])</f>
        <v>2025</v>
      </c>
    </row>
    <row r="2614" spans="1:12" x14ac:dyDescent="0.2">
      <c r="A2614" t="s">
        <v>37</v>
      </c>
      <c r="B2614" t="s">
        <v>12</v>
      </c>
      <c r="C2614">
        <v>35.76</v>
      </c>
      <c r="D2614" t="s">
        <v>52</v>
      </c>
      <c r="E2614" t="s">
        <v>29</v>
      </c>
      <c r="F2614" t="s">
        <v>53</v>
      </c>
      <c r="G2614" t="s">
        <v>364</v>
      </c>
      <c r="H2614" t="s">
        <v>54</v>
      </c>
      <c r="I2614" t="s">
        <v>43</v>
      </c>
      <c r="J2614" t="s">
        <v>365</v>
      </c>
      <c r="K2614" s="1">
        <v>0.73831221064814812</v>
      </c>
      <c r="L2614">
        <f>YEAR(Coffe_sales[[#This Row],[Date]])</f>
        <v>2025</v>
      </c>
    </row>
    <row r="2615" spans="1:12" x14ac:dyDescent="0.2">
      <c r="A2615" t="s">
        <v>46</v>
      </c>
      <c r="B2615" t="s">
        <v>12</v>
      </c>
      <c r="C2615">
        <v>25.96</v>
      </c>
      <c r="D2615" t="s">
        <v>41</v>
      </c>
      <c r="E2615" t="s">
        <v>14</v>
      </c>
      <c r="F2615" t="s">
        <v>15</v>
      </c>
      <c r="G2615" t="s">
        <v>364</v>
      </c>
      <c r="H2615" t="s">
        <v>17</v>
      </c>
      <c r="I2615" t="s">
        <v>43</v>
      </c>
      <c r="J2615" t="s">
        <v>366</v>
      </c>
      <c r="K2615" s="1">
        <v>0.37734569444444443</v>
      </c>
      <c r="L2615">
        <f>YEAR(Coffe_sales[[#This Row],[Date]])</f>
        <v>2025</v>
      </c>
    </row>
    <row r="2616" spans="1:12" x14ac:dyDescent="0.2">
      <c r="A2616" t="s">
        <v>11</v>
      </c>
      <c r="B2616" t="s">
        <v>12</v>
      </c>
      <c r="C2616">
        <v>30.86</v>
      </c>
      <c r="D2616" t="s">
        <v>26</v>
      </c>
      <c r="E2616" t="s">
        <v>14</v>
      </c>
      <c r="F2616" t="s">
        <v>15</v>
      </c>
      <c r="G2616" t="s">
        <v>364</v>
      </c>
      <c r="H2616" t="s">
        <v>17</v>
      </c>
      <c r="I2616" t="s">
        <v>43</v>
      </c>
      <c r="J2616" t="s">
        <v>366</v>
      </c>
      <c r="K2616" s="1">
        <v>0.42396761574074077</v>
      </c>
      <c r="L2616">
        <f>YEAR(Coffe_sales[[#This Row],[Date]])</f>
        <v>2025</v>
      </c>
    </row>
    <row r="2617" spans="1:12" x14ac:dyDescent="0.2">
      <c r="A2617" t="s">
        <v>27</v>
      </c>
      <c r="B2617" t="s">
        <v>12</v>
      </c>
      <c r="C2617">
        <v>30.86</v>
      </c>
      <c r="D2617" t="s">
        <v>26</v>
      </c>
      <c r="E2617" t="s">
        <v>22</v>
      </c>
      <c r="F2617" t="s">
        <v>15</v>
      </c>
      <c r="G2617" t="s">
        <v>364</v>
      </c>
      <c r="H2617" t="s">
        <v>17</v>
      </c>
      <c r="I2617" t="s">
        <v>43</v>
      </c>
      <c r="J2617" t="s">
        <v>366</v>
      </c>
      <c r="K2617" s="1">
        <v>0.70705347222222226</v>
      </c>
      <c r="L2617">
        <f>YEAR(Coffe_sales[[#This Row],[Date]])</f>
        <v>2025</v>
      </c>
    </row>
    <row r="2618" spans="1:12" x14ac:dyDescent="0.2">
      <c r="A2618" t="s">
        <v>125</v>
      </c>
      <c r="B2618" t="s">
        <v>12</v>
      </c>
      <c r="C2618">
        <v>35.76</v>
      </c>
      <c r="D2618" t="s">
        <v>52</v>
      </c>
      <c r="E2618" t="s">
        <v>29</v>
      </c>
      <c r="F2618" t="s">
        <v>15</v>
      </c>
      <c r="G2618" t="s">
        <v>364</v>
      </c>
      <c r="H2618" t="s">
        <v>17</v>
      </c>
      <c r="I2618" t="s">
        <v>43</v>
      </c>
      <c r="J2618" t="s">
        <v>366</v>
      </c>
      <c r="K2618" s="1">
        <v>0.92602499999999999</v>
      </c>
      <c r="L2618">
        <f>YEAR(Coffe_sales[[#This Row],[Date]])</f>
        <v>2025</v>
      </c>
    </row>
    <row r="2619" spans="1:12" x14ac:dyDescent="0.2">
      <c r="A2619" t="s">
        <v>125</v>
      </c>
      <c r="B2619" t="s">
        <v>12</v>
      </c>
      <c r="C2619">
        <v>25.96</v>
      </c>
      <c r="D2619" t="s">
        <v>24</v>
      </c>
      <c r="E2619" t="s">
        <v>29</v>
      </c>
      <c r="F2619" t="s">
        <v>15</v>
      </c>
      <c r="G2619" t="s">
        <v>364</v>
      </c>
      <c r="H2619" t="s">
        <v>17</v>
      </c>
      <c r="I2619" t="s">
        <v>43</v>
      </c>
      <c r="J2619" t="s">
        <v>366</v>
      </c>
      <c r="K2619" s="1">
        <v>0.92940230324074069</v>
      </c>
      <c r="L2619">
        <f>YEAR(Coffe_sales[[#This Row],[Date]])</f>
        <v>2025</v>
      </c>
    </row>
    <row r="2620" spans="1:12" x14ac:dyDescent="0.2">
      <c r="A2620" t="s">
        <v>125</v>
      </c>
      <c r="B2620" t="s">
        <v>12</v>
      </c>
      <c r="C2620">
        <v>25.96</v>
      </c>
      <c r="D2620" t="s">
        <v>24</v>
      </c>
      <c r="E2620" t="s">
        <v>29</v>
      </c>
      <c r="F2620" t="s">
        <v>15</v>
      </c>
      <c r="G2620" t="s">
        <v>364</v>
      </c>
      <c r="H2620" t="s">
        <v>17</v>
      </c>
      <c r="I2620" t="s">
        <v>43</v>
      </c>
      <c r="J2620" t="s">
        <v>366</v>
      </c>
      <c r="K2620" s="1">
        <v>0.9300272453703704</v>
      </c>
      <c r="L2620">
        <f>YEAR(Coffe_sales[[#This Row],[Date]])</f>
        <v>2025</v>
      </c>
    </row>
    <row r="2621" spans="1:12" x14ac:dyDescent="0.2">
      <c r="A2621" t="s">
        <v>125</v>
      </c>
      <c r="B2621" t="s">
        <v>12</v>
      </c>
      <c r="C2621">
        <v>35.76</v>
      </c>
      <c r="D2621" t="s">
        <v>13</v>
      </c>
      <c r="E2621" t="s">
        <v>29</v>
      </c>
      <c r="F2621" t="s">
        <v>15</v>
      </c>
      <c r="G2621" t="s">
        <v>364</v>
      </c>
      <c r="H2621" t="s">
        <v>17</v>
      </c>
      <c r="I2621" t="s">
        <v>43</v>
      </c>
      <c r="J2621" t="s">
        <v>366</v>
      </c>
      <c r="K2621" s="1">
        <v>0.93155037037037036</v>
      </c>
      <c r="L2621">
        <f>YEAR(Coffe_sales[[#This Row],[Date]])</f>
        <v>2025</v>
      </c>
    </row>
    <row r="2622" spans="1:12" x14ac:dyDescent="0.2">
      <c r="A2622" t="s">
        <v>123</v>
      </c>
      <c r="B2622" t="s">
        <v>12</v>
      </c>
      <c r="C2622">
        <v>25.96</v>
      </c>
      <c r="D2622" t="s">
        <v>41</v>
      </c>
      <c r="E2622" t="s">
        <v>14</v>
      </c>
      <c r="F2622" t="s">
        <v>32</v>
      </c>
      <c r="G2622" t="s">
        <v>364</v>
      </c>
      <c r="H2622" t="s">
        <v>33</v>
      </c>
      <c r="I2622" t="s">
        <v>43</v>
      </c>
      <c r="J2622" t="s">
        <v>367</v>
      </c>
      <c r="K2622" s="1">
        <v>0.37391784722222221</v>
      </c>
      <c r="L2622">
        <f>YEAR(Coffe_sales[[#This Row],[Date]])</f>
        <v>2025</v>
      </c>
    </row>
    <row r="2623" spans="1:12" x14ac:dyDescent="0.2">
      <c r="A2623" t="s">
        <v>46</v>
      </c>
      <c r="B2623" t="s">
        <v>12</v>
      </c>
      <c r="C2623">
        <v>25.96</v>
      </c>
      <c r="D2623" t="s">
        <v>24</v>
      </c>
      <c r="E2623" t="s">
        <v>14</v>
      </c>
      <c r="F2623" t="s">
        <v>32</v>
      </c>
      <c r="G2623" t="s">
        <v>364</v>
      </c>
      <c r="H2623" t="s">
        <v>33</v>
      </c>
      <c r="I2623" t="s">
        <v>43</v>
      </c>
      <c r="J2623" t="s">
        <v>367</v>
      </c>
      <c r="K2623" s="1">
        <v>0.41629379629629631</v>
      </c>
      <c r="L2623">
        <f>YEAR(Coffe_sales[[#This Row],[Date]])</f>
        <v>2025</v>
      </c>
    </row>
    <row r="2624" spans="1:12" x14ac:dyDescent="0.2">
      <c r="A2624" t="s">
        <v>23</v>
      </c>
      <c r="B2624" t="s">
        <v>12</v>
      </c>
      <c r="C2624">
        <v>35.76</v>
      </c>
      <c r="D2624" t="s">
        <v>52</v>
      </c>
      <c r="E2624" t="s">
        <v>22</v>
      </c>
      <c r="F2624" t="s">
        <v>32</v>
      </c>
      <c r="G2624" t="s">
        <v>364</v>
      </c>
      <c r="H2624" t="s">
        <v>33</v>
      </c>
      <c r="I2624" t="s">
        <v>43</v>
      </c>
      <c r="J2624" t="s">
        <v>367</v>
      </c>
      <c r="K2624" s="1">
        <v>0.5694477546296296</v>
      </c>
      <c r="L2624">
        <f>YEAR(Coffe_sales[[#This Row],[Date]])</f>
        <v>2025</v>
      </c>
    </row>
    <row r="2625" spans="1:12" x14ac:dyDescent="0.2">
      <c r="A2625" t="s">
        <v>25</v>
      </c>
      <c r="B2625" t="s">
        <v>12</v>
      </c>
      <c r="C2625">
        <v>35.76</v>
      </c>
      <c r="D2625" t="s">
        <v>31</v>
      </c>
      <c r="E2625" t="s">
        <v>22</v>
      </c>
      <c r="F2625" t="s">
        <v>32</v>
      </c>
      <c r="G2625" t="s">
        <v>364</v>
      </c>
      <c r="H2625" t="s">
        <v>33</v>
      </c>
      <c r="I2625" t="s">
        <v>43</v>
      </c>
      <c r="J2625" t="s">
        <v>367</v>
      </c>
      <c r="K2625" s="1">
        <v>0.66635679398148151</v>
      </c>
      <c r="L2625">
        <f>YEAR(Coffe_sales[[#This Row],[Date]])</f>
        <v>2025</v>
      </c>
    </row>
    <row r="2626" spans="1:12" x14ac:dyDescent="0.2">
      <c r="A2626" t="s">
        <v>27</v>
      </c>
      <c r="B2626" t="s">
        <v>12</v>
      </c>
      <c r="C2626">
        <v>30.86</v>
      </c>
      <c r="D2626" t="s">
        <v>26</v>
      </c>
      <c r="E2626" t="s">
        <v>22</v>
      </c>
      <c r="F2626" t="s">
        <v>32</v>
      </c>
      <c r="G2626" t="s">
        <v>364</v>
      </c>
      <c r="H2626" t="s">
        <v>33</v>
      </c>
      <c r="I2626" t="s">
        <v>43</v>
      </c>
      <c r="J2626" t="s">
        <v>367</v>
      </c>
      <c r="K2626" s="1">
        <v>0.6756388888888889</v>
      </c>
      <c r="L2626">
        <f>YEAR(Coffe_sales[[#This Row],[Date]])</f>
        <v>2025</v>
      </c>
    </row>
    <row r="2627" spans="1:12" x14ac:dyDescent="0.2">
      <c r="A2627" t="s">
        <v>27</v>
      </c>
      <c r="B2627" t="s">
        <v>12</v>
      </c>
      <c r="C2627">
        <v>35.76</v>
      </c>
      <c r="D2627" t="s">
        <v>52</v>
      </c>
      <c r="E2627" t="s">
        <v>22</v>
      </c>
      <c r="F2627" t="s">
        <v>32</v>
      </c>
      <c r="G2627" t="s">
        <v>364</v>
      </c>
      <c r="H2627" t="s">
        <v>33</v>
      </c>
      <c r="I2627" t="s">
        <v>43</v>
      </c>
      <c r="J2627" t="s">
        <v>367</v>
      </c>
      <c r="K2627" s="1">
        <v>0.6765069212962963</v>
      </c>
      <c r="L2627">
        <f>YEAR(Coffe_sales[[#This Row],[Date]])</f>
        <v>2025</v>
      </c>
    </row>
    <row r="2628" spans="1:12" x14ac:dyDescent="0.2">
      <c r="A2628" t="s">
        <v>27</v>
      </c>
      <c r="B2628" t="s">
        <v>12</v>
      </c>
      <c r="C2628">
        <v>35.76</v>
      </c>
      <c r="D2628" t="s">
        <v>52</v>
      </c>
      <c r="E2628" t="s">
        <v>22</v>
      </c>
      <c r="F2628" t="s">
        <v>32</v>
      </c>
      <c r="G2628" t="s">
        <v>364</v>
      </c>
      <c r="H2628" t="s">
        <v>33</v>
      </c>
      <c r="I2628" t="s">
        <v>43</v>
      </c>
      <c r="J2628" t="s">
        <v>367</v>
      </c>
      <c r="K2628" s="1">
        <v>0.67790769675925922</v>
      </c>
      <c r="L2628">
        <f>YEAR(Coffe_sales[[#This Row],[Date]])</f>
        <v>2025</v>
      </c>
    </row>
    <row r="2629" spans="1:12" x14ac:dyDescent="0.2">
      <c r="A2629" t="s">
        <v>27</v>
      </c>
      <c r="B2629" t="s">
        <v>12</v>
      </c>
      <c r="C2629">
        <v>25.96</v>
      </c>
      <c r="D2629" t="s">
        <v>41</v>
      </c>
      <c r="E2629" t="s">
        <v>22</v>
      </c>
      <c r="F2629" t="s">
        <v>32</v>
      </c>
      <c r="G2629" t="s">
        <v>364</v>
      </c>
      <c r="H2629" t="s">
        <v>33</v>
      </c>
      <c r="I2629" t="s">
        <v>43</v>
      </c>
      <c r="J2629" t="s">
        <v>367</v>
      </c>
      <c r="K2629" s="1">
        <v>0.67921387731481486</v>
      </c>
      <c r="L2629">
        <f>YEAR(Coffe_sales[[#This Row],[Date]])</f>
        <v>2025</v>
      </c>
    </row>
    <row r="2630" spans="1:12" x14ac:dyDescent="0.2">
      <c r="A2630" t="s">
        <v>28</v>
      </c>
      <c r="B2630" t="s">
        <v>12</v>
      </c>
      <c r="C2630">
        <v>25.96</v>
      </c>
      <c r="D2630" t="s">
        <v>24</v>
      </c>
      <c r="E2630" t="s">
        <v>29</v>
      </c>
      <c r="F2630" t="s">
        <v>32</v>
      </c>
      <c r="G2630" t="s">
        <v>364</v>
      </c>
      <c r="H2630" t="s">
        <v>33</v>
      </c>
      <c r="I2630" t="s">
        <v>43</v>
      </c>
      <c r="J2630" t="s">
        <v>367</v>
      </c>
      <c r="K2630" s="1">
        <v>0.75809326388888887</v>
      </c>
      <c r="L2630">
        <f>YEAR(Coffe_sales[[#This Row],[Date]])</f>
        <v>2025</v>
      </c>
    </row>
    <row r="2631" spans="1:12" x14ac:dyDescent="0.2">
      <c r="A2631" t="s">
        <v>125</v>
      </c>
      <c r="B2631" t="s">
        <v>12</v>
      </c>
      <c r="C2631">
        <v>35.76</v>
      </c>
      <c r="D2631" t="s">
        <v>13</v>
      </c>
      <c r="E2631" t="s">
        <v>29</v>
      </c>
      <c r="F2631" t="s">
        <v>32</v>
      </c>
      <c r="G2631" t="s">
        <v>364</v>
      </c>
      <c r="H2631" t="s">
        <v>33</v>
      </c>
      <c r="I2631" t="s">
        <v>43</v>
      </c>
      <c r="J2631" t="s">
        <v>367</v>
      </c>
      <c r="K2631" s="1">
        <v>0.93299444444444446</v>
      </c>
      <c r="L2631">
        <f>YEAR(Coffe_sales[[#This Row],[Date]])</f>
        <v>2025</v>
      </c>
    </row>
    <row r="2632" spans="1:12" x14ac:dyDescent="0.2">
      <c r="A2632" t="s">
        <v>46</v>
      </c>
      <c r="B2632" t="s">
        <v>12</v>
      </c>
      <c r="C2632">
        <v>30.86</v>
      </c>
      <c r="D2632" t="s">
        <v>26</v>
      </c>
      <c r="E2632" t="s">
        <v>14</v>
      </c>
      <c r="F2632" t="s">
        <v>38</v>
      </c>
      <c r="G2632" t="s">
        <v>364</v>
      </c>
      <c r="H2632" t="s">
        <v>39</v>
      </c>
      <c r="I2632" t="s">
        <v>43</v>
      </c>
      <c r="J2632" t="s">
        <v>368</v>
      </c>
      <c r="K2632" s="1">
        <v>0.40691872685185188</v>
      </c>
      <c r="L2632">
        <f>YEAR(Coffe_sales[[#This Row],[Date]])</f>
        <v>2025</v>
      </c>
    </row>
    <row r="2633" spans="1:12" x14ac:dyDescent="0.2">
      <c r="A2633" t="s">
        <v>11</v>
      </c>
      <c r="B2633" t="s">
        <v>12</v>
      </c>
      <c r="C2633">
        <v>35.76</v>
      </c>
      <c r="D2633" t="s">
        <v>13</v>
      </c>
      <c r="E2633" t="s">
        <v>14</v>
      </c>
      <c r="F2633" t="s">
        <v>38</v>
      </c>
      <c r="G2633" t="s">
        <v>364</v>
      </c>
      <c r="H2633" t="s">
        <v>39</v>
      </c>
      <c r="I2633" t="s">
        <v>43</v>
      </c>
      <c r="J2633" t="s">
        <v>368</v>
      </c>
      <c r="K2633" s="1">
        <v>0.45348196759259257</v>
      </c>
      <c r="L2633">
        <f>YEAR(Coffe_sales[[#This Row],[Date]])</f>
        <v>2025</v>
      </c>
    </row>
    <row r="2634" spans="1:12" x14ac:dyDescent="0.2">
      <c r="A2634" t="s">
        <v>125</v>
      </c>
      <c r="B2634" t="s">
        <v>12</v>
      </c>
      <c r="C2634">
        <v>30.86</v>
      </c>
      <c r="D2634" t="s">
        <v>26</v>
      </c>
      <c r="E2634" t="s">
        <v>29</v>
      </c>
      <c r="F2634" t="s">
        <v>38</v>
      </c>
      <c r="G2634" t="s">
        <v>364</v>
      </c>
      <c r="H2634" t="s">
        <v>39</v>
      </c>
      <c r="I2634" t="s">
        <v>43</v>
      </c>
      <c r="J2634" t="s">
        <v>368</v>
      </c>
      <c r="K2634" s="1">
        <v>0.92171846064814811</v>
      </c>
      <c r="L2634">
        <f>YEAR(Coffe_sales[[#This Row],[Date]])</f>
        <v>2025</v>
      </c>
    </row>
    <row r="2635" spans="1:12" x14ac:dyDescent="0.2">
      <c r="A2635" t="s">
        <v>30</v>
      </c>
      <c r="B2635" t="s">
        <v>12</v>
      </c>
      <c r="C2635">
        <v>25.96</v>
      </c>
      <c r="D2635" t="s">
        <v>24</v>
      </c>
      <c r="E2635" t="s">
        <v>29</v>
      </c>
      <c r="F2635" t="s">
        <v>42</v>
      </c>
      <c r="G2635" t="s">
        <v>364</v>
      </c>
      <c r="H2635" t="s">
        <v>43</v>
      </c>
      <c r="I2635" t="s">
        <v>43</v>
      </c>
      <c r="J2635" t="s">
        <v>369</v>
      </c>
      <c r="K2635" s="1">
        <v>0.83253111111111111</v>
      </c>
      <c r="L2635">
        <f>YEAR(Coffe_sales[[#This Row],[Date]])</f>
        <v>2025</v>
      </c>
    </row>
    <row r="2636" spans="1:12" x14ac:dyDescent="0.2">
      <c r="A2636" t="s">
        <v>23</v>
      </c>
      <c r="B2636" t="s">
        <v>12</v>
      </c>
      <c r="C2636">
        <v>35.76</v>
      </c>
      <c r="D2636" t="s">
        <v>52</v>
      </c>
      <c r="E2636" t="s">
        <v>22</v>
      </c>
      <c r="F2636" t="s">
        <v>47</v>
      </c>
      <c r="G2636" t="s">
        <v>364</v>
      </c>
      <c r="H2636" t="s">
        <v>48</v>
      </c>
      <c r="I2636" t="s">
        <v>43</v>
      </c>
      <c r="J2636" t="s">
        <v>370</v>
      </c>
      <c r="K2636" s="1">
        <v>0.56183783564814815</v>
      </c>
      <c r="L2636">
        <f>YEAR(Coffe_sales[[#This Row],[Date]])</f>
        <v>2025</v>
      </c>
    </row>
    <row r="2637" spans="1:12" x14ac:dyDescent="0.2">
      <c r="A2637" t="s">
        <v>125</v>
      </c>
      <c r="B2637" t="s">
        <v>12</v>
      </c>
      <c r="C2637">
        <v>35.76</v>
      </c>
      <c r="D2637" t="s">
        <v>31</v>
      </c>
      <c r="E2637" t="s">
        <v>29</v>
      </c>
      <c r="F2637" t="s">
        <v>47</v>
      </c>
      <c r="G2637" t="s">
        <v>364</v>
      </c>
      <c r="H2637" t="s">
        <v>48</v>
      </c>
      <c r="I2637" t="s">
        <v>43</v>
      </c>
      <c r="J2637" t="s">
        <v>370</v>
      </c>
      <c r="K2637" s="1">
        <v>0.9394107060185185</v>
      </c>
      <c r="L2637">
        <f>YEAR(Coffe_sales[[#This Row],[Date]])</f>
        <v>2025</v>
      </c>
    </row>
    <row r="2638" spans="1:12" x14ac:dyDescent="0.2">
      <c r="A2638" t="s">
        <v>125</v>
      </c>
      <c r="B2638" t="s">
        <v>12</v>
      </c>
      <c r="C2638">
        <v>35.76</v>
      </c>
      <c r="D2638" t="s">
        <v>31</v>
      </c>
      <c r="E2638" t="s">
        <v>29</v>
      </c>
      <c r="F2638" t="s">
        <v>47</v>
      </c>
      <c r="G2638" t="s">
        <v>364</v>
      </c>
      <c r="H2638" t="s">
        <v>48</v>
      </c>
      <c r="I2638" t="s">
        <v>43</v>
      </c>
      <c r="J2638" t="s">
        <v>370</v>
      </c>
      <c r="K2638" s="1">
        <v>0.94026488425925925</v>
      </c>
      <c r="L2638">
        <f>YEAR(Coffe_sales[[#This Row],[Date]])</f>
        <v>2025</v>
      </c>
    </row>
    <row r="2639" spans="1:12" x14ac:dyDescent="0.2">
      <c r="A2639" t="s">
        <v>39</v>
      </c>
      <c r="B2639" t="s">
        <v>12</v>
      </c>
      <c r="C2639">
        <v>30.86</v>
      </c>
      <c r="D2639" t="s">
        <v>26</v>
      </c>
      <c r="E2639" t="s">
        <v>14</v>
      </c>
      <c r="F2639" t="s">
        <v>50</v>
      </c>
      <c r="G2639" t="s">
        <v>364</v>
      </c>
      <c r="H2639" t="s">
        <v>18</v>
      </c>
      <c r="I2639" t="s">
        <v>43</v>
      </c>
      <c r="J2639" t="s">
        <v>371</v>
      </c>
      <c r="K2639" s="1">
        <v>0.31252336805555553</v>
      </c>
      <c r="L2639">
        <f>YEAR(Coffe_sales[[#This Row],[Date]])</f>
        <v>2025</v>
      </c>
    </row>
    <row r="2640" spans="1:12" x14ac:dyDescent="0.2">
      <c r="A2640" t="s">
        <v>46</v>
      </c>
      <c r="B2640" t="s">
        <v>12</v>
      </c>
      <c r="C2640">
        <v>35.76</v>
      </c>
      <c r="D2640" t="s">
        <v>13</v>
      </c>
      <c r="E2640" t="s">
        <v>14</v>
      </c>
      <c r="F2640" t="s">
        <v>50</v>
      </c>
      <c r="G2640" t="s">
        <v>364</v>
      </c>
      <c r="H2640" t="s">
        <v>18</v>
      </c>
      <c r="I2640" t="s">
        <v>43</v>
      </c>
      <c r="J2640" t="s">
        <v>371</v>
      </c>
      <c r="K2640" s="1">
        <v>0.3828141435185185</v>
      </c>
      <c r="L2640">
        <f>YEAR(Coffe_sales[[#This Row],[Date]])</f>
        <v>2025</v>
      </c>
    </row>
    <row r="2641" spans="1:12" x14ac:dyDescent="0.2">
      <c r="A2641" t="s">
        <v>11</v>
      </c>
      <c r="B2641" t="s">
        <v>12</v>
      </c>
      <c r="C2641">
        <v>25.96</v>
      </c>
      <c r="D2641" t="s">
        <v>41</v>
      </c>
      <c r="E2641" t="s">
        <v>14</v>
      </c>
      <c r="F2641" t="s">
        <v>50</v>
      </c>
      <c r="G2641" t="s">
        <v>364</v>
      </c>
      <c r="H2641" t="s">
        <v>18</v>
      </c>
      <c r="I2641" t="s">
        <v>43</v>
      </c>
      <c r="J2641" t="s">
        <v>371</v>
      </c>
      <c r="K2641" s="1">
        <v>0.4378325578703704</v>
      </c>
      <c r="L2641">
        <f>YEAR(Coffe_sales[[#This Row],[Date]])</f>
        <v>2025</v>
      </c>
    </row>
    <row r="2642" spans="1:12" x14ac:dyDescent="0.2">
      <c r="A2642" t="s">
        <v>37</v>
      </c>
      <c r="B2642" t="s">
        <v>12</v>
      </c>
      <c r="C2642">
        <v>35.76</v>
      </c>
      <c r="D2642" t="s">
        <v>52</v>
      </c>
      <c r="E2642" t="s">
        <v>29</v>
      </c>
      <c r="F2642" t="s">
        <v>50</v>
      </c>
      <c r="G2642" t="s">
        <v>364</v>
      </c>
      <c r="H2642" t="s">
        <v>18</v>
      </c>
      <c r="I2642" t="s">
        <v>43</v>
      </c>
      <c r="J2642" t="s">
        <v>371</v>
      </c>
      <c r="K2642" s="1">
        <v>0.72420839120370373</v>
      </c>
      <c r="L2642">
        <f>YEAR(Coffe_sales[[#This Row],[Date]])</f>
        <v>2025</v>
      </c>
    </row>
    <row r="2643" spans="1:12" x14ac:dyDescent="0.2">
      <c r="A2643" t="s">
        <v>123</v>
      </c>
      <c r="B2643" t="s">
        <v>12</v>
      </c>
      <c r="C2643">
        <v>25.96</v>
      </c>
      <c r="D2643" t="s">
        <v>24</v>
      </c>
      <c r="E2643" t="s">
        <v>14</v>
      </c>
      <c r="F2643" t="s">
        <v>53</v>
      </c>
      <c r="G2643" t="s">
        <v>364</v>
      </c>
      <c r="H2643" t="s">
        <v>54</v>
      </c>
      <c r="I2643" t="s">
        <v>43</v>
      </c>
      <c r="J2643" t="s">
        <v>372</v>
      </c>
      <c r="K2643" s="1">
        <v>0.33828222222222221</v>
      </c>
      <c r="L2643">
        <f>YEAR(Coffe_sales[[#This Row],[Date]])</f>
        <v>2025</v>
      </c>
    </row>
    <row r="2644" spans="1:12" x14ac:dyDescent="0.2">
      <c r="A2644" t="s">
        <v>123</v>
      </c>
      <c r="B2644" t="s">
        <v>12</v>
      </c>
      <c r="C2644">
        <v>35.76</v>
      </c>
      <c r="D2644" t="s">
        <v>13</v>
      </c>
      <c r="E2644" t="s">
        <v>14</v>
      </c>
      <c r="F2644" t="s">
        <v>53</v>
      </c>
      <c r="G2644" t="s">
        <v>364</v>
      </c>
      <c r="H2644" t="s">
        <v>54</v>
      </c>
      <c r="I2644" t="s">
        <v>43</v>
      </c>
      <c r="J2644" t="s">
        <v>372</v>
      </c>
      <c r="K2644" s="1">
        <v>0.37262424768518521</v>
      </c>
      <c r="L2644">
        <f>YEAR(Coffe_sales[[#This Row],[Date]])</f>
        <v>2025</v>
      </c>
    </row>
    <row r="2645" spans="1:12" x14ac:dyDescent="0.2">
      <c r="A2645" t="s">
        <v>46</v>
      </c>
      <c r="B2645" t="s">
        <v>12</v>
      </c>
      <c r="C2645">
        <v>30.86</v>
      </c>
      <c r="D2645" t="s">
        <v>26</v>
      </c>
      <c r="E2645" t="s">
        <v>14</v>
      </c>
      <c r="F2645" t="s">
        <v>53</v>
      </c>
      <c r="G2645" t="s">
        <v>364</v>
      </c>
      <c r="H2645" t="s">
        <v>54</v>
      </c>
      <c r="I2645" t="s">
        <v>43</v>
      </c>
      <c r="J2645" t="s">
        <v>372</v>
      </c>
      <c r="K2645" s="1">
        <v>0.37675674768518519</v>
      </c>
      <c r="L2645">
        <f>YEAR(Coffe_sales[[#This Row],[Date]])</f>
        <v>2025</v>
      </c>
    </row>
    <row r="2646" spans="1:12" x14ac:dyDescent="0.2">
      <c r="A2646" t="s">
        <v>36</v>
      </c>
      <c r="B2646" t="s">
        <v>12</v>
      </c>
      <c r="C2646">
        <v>21.06</v>
      </c>
      <c r="D2646" t="s">
        <v>45</v>
      </c>
      <c r="E2646" t="s">
        <v>22</v>
      </c>
      <c r="F2646" t="s">
        <v>53</v>
      </c>
      <c r="G2646" t="s">
        <v>364</v>
      </c>
      <c r="H2646" t="s">
        <v>54</v>
      </c>
      <c r="I2646" t="s">
        <v>43</v>
      </c>
      <c r="J2646" t="s">
        <v>372</v>
      </c>
      <c r="K2646" s="1">
        <v>0.60235743055555557</v>
      </c>
      <c r="L2646">
        <f>YEAR(Coffe_sales[[#This Row],[Date]])</f>
        <v>2025</v>
      </c>
    </row>
    <row r="2647" spans="1:12" x14ac:dyDescent="0.2">
      <c r="A2647" t="s">
        <v>25</v>
      </c>
      <c r="B2647" t="s">
        <v>12</v>
      </c>
      <c r="C2647">
        <v>35.76</v>
      </c>
      <c r="D2647" t="s">
        <v>13</v>
      </c>
      <c r="E2647" t="s">
        <v>22</v>
      </c>
      <c r="F2647" t="s">
        <v>53</v>
      </c>
      <c r="G2647" t="s">
        <v>364</v>
      </c>
      <c r="H2647" t="s">
        <v>54</v>
      </c>
      <c r="I2647" t="s">
        <v>43</v>
      </c>
      <c r="J2647" t="s">
        <v>372</v>
      </c>
      <c r="K2647" s="1">
        <v>0.65067915509259255</v>
      </c>
      <c r="L2647">
        <f>YEAR(Coffe_sales[[#This Row],[Date]])</f>
        <v>2025</v>
      </c>
    </row>
    <row r="2648" spans="1:12" x14ac:dyDescent="0.2">
      <c r="A2648" t="s">
        <v>25</v>
      </c>
      <c r="B2648" t="s">
        <v>12</v>
      </c>
      <c r="C2648">
        <v>30.86</v>
      </c>
      <c r="D2648" t="s">
        <v>26</v>
      </c>
      <c r="E2648" t="s">
        <v>22</v>
      </c>
      <c r="F2648" t="s">
        <v>53</v>
      </c>
      <c r="G2648" t="s">
        <v>364</v>
      </c>
      <c r="H2648" t="s">
        <v>54</v>
      </c>
      <c r="I2648" t="s">
        <v>43</v>
      </c>
      <c r="J2648" t="s">
        <v>372</v>
      </c>
      <c r="K2648" s="1">
        <v>0.65844921296296299</v>
      </c>
      <c r="L2648">
        <f>YEAR(Coffe_sales[[#This Row],[Date]])</f>
        <v>2025</v>
      </c>
    </row>
    <row r="2649" spans="1:12" x14ac:dyDescent="0.2">
      <c r="A2649" t="s">
        <v>25</v>
      </c>
      <c r="B2649" t="s">
        <v>12</v>
      </c>
      <c r="C2649">
        <v>25.96</v>
      </c>
      <c r="D2649" t="s">
        <v>41</v>
      </c>
      <c r="E2649" t="s">
        <v>22</v>
      </c>
      <c r="F2649" t="s">
        <v>53</v>
      </c>
      <c r="G2649" t="s">
        <v>364</v>
      </c>
      <c r="H2649" t="s">
        <v>54</v>
      </c>
      <c r="I2649" t="s">
        <v>43</v>
      </c>
      <c r="J2649" t="s">
        <v>372</v>
      </c>
      <c r="K2649" s="1">
        <v>0.65916430555555561</v>
      </c>
      <c r="L2649">
        <f>YEAR(Coffe_sales[[#This Row],[Date]])</f>
        <v>2025</v>
      </c>
    </row>
    <row r="2650" spans="1:12" x14ac:dyDescent="0.2">
      <c r="A2650" t="s">
        <v>91</v>
      </c>
      <c r="B2650" t="s">
        <v>12</v>
      </c>
      <c r="C2650">
        <v>30.86</v>
      </c>
      <c r="D2650" t="s">
        <v>26</v>
      </c>
      <c r="E2650" t="s">
        <v>29</v>
      </c>
      <c r="F2650" t="s">
        <v>53</v>
      </c>
      <c r="G2650" t="s">
        <v>364</v>
      </c>
      <c r="H2650" t="s">
        <v>54</v>
      </c>
      <c r="I2650" t="s">
        <v>43</v>
      </c>
      <c r="J2650" t="s">
        <v>372</v>
      </c>
      <c r="K2650" s="1">
        <v>0.8545031481481481</v>
      </c>
      <c r="L2650">
        <f>YEAR(Coffe_sales[[#This Row],[Date]])</f>
        <v>2025</v>
      </c>
    </row>
    <row r="2651" spans="1:12" x14ac:dyDescent="0.2">
      <c r="A2651" t="s">
        <v>125</v>
      </c>
      <c r="B2651" t="s">
        <v>12</v>
      </c>
      <c r="C2651">
        <v>35.76</v>
      </c>
      <c r="D2651" t="s">
        <v>13</v>
      </c>
      <c r="E2651" t="s">
        <v>29</v>
      </c>
      <c r="F2651" t="s">
        <v>53</v>
      </c>
      <c r="G2651" t="s">
        <v>364</v>
      </c>
      <c r="H2651" t="s">
        <v>54</v>
      </c>
      <c r="I2651" t="s">
        <v>43</v>
      </c>
      <c r="J2651" t="s">
        <v>372</v>
      </c>
      <c r="K2651" s="1">
        <v>0.92385065972222224</v>
      </c>
      <c r="L2651">
        <f>YEAR(Coffe_sales[[#This Row],[Date]])</f>
        <v>2025</v>
      </c>
    </row>
    <row r="2652" spans="1:12" x14ac:dyDescent="0.2">
      <c r="A2652" t="s">
        <v>123</v>
      </c>
      <c r="B2652" t="s">
        <v>12</v>
      </c>
      <c r="C2652">
        <v>30.86</v>
      </c>
      <c r="D2652" t="s">
        <v>26</v>
      </c>
      <c r="E2652" t="s">
        <v>14</v>
      </c>
      <c r="F2652" t="s">
        <v>15</v>
      </c>
      <c r="G2652" t="s">
        <v>364</v>
      </c>
      <c r="H2652" t="s">
        <v>17</v>
      </c>
      <c r="I2652" t="s">
        <v>43</v>
      </c>
      <c r="J2652" t="s">
        <v>373</v>
      </c>
      <c r="K2652" s="1">
        <v>0.36760202546296294</v>
      </c>
      <c r="L2652">
        <f>YEAR(Coffe_sales[[#This Row],[Date]])</f>
        <v>2025</v>
      </c>
    </row>
    <row r="2653" spans="1:12" x14ac:dyDescent="0.2">
      <c r="A2653" t="s">
        <v>46</v>
      </c>
      <c r="B2653" t="s">
        <v>12</v>
      </c>
      <c r="C2653">
        <v>30.86</v>
      </c>
      <c r="D2653" t="s">
        <v>26</v>
      </c>
      <c r="E2653" t="s">
        <v>14</v>
      </c>
      <c r="F2653" t="s">
        <v>15</v>
      </c>
      <c r="G2653" t="s">
        <v>364</v>
      </c>
      <c r="H2653" t="s">
        <v>17</v>
      </c>
      <c r="I2653" t="s">
        <v>43</v>
      </c>
      <c r="J2653" t="s">
        <v>373</v>
      </c>
      <c r="K2653" s="1">
        <v>0.38653354166666665</v>
      </c>
      <c r="L2653">
        <f>YEAR(Coffe_sales[[#This Row],[Date]])</f>
        <v>2025</v>
      </c>
    </row>
    <row r="2654" spans="1:12" x14ac:dyDescent="0.2">
      <c r="A2654" t="s">
        <v>37</v>
      </c>
      <c r="B2654" t="s">
        <v>12</v>
      </c>
      <c r="C2654">
        <v>35.76</v>
      </c>
      <c r="D2654" t="s">
        <v>52</v>
      </c>
      <c r="E2654" t="s">
        <v>29</v>
      </c>
      <c r="F2654" t="s">
        <v>15</v>
      </c>
      <c r="G2654" t="s">
        <v>364</v>
      </c>
      <c r="H2654" t="s">
        <v>17</v>
      </c>
      <c r="I2654" t="s">
        <v>43</v>
      </c>
      <c r="J2654" t="s">
        <v>373</v>
      </c>
      <c r="K2654" s="1">
        <v>0.74396725694444443</v>
      </c>
      <c r="L2654">
        <f>YEAR(Coffe_sales[[#This Row],[Date]])</f>
        <v>2025</v>
      </c>
    </row>
    <row r="2655" spans="1:12" x14ac:dyDescent="0.2">
      <c r="A2655" t="s">
        <v>37</v>
      </c>
      <c r="B2655" t="s">
        <v>12</v>
      </c>
      <c r="C2655">
        <v>35.76</v>
      </c>
      <c r="D2655" t="s">
        <v>21</v>
      </c>
      <c r="E2655" t="s">
        <v>29</v>
      </c>
      <c r="F2655" t="s">
        <v>15</v>
      </c>
      <c r="G2655" t="s">
        <v>364</v>
      </c>
      <c r="H2655" t="s">
        <v>17</v>
      </c>
      <c r="I2655" t="s">
        <v>43</v>
      </c>
      <c r="J2655" t="s">
        <v>373</v>
      </c>
      <c r="K2655" s="1">
        <v>0.74714533564814811</v>
      </c>
      <c r="L2655">
        <f>YEAR(Coffe_sales[[#This Row],[Date]])</f>
        <v>2025</v>
      </c>
    </row>
    <row r="2656" spans="1:12" x14ac:dyDescent="0.2">
      <c r="A2656" t="s">
        <v>37</v>
      </c>
      <c r="B2656" t="s">
        <v>12</v>
      </c>
      <c r="C2656">
        <v>30.86</v>
      </c>
      <c r="D2656" t="s">
        <v>26</v>
      </c>
      <c r="E2656" t="s">
        <v>29</v>
      </c>
      <c r="F2656" t="s">
        <v>15</v>
      </c>
      <c r="G2656" t="s">
        <v>364</v>
      </c>
      <c r="H2656" t="s">
        <v>17</v>
      </c>
      <c r="I2656" t="s">
        <v>43</v>
      </c>
      <c r="J2656" t="s">
        <v>373</v>
      </c>
      <c r="K2656" s="1">
        <v>0.74975907407407405</v>
      </c>
      <c r="L2656">
        <f>YEAR(Coffe_sales[[#This Row],[Date]])</f>
        <v>2025</v>
      </c>
    </row>
    <row r="2657" spans="1:12" x14ac:dyDescent="0.2">
      <c r="A2657" t="s">
        <v>39</v>
      </c>
      <c r="B2657" t="s">
        <v>12</v>
      </c>
      <c r="C2657">
        <v>30.86</v>
      </c>
      <c r="D2657" t="s">
        <v>26</v>
      </c>
      <c r="E2657" t="s">
        <v>14</v>
      </c>
      <c r="F2657" t="s">
        <v>32</v>
      </c>
      <c r="G2657" t="s">
        <v>364</v>
      </c>
      <c r="H2657" t="s">
        <v>33</v>
      </c>
      <c r="I2657" t="s">
        <v>43</v>
      </c>
      <c r="J2657" t="s">
        <v>374</v>
      </c>
      <c r="K2657" s="1">
        <v>0.3225746527777778</v>
      </c>
      <c r="L2657">
        <f>YEAR(Coffe_sales[[#This Row],[Date]])</f>
        <v>2025</v>
      </c>
    </row>
    <row r="2658" spans="1:12" x14ac:dyDescent="0.2">
      <c r="A2658" t="s">
        <v>11</v>
      </c>
      <c r="B2658" t="s">
        <v>12</v>
      </c>
      <c r="C2658">
        <v>35.76</v>
      </c>
      <c r="D2658" t="s">
        <v>21</v>
      </c>
      <c r="E2658" t="s">
        <v>14</v>
      </c>
      <c r="F2658" t="s">
        <v>32</v>
      </c>
      <c r="G2658" t="s">
        <v>364</v>
      </c>
      <c r="H2658" t="s">
        <v>33</v>
      </c>
      <c r="I2658" t="s">
        <v>43</v>
      </c>
      <c r="J2658" t="s">
        <v>374</v>
      </c>
      <c r="K2658" s="1">
        <v>0.45117234953703705</v>
      </c>
      <c r="L2658">
        <f>YEAR(Coffe_sales[[#This Row],[Date]])</f>
        <v>2025</v>
      </c>
    </row>
    <row r="2659" spans="1:12" x14ac:dyDescent="0.2">
      <c r="A2659" t="s">
        <v>35</v>
      </c>
      <c r="B2659" t="s">
        <v>12</v>
      </c>
      <c r="C2659">
        <v>25.96</v>
      </c>
      <c r="D2659" t="s">
        <v>24</v>
      </c>
      <c r="E2659" t="s">
        <v>14</v>
      </c>
      <c r="F2659" t="s">
        <v>32</v>
      </c>
      <c r="G2659" t="s">
        <v>364</v>
      </c>
      <c r="H2659" t="s">
        <v>33</v>
      </c>
      <c r="I2659" t="s">
        <v>43</v>
      </c>
      <c r="J2659" t="s">
        <v>374</v>
      </c>
      <c r="K2659" s="1">
        <v>0.46798456018518519</v>
      </c>
      <c r="L2659">
        <f>YEAR(Coffe_sales[[#This Row],[Date]])</f>
        <v>2025</v>
      </c>
    </row>
    <row r="2660" spans="1:12" x14ac:dyDescent="0.2">
      <c r="A2660" t="s">
        <v>35</v>
      </c>
      <c r="B2660" t="s">
        <v>12</v>
      </c>
      <c r="C2660">
        <v>35.76</v>
      </c>
      <c r="D2660" t="s">
        <v>13</v>
      </c>
      <c r="E2660" t="s">
        <v>14</v>
      </c>
      <c r="F2660" t="s">
        <v>32</v>
      </c>
      <c r="G2660" t="s">
        <v>364</v>
      </c>
      <c r="H2660" t="s">
        <v>33</v>
      </c>
      <c r="I2660" t="s">
        <v>43</v>
      </c>
      <c r="J2660" t="s">
        <v>374</v>
      </c>
      <c r="K2660" s="1">
        <v>0.47242606481481481</v>
      </c>
      <c r="L2660">
        <f>YEAR(Coffe_sales[[#This Row],[Date]])</f>
        <v>2025</v>
      </c>
    </row>
    <row r="2661" spans="1:12" x14ac:dyDescent="0.2">
      <c r="A2661" t="s">
        <v>35</v>
      </c>
      <c r="B2661" t="s">
        <v>12</v>
      </c>
      <c r="C2661">
        <v>35.76</v>
      </c>
      <c r="D2661" t="s">
        <v>13</v>
      </c>
      <c r="E2661" t="s">
        <v>14</v>
      </c>
      <c r="F2661" t="s">
        <v>32</v>
      </c>
      <c r="G2661" t="s">
        <v>364</v>
      </c>
      <c r="H2661" t="s">
        <v>33</v>
      </c>
      <c r="I2661" t="s">
        <v>43</v>
      </c>
      <c r="J2661" t="s">
        <v>374</v>
      </c>
      <c r="K2661" s="1">
        <v>0.47321256944444445</v>
      </c>
      <c r="L2661">
        <f>YEAR(Coffe_sales[[#This Row],[Date]])</f>
        <v>2025</v>
      </c>
    </row>
    <row r="2662" spans="1:12" x14ac:dyDescent="0.2">
      <c r="A2662" t="s">
        <v>20</v>
      </c>
      <c r="B2662" t="s">
        <v>12</v>
      </c>
      <c r="C2662">
        <v>35.76</v>
      </c>
      <c r="D2662" t="s">
        <v>13</v>
      </c>
      <c r="E2662" t="s">
        <v>22</v>
      </c>
      <c r="F2662" t="s">
        <v>32</v>
      </c>
      <c r="G2662" t="s">
        <v>364</v>
      </c>
      <c r="H2662" t="s">
        <v>33</v>
      </c>
      <c r="I2662" t="s">
        <v>43</v>
      </c>
      <c r="J2662" t="s">
        <v>374</v>
      </c>
      <c r="K2662" s="1">
        <v>0.50762429398148146</v>
      </c>
      <c r="L2662">
        <f>YEAR(Coffe_sales[[#This Row],[Date]])</f>
        <v>2025</v>
      </c>
    </row>
    <row r="2663" spans="1:12" x14ac:dyDescent="0.2">
      <c r="A2663" t="s">
        <v>20</v>
      </c>
      <c r="B2663" t="s">
        <v>12</v>
      </c>
      <c r="C2663">
        <v>35.76</v>
      </c>
      <c r="D2663" t="s">
        <v>13</v>
      </c>
      <c r="E2663" t="s">
        <v>22</v>
      </c>
      <c r="F2663" t="s">
        <v>32</v>
      </c>
      <c r="G2663" t="s">
        <v>364</v>
      </c>
      <c r="H2663" t="s">
        <v>33</v>
      </c>
      <c r="I2663" t="s">
        <v>43</v>
      </c>
      <c r="J2663" t="s">
        <v>374</v>
      </c>
      <c r="K2663" s="1">
        <v>0.50931462962962959</v>
      </c>
      <c r="L2663">
        <f>YEAR(Coffe_sales[[#This Row],[Date]])</f>
        <v>2025</v>
      </c>
    </row>
    <row r="2664" spans="1:12" x14ac:dyDescent="0.2">
      <c r="A2664" t="s">
        <v>36</v>
      </c>
      <c r="B2664" t="s">
        <v>12</v>
      </c>
      <c r="C2664">
        <v>30.86</v>
      </c>
      <c r="D2664" t="s">
        <v>26</v>
      </c>
      <c r="E2664" t="s">
        <v>22</v>
      </c>
      <c r="F2664" t="s">
        <v>32</v>
      </c>
      <c r="G2664" t="s">
        <v>364</v>
      </c>
      <c r="H2664" t="s">
        <v>33</v>
      </c>
      <c r="I2664" t="s">
        <v>43</v>
      </c>
      <c r="J2664" t="s">
        <v>374</v>
      </c>
      <c r="K2664" s="1">
        <v>0.59230143518518519</v>
      </c>
      <c r="L2664">
        <f>YEAR(Coffe_sales[[#This Row],[Date]])</f>
        <v>2025</v>
      </c>
    </row>
    <row r="2665" spans="1:12" x14ac:dyDescent="0.2">
      <c r="A2665" t="s">
        <v>36</v>
      </c>
      <c r="B2665" t="s">
        <v>12</v>
      </c>
      <c r="C2665">
        <v>30.86</v>
      </c>
      <c r="D2665" t="s">
        <v>26</v>
      </c>
      <c r="E2665" t="s">
        <v>22</v>
      </c>
      <c r="F2665" t="s">
        <v>32</v>
      </c>
      <c r="G2665" t="s">
        <v>364</v>
      </c>
      <c r="H2665" t="s">
        <v>33</v>
      </c>
      <c r="I2665" t="s">
        <v>43</v>
      </c>
      <c r="J2665" t="s">
        <v>374</v>
      </c>
      <c r="K2665" s="1">
        <v>0.5941914236111111</v>
      </c>
      <c r="L2665">
        <f>YEAR(Coffe_sales[[#This Row],[Date]])</f>
        <v>2025</v>
      </c>
    </row>
    <row r="2666" spans="1:12" x14ac:dyDescent="0.2">
      <c r="A2666" t="s">
        <v>36</v>
      </c>
      <c r="B2666" t="s">
        <v>12</v>
      </c>
      <c r="C2666">
        <v>35.76</v>
      </c>
      <c r="D2666" t="s">
        <v>52</v>
      </c>
      <c r="E2666" t="s">
        <v>22</v>
      </c>
      <c r="F2666" t="s">
        <v>32</v>
      </c>
      <c r="G2666" t="s">
        <v>364</v>
      </c>
      <c r="H2666" t="s">
        <v>33</v>
      </c>
      <c r="I2666" t="s">
        <v>43</v>
      </c>
      <c r="J2666" t="s">
        <v>374</v>
      </c>
      <c r="K2666" s="1">
        <v>0.59495302083333335</v>
      </c>
      <c r="L2666">
        <f>YEAR(Coffe_sales[[#This Row],[Date]])</f>
        <v>2025</v>
      </c>
    </row>
    <row r="2667" spans="1:12" x14ac:dyDescent="0.2">
      <c r="A2667" t="s">
        <v>36</v>
      </c>
      <c r="B2667" t="s">
        <v>12</v>
      </c>
      <c r="C2667">
        <v>35.76</v>
      </c>
      <c r="D2667" t="s">
        <v>13</v>
      </c>
      <c r="E2667" t="s">
        <v>22</v>
      </c>
      <c r="F2667" t="s">
        <v>32</v>
      </c>
      <c r="G2667" t="s">
        <v>364</v>
      </c>
      <c r="H2667" t="s">
        <v>33</v>
      </c>
      <c r="I2667" t="s">
        <v>43</v>
      </c>
      <c r="J2667" t="s">
        <v>374</v>
      </c>
      <c r="K2667" s="1">
        <v>0.61600662037037035</v>
      </c>
      <c r="L2667">
        <f>YEAR(Coffe_sales[[#This Row],[Date]])</f>
        <v>2025</v>
      </c>
    </row>
    <row r="2668" spans="1:12" x14ac:dyDescent="0.2">
      <c r="A2668" t="s">
        <v>37</v>
      </c>
      <c r="B2668" t="s">
        <v>12</v>
      </c>
      <c r="C2668">
        <v>25.96</v>
      </c>
      <c r="D2668" t="s">
        <v>41</v>
      </c>
      <c r="E2668" t="s">
        <v>29</v>
      </c>
      <c r="F2668" t="s">
        <v>32</v>
      </c>
      <c r="G2668" t="s">
        <v>364</v>
      </c>
      <c r="H2668" t="s">
        <v>33</v>
      </c>
      <c r="I2668" t="s">
        <v>43</v>
      </c>
      <c r="J2668" t="s">
        <v>374</v>
      </c>
      <c r="K2668" s="1">
        <v>0.72192092592592594</v>
      </c>
      <c r="L2668">
        <f>YEAR(Coffe_sales[[#This Row],[Date]])</f>
        <v>2025</v>
      </c>
    </row>
    <row r="2669" spans="1:12" x14ac:dyDescent="0.2">
      <c r="A2669" t="s">
        <v>37</v>
      </c>
      <c r="B2669" t="s">
        <v>12</v>
      </c>
      <c r="C2669">
        <v>35.76</v>
      </c>
      <c r="D2669" t="s">
        <v>13</v>
      </c>
      <c r="E2669" t="s">
        <v>29</v>
      </c>
      <c r="F2669" t="s">
        <v>32</v>
      </c>
      <c r="G2669" t="s">
        <v>364</v>
      </c>
      <c r="H2669" t="s">
        <v>33</v>
      </c>
      <c r="I2669" t="s">
        <v>43</v>
      </c>
      <c r="J2669" t="s">
        <v>374</v>
      </c>
      <c r="K2669" s="1">
        <v>0.72287939814814817</v>
      </c>
      <c r="L2669">
        <f>YEAR(Coffe_sales[[#This Row],[Date]])</f>
        <v>2025</v>
      </c>
    </row>
    <row r="2670" spans="1:12" x14ac:dyDescent="0.2">
      <c r="A2670" t="s">
        <v>37</v>
      </c>
      <c r="B2670" t="s">
        <v>12</v>
      </c>
      <c r="C2670">
        <v>25.96</v>
      </c>
      <c r="D2670" t="s">
        <v>41</v>
      </c>
      <c r="E2670" t="s">
        <v>29</v>
      </c>
      <c r="F2670" t="s">
        <v>32</v>
      </c>
      <c r="G2670" t="s">
        <v>364</v>
      </c>
      <c r="H2670" t="s">
        <v>33</v>
      </c>
      <c r="I2670" t="s">
        <v>43</v>
      </c>
      <c r="J2670" t="s">
        <v>374</v>
      </c>
      <c r="K2670" s="1">
        <v>0.72367019675925925</v>
      </c>
      <c r="L2670">
        <f>YEAR(Coffe_sales[[#This Row],[Date]])</f>
        <v>2025</v>
      </c>
    </row>
    <row r="2671" spans="1:12" x14ac:dyDescent="0.2">
      <c r="A2671" t="s">
        <v>28</v>
      </c>
      <c r="B2671" t="s">
        <v>12</v>
      </c>
      <c r="C2671">
        <v>30.86</v>
      </c>
      <c r="D2671" t="s">
        <v>26</v>
      </c>
      <c r="E2671" t="s">
        <v>29</v>
      </c>
      <c r="F2671" t="s">
        <v>32</v>
      </c>
      <c r="G2671" t="s">
        <v>364</v>
      </c>
      <c r="H2671" t="s">
        <v>33</v>
      </c>
      <c r="I2671" t="s">
        <v>43</v>
      </c>
      <c r="J2671" t="s">
        <v>374</v>
      </c>
      <c r="K2671" s="1">
        <v>0.75102406249999998</v>
      </c>
      <c r="L2671">
        <f>YEAR(Coffe_sales[[#This Row],[Date]])</f>
        <v>2025</v>
      </c>
    </row>
    <row r="2672" spans="1:12" x14ac:dyDescent="0.2">
      <c r="A2672" t="s">
        <v>35</v>
      </c>
      <c r="B2672" t="s">
        <v>12</v>
      </c>
      <c r="C2672">
        <v>30.86</v>
      </c>
      <c r="D2672" t="s">
        <v>26</v>
      </c>
      <c r="E2672" t="s">
        <v>14</v>
      </c>
      <c r="F2672" t="s">
        <v>38</v>
      </c>
      <c r="G2672" t="s">
        <v>364</v>
      </c>
      <c r="H2672" t="s">
        <v>39</v>
      </c>
      <c r="I2672" t="s">
        <v>43</v>
      </c>
      <c r="J2672" t="s">
        <v>375</v>
      </c>
      <c r="K2672" s="1">
        <v>0.48995871527777779</v>
      </c>
      <c r="L2672">
        <f>YEAR(Coffe_sales[[#This Row],[Date]])</f>
        <v>2025</v>
      </c>
    </row>
    <row r="2673" spans="1:12" x14ac:dyDescent="0.2">
      <c r="A2673" t="s">
        <v>35</v>
      </c>
      <c r="B2673" t="s">
        <v>12</v>
      </c>
      <c r="C2673">
        <v>25.96</v>
      </c>
      <c r="D2673" t="s">
        <v>24</v>
      </c>
      <c r="E2673" t="s">
        <v>14</v>
      </c>
      <c r="F2673" t="s">
        <v>38</v>
      </c>
      <c r="G2673" t="s">
        <v>364</v>
      </c>
      <c r="H2673" t="s">
        <v>39</v>
      </c>
      <c r="I2673" t="s">
        <v>43</v>
      </c>
      <c r="J2673" t="s">
        <v>375</v>
      </c>
      <c r="K2673" s="1">
        <v>0.49188343750000002</v>
      </c>
      <c r="L2673">
        <f>YEAR(Coffe_sales[[#This Row],[Date]])</f>
        <v>2025</v>
      </c>
    </row>
    <row r="2674" spans="1:12" x14ac:dyDescent="0.2">
      <c r="A2674" t="s">
        <v>35</v>
      </c>
      <c r="B2674" t="s">
        <v>12</v>
      </c>
      <c r="C2674">
        <v>30.86</v>
      </c>
      <c r="D2674" t="s">
        <v>26</v>
      </c>
      <c r="E2674" t="s">
        <v>14</v>
      </c>
      <c r="F2674" t="s">
        <v>38</v>
      </c>
      <c r="G2674" t="s">
        <v>364</v>
      </c>
      <c r="H2674" t="s">
        <v>39</v>
      </c>
      <c r="I2674" t="s">
        <v>43</v>
      </c>
      <c r="J2674" t="s">
        <v>375</v>
      </c>
      <c r="K2674" s="1">
        <v>0.49294334490740743</v>
      </c>
      <c r="L2674">
        <f>YEAR(Coffe_sales[[#This Row],[Date]])</f>
        <v>2025</v>
      </c>
    </row>
    <row r="2675" spans="1:12" x14ac:dyDescent="0.2">
      <c r="A2675" t="s">
        <v>27</v>
      </c>
      <c r="B2675" t="s">
        <v>12</v>
      </c>
      <c r="C2675">
        <v>35.76</v>
      </c>
      <c r="D2675" t="s">
        <v>21</v>
      </c>
      <c r="E2675" t="s">
        <v>22</v>
      </c>
      <c r="F2675" t="s">
        <v>38</v>
      </c>
      <c r="G2675" t="s">
        <v>364</v>
      </c>
      <c r="H2675" t="s">
        <v>39</v>
      </c>
      <c r="I2675" t="s">
        <v>43</v>
      </c>
      <c r="J2675" t="s">
        <v>375</v>
      </c>
      <c r="K2675" s="1">
        <v>0.67776438657407412</v>
      </c>
      <c r="L2675">
        <f>YEAR(Coffe_sales[[#This Row],[Date]])</f>
        <v>2025</v>
      </c>
    </row>
    <row r="2676" spans="1:12" x14ac:dyDescent="0.2">
      <c r="A2676" t="s">
        <v>91</v>
      </c>
      <c r="B2676" t="s">
        <v>12</v>
      </c>
      <c r="C2676">
        <v>30.86</v>
      </c>
      <c r="D2676" t="s">
        <v>26</v>
      </c>
      <c r="E2676" t="s">
        <v>29</v>
      </c>
      <c r="F2676" t="s">
        <v>38</v>
      </c>
      <c r="G2676" t="s">
        <v>364</v>
      </c>
      <c r="H2676" t="s">
        <v>39</v>
      </c>
      <c r="I2676" t="s">
        <v>43</v>
      </c>
      <c r="J2676" t="s">
        <v>375</v>
      </c>
      <c r="K2676" s="1">
        <v>0.87227226851851847</v>
      </c>
      <c r="L2676">
        <f>YEAR(Coffe_sales[[#This Row],[Date]])</f>
        <v>2025</v>
      </c>
    </row>
    <row r="2677" spans="1:12" x14ac:dyDescent="0.2">
      <c r="A2677" t="s">
        <v>123</v>
      </c>
      <c r="B2677" t="s">
        <v>12</v>
      </c>
      <c r="C2677">
        <v>30.86</v>
      </c>
      <c r="D2677" t="s">
        <v>26</v>
      </c>
      <c r="E2677" t="s">
        <v>14</v>
      </c>
      <c r="F2677" t="s">
        <v>42</v>
      </c>
      <c r="G2677" t="s">
        <v>364</v>
      </c>
      <c r="H2677" t="s">
        <v>43</v>
      </c>
      <c r="I2677" t="s">
        <v>43</v>
      </c>
      <c r="J2677" t="s">
        <v>376</v>
      </c>
      <c r="K2677" s="1">
        <v>0.33912353009259261</v>
      </c>
      <c r="L2677">
        <f>YEAR(Coffe_sales[[#This Row],[Date]])</f>
        <v>2025</v>
      </c>
    </row>
    <row r="2678" spans="1:12" x14ac:dyDescent="0.2">
      <c r="A2678" t="s">
        <v>46</v>
      </c>
      <c r="B2678" t="s">
        <v>12</v>
      </c>
      <c r="C2678">
        <v>30.86</v>
      </c>
      <c r="D2678" t="s">
        <v>26</v>
      </c>
      <c r="E2678" t="s">
        <v>14</v>
      </c>
      <c r="F2678" t="s">
        <v>42</v>
      </c>
      <c r="G2678" t="s">
        <v>364</v>
      </c>
      <c r="H2678" t="s">
        <v>43</v>
      </c>
      <c r="I2678" t="s">
        <v>43</v>
      </c>
      <c r="J2678" t="s">
        <v>376</v>
      </c>
      <c r="K2678" s="1">
        <v>0.3870326736111111</v>
      </c>
      <c r="L2678">
        <f>YEAR(Coffe_sales[[#This Row],[Date]])</f>
        <v>2025</v>
      </c>
    </row>
    <row r="2679" spans="1:12" x14ac:dyDescent="0.2">
      <c r="A2679" t="s">
        <v>23</v>
      </c>
      <c r="B2679" t="s">
        <v>12</v>
      </c>
      <c r="C2679">
        <v>25.96</v>
      </c>
      <c r="D2679" t="s">
        <v>41</v>
      </c>
      <c r="E2679" t="s">
        <v>22</v>
      </c>
      <c r="F2679" t="s">
        <v>42</v>
      </c>
      <c r="G2679" t="s">
        <v>364</v>
      </c>
      <c r="H2679" t="s">
        <v>43</v>
      </c>
      <c r="I2679" t="s">
        <v>43</v>
      </c>
      <c r="J2679" t="s">
        <v>376</v>
      </c>
      <c r="K2679" s="1">
        <v>0.54371116898148153</v>
      </c>
      <c r="L2679">
        <f>YEAR(Coffe_sales[[#This Row],[Date]])</f>
        <v>2025</v>
      </c>
    </row>
    <row r="2680" spans="1:12" x14ac:dyDescent="0.2">
      <c r="A2680" t="s">
        <v>23</v>
      </c>
      <c r="B2680" t="s">
        <v>12</v>
      </c>
      <c r="C2680">
        <v>35.76</v>
      </c>
      <c r="D2680" t="s">
        <v>13</v>
      </c>
      <c r="E2680" t="s">
        <v>22</v>
      </c>
      <c r="F2680" t="s">
        <v>42</v>
      </c>
      <c r="G2680" t="s">
        <v>364</v>
      </c>
      <c r="H2680" t="s">
        <v>43</v>
      </c>
      <c r="I2680" t="s">
        <v>43</v>
      </c>
      <c r="J2680" t="s">
        <v>376</v>
      </c>
      <c r="K2680" s="1">
        <v>0.57692879629629634</v>
      </c>
      <c r="L2680">
        <f>YEAR(Coffe_sales[[#This Row],[Date]])</f>
        <v>2025</v>
      </c>
    </row>
    <row r="2681" spans="1:12" x14ac:dyDescent="0.2">
      <c r="A2681" t="s">
        <v>36</v>
      </c>
      <c r="B2681" t="s">
        <v>12</v>
      </c>
      <c r="C2681">
        <v>35.76</v>
      </c>
      <c r="D2681" t="s">
        <v>13</v>
      </c>
      <c r="E2681" t="s">
        <v>22</v>
      </c>
      <c r="F2681" t="s">
        <v>42</v>
      </c>
      <c r="G2681" t="s">
        <v>364</v>
      </c>
      <c r="H2681" t="s">
        <v>43</v>
      </c>
      <c r="I2681" t="s">
        <v>43</v>
      </c>
      <c r="J2681" t="s">
        <v>376</v>
      </c>
      <c r="K2681" s="1">
        <v>0.59128857638888888</v>
      </c>
      <c r="L2681">
        <f>YEAR(Coffe_sales[[#This Row],[Date]])</f>
        <v>2025</v>
      </c>
    </row>
    <row r="2682" spans="1:12" x14ac:dyDescent="0.2">
      <c r="A2682" t="s">
        <v>36</v>
      </c>
      <c r="B2682" t="s">
        <v>12</v>
      </c>
      <c r="C2682">
        <v>35.76</v>
      </c>
      <c r="D2682" t="s">
        <v>52</v>
      </c>
      <c r="E2682" t="s">
        <v>22</v>
      </c>
      <c r="F2682" t="s">
        <v>42</v>
      </c>
      <c r="G2682" t="s">
        <v>364</v>
      </c>
      <c r="H2682" t="s">
        <v>43</v>
      </c>
      <c r="I2682" t="s">
        <v>43</v>
      </c>
      <c r="J2682" t="s">
        <v>376</v>
      </c>
      <c r="K2682" s="1">
        <v>0.59199467592592592</v>
      </c>
      <c r="L2682">
        <f>YEAR(Coffe_sales[[#This Row],[Date]])</f>
        <v>2025</v>
      </c>
    </row>
    <row r="2683" spans="1:12" x14ac:dyDescent="0.2">
      <c r="A2683" t="s">
        <v>27</v>
      </c>
      <c r="B2683" t="s">
        <v>12</v>
      </c>
      <c r="C2683">
        <v>35.76</v>
      </c>
      <c r="D2683" t="s">
        <v>13</v>
      </c>
      <c r="E2683" t="s">
        <v>22</v>
      </c>
      <c r="F2683" t="s">
        <v>42</v>
      </c>
      <c r="G2683" t="s">
        <v>364</v>
      </c>
      <c r="H2683" t="s">
        <v>43</v>
      </c>
      <c r="I2683" t="s">
        <v>43</v>
      </c>
      <c r="J2683" t="s">
        <v>376</v>
      </c>
      <c r="K2683" s="1">
        <v>0.68444841435185189</v>
      </c>
      <c r="L2683">
        <f>YEAR(Coffe_sales[[#This Row],[Date]])</f>
        <v>2025</v>
      </c>
    </row>
    <row r="2684" spans="1:12" x14ac:dyDescent="0.2">
      <c r="A2684" t="s">
        <v>91</v>
      </c>
      <c r="B2684" t="s">
        <v>12</v>
      </c>
      <c r="C2684">
        <v>21.06</v>
      </c>
      <c r="D2684" t="s">
        <v>45</v>
      </c>
      <c r="E2684" t="s">
        <v>29</v>
      </c>
      <c r="F2684" t="s">
        <v>42</v>
      </c>
      <c r="G2684" t="s">
        <v>364</v>
      </c>
      <c r="H2684" t="s">
        <v>43</v>
      </c>
      <c r="I2684" t="s">
        <v>43</v>
      </c>
      <c r="J2684" t="s">
        <v>376</v>
      </c>
      <c r="K2684" s="1">
        <v>0.86896151620370365</v>
      </c>
      <c r="L2684">
        <f>YEAR(Coffe_sales[[#This Row],[Date]])</f>
        <v>2025</v>
      </c>
    </row>
    <row r="2685" spans="1:12" x14ac:dyDescent="0.2">
      <c r="A2685" t="s">
        <v>39</v>
      </c>
      <c r="B2685" t="s">
        <v>12</v>
      </c>
      <c r="C2685">
        <v>35.76</v>
      </c>
      <c r="D2685" t="s">
        <v>13</v>
      </c>
      <c r="E2685" t="s">
        <v>14</v>
      </c>
      <c r="F2685" t="s">
        <v>47</v>
      </c>
      <c r="G2685" t="s">
        <v>364</v>
      </c>
      <c r="H2685" t="s">
        <v>48</v>
      </c>
      <c r="I2685" t="s">
        <v>43</v>
      </c>
      <c r="J2685" t="s">
        <v>377</v>
      </c>
      <c r="K2685" s="1">
        <v>0.31785255787037037</v>
      </c>
      <c r="L2685">
        <f>YEAR(Coffe_sales[[#This Row],[Date]])</f>
        <v>2025</v>
      </c>
    </row>
    <row r="2686" spans="1:12" x14ac:dyDescent="0.2">
      <c r="A2686" t="s">
        <v>46</v>
      </c>
      <c r="B2686" t="s">
        <v>12</v>
      </c>
      <c r="C2686">
        <v>25.96</v>
      </c>
      <c r="D2686" t="s">
        <v>41</v>
      </c>
      <c r="E2686" t="s">
        <v>14</v>
      </c>
      <c r="F2686" t="s">
        <v>47</v>
      </c>
      <c r="G2686" t="s">
        <v>364</v>
      </c>
      <c r="H2686" t="s">
        <v>48</v>
      </c>
      <c r="I2686" t="s">
        <v>43</v>
      </c>
      <c r="J2686" t="s">
        <v>377</v>
      </c>
      <c r="K2686" s="1">
        <v>0.41230106481481482</v>
      </c>
      <c r="L2686">
        <f>YEAR(Coffe_sales[[#This Row],[Date]])</f>
        <v>2025</v>
      </c>
    </row>
    <row r="2687" spans="1:12" x14ac:dyDescent="0.2">
      <c r="A2687" t="s">
        <v>11</v>
      </c>
      <c r="B2687" t="s">
        <v>12</v>
      </c>
      <c r="C2687">
        <v>30.86</v>
      </c>
      <c r="D2687" t="s">
        <v>26</v>
      </c>
      <c r="E2687" t="s">
        <v>14</v>
      </c>
      <c r="F2687" t="s">
        <v>47</v>
      </c>
      <c r="G2687" t="s">
        <v>364</v>
      </c>
      <c r="H2687" t="s">
        <v>48</v>
      </c>
      <c r="I2687" t="s">
        <v>43</v>
      </c>
      <c r="J2687" t="s">
        <v>377</v>
      </c>
      <c r="K2687" s="1">
        <v>0.43177781250000002</v>
      </c>
      <c r="L2687">
        <f>YEAR(Coffe_sales[[#This Row],[Date]])</f>
        <v>2025</v>
      </c>
    </row>
    <row r="2688" spans="1:12" x14ac:dyDescent="0.2">
      <c r="A2688" t="s">
        <v>20</v>
      </c>
      <c r="B2688" t="s">
        <v>12</v>
      </c>
      <c r="C2688">
        <v>35.76</v>
      </c>
      <c r="D2688" t="s">
        <v>13</v>
      </c>
      <c r="E2688" t="s">
        <v>22</v>
      </c>
      <c r="F2688" t="s">
        <v>47</v>
      </c>
      <c r="G2688" t="s">
        <v>364</v>
      </c>
      <c r="H2688" t="s">
        <v>48</v>
      </c>
      <c r="I2688" t="s">
        <v>43</v>
      </c>
      <c r="J2688" t="s">
        <v>377</v>
      </c>
      <c r="K2688" s="1">
        <v>0.53419387731481482</v>
      </c>
      <c r="L2688">
        <f>YEAR(Coffe_sales[[#This Row],[Date]])</f>
        <v>2025</v>
      </c>
    </row>
    <row r="2689" spans="1:12" x14ac:dyDescent="0.2">
      <c r="A2689" t="s">
        <v>27</v>
      </c>
      <c r="B2689" t="s">
        <v>12</v>
      </c>
      <c r="C2689">
        <v>30.86</v>
      </c>
      <c r="D2689" t="s">
        <v>26</v>
      </c>
      <c r="E2689" t="s">
        <v>22</v>
      </c>
      <c r="F2689" t="s">
        <v>47</v>
      </c>
      <c r="G2689" t="s">
        <v>364</v>
      </c>
      <c r="H2689" t="s">
        <v>48</v>
      </c>
      <c r="I2689" t="s">
        <v>43</v>
      </c>
      <c r="J2689" t="s">
        <v>377</v>
      </c>
      <c r="K2689" s="1">
        <v>0.67938990740740746</v>
      </c>
      <c r="L2689">
        <f>YEAR(Coffe_sales[[#This Row],[Date]])</f>
        <v>2025</v>
      </c>
    </row>
    <row r="2690" spans="1:12" x14ac:dyDescent="0.2">
      <c r="A2690" t="s">
        <v>27</v>
      </c>
      <c r="B2690" t="s">
        <v>12</v>
      </c>
      <c r="C2690">
        <v>30.86</v>
      </c>
      <c r="D2690" t="s">
        <v>26</v>
      </c>
      <c r="E2690" t="s">
        <v>22</v>
      </c>
      <c r="F2690" t="s">
        <v>47</v>
      </c>
      <c r="G2690" t="s">
        <v>364</v>
      </c>
      <c r="H2690" t="s">
        <v>48</v>
      </c>
      <c r="I2690" t="s">
        <v>43</v>
      </c>
      <c r="J2690" t="s">
        <v>377</v>
      </c>
      <c r="K2690" s="1">
        <v>0.6801681828703704</v>
      </c>
      <c r="L2690">
        <f>YEAR(Coffe_sales[[#This Row],[Date]])</f>
        <v>2025</v>
      </c>
    </row>
    <row r="2691" spans="1:12" x14ac:dyDescent="0.2">
      <c r="A2691" t="s">
        <v>30</v>
      </c>
      <c r="B2691" t="s">
        <v>12</v>
      </c>
      <c r="C2691">
        <v>35.76</v>
      </c>
      <c r="D2691" t="s">
        <v>52</v>
      </c>
      <c r="E2691" t="s">
        <v>29</v>
      </c>
      <c r="F2691" t="s">
        <v>47</v>
      </c>
      <c r="G2691" t="s">
        <v>364</v>
      </c>
      <c r="H2691" t="s">
        <v>48</v>
      </c>
      <c r="I2691" t="s">
        <v>43</v>
      </c>
      <c r="J2691" t="s">
        <v>377</v>
      </c>
      <c r="K2691" s="1">
        <v>0.82078583333333333</v>
      </c>
      <c r="L2691">
        <f>YEAR(Coffe_sales[[#This Row],[Date]])</f>
        <v>2025</v>
      </c>
    </row>
    <row r="2692" spans="1:12" x14ac:dyDescent="0.2">
      <c r="A2692" t="s">
        <v>131</v>
      </c>
      <c r="B2692" t="s">
        <v>12</v>
      </c>
      <c r="C2692">
        <v>35.76</v>
      </c>
      <c r="D2692" t="s">
        <v>13</v>
      </c>
      <c r="E2692" t="s">
        <v>29</v>
      </c>
      <c r="F2692" t="s">
        <v>47</v>
      </c>
      <c r="G2692" t="s">
        <v>364</v>
      </c>
      <c r="H2692" t="s">
        <v>48</v>
      </c>
      <c r="I2692" t="s">
        <v>43</v>
      </c>
      <c r="J2692" t="s">
        <v>377</v>
      </c>
      <c r="K2692" s="1">
        <v>0.87680035879629625</v>
      </c>
      <c r="L2692">
        <f>YEAR(Coffe_sales[[#This Row],[Date]])</f>
        <v>2025</v>
      </c>
    </row>
    <row r="2693" spans="1:12" x14ac:dyDescent="0.2">
      <c r="A2693" t="s">
        <v>46</v>
      </c>
      <c r="B2693" t="s">
        <v>12</v>
      </c>
      <c r="C2693">
        <v>30.86</v>
      </c>
      <c r="D2693" t="s">
        <v>26</v>
      </c>
      <c r="E2693" t="s">
        <v>14</v>
      </c>
      <c r="F2693" t="s">
        <v>50</v>
      </c>
      <c r="G2693" t="s">
        <v>364</v>
      </c>
      <c r="H2693" t="s">
        <v>18</v>
      </c>
      <c r="I2693" t="s">
        <v>43</v>
      </c>
      <c r="J2693" t="s">
        <v>378</v>
      </c>
      <c r="K2693" s="1">
        <v>0.38338241898148145</v>
      </c>
      <c r="L2693">
        <f>YEAR(Coffe_sales[[#This Row],[Date]])</f>
        <v>2025</v>
      </c>
    </row>
    <row r="2694" spans="1:12" x14ac:dyDescent="0.2">
      <c r="A2694" t="s">
        <v>35</v>
      </c>
      <c r="B2694" t="s">
        <v>12</v>
      </c>
      <c r="C2694">
        <v>25.96</v>
      </c>
      <c r="D2694" t="s">
        <v>24</v>
      </c>
      <c r="E2694" t="s">
        <v>14</v>
      </c>
      <c r="F2694" t="s">
        <v>50</v>
      </c>
      <c r="G2694" t="s">
        <v>364</v>
      </c>
      <c r="H2694" t="s">
        <v>18</v>
      </c>
      <c r="I2694" t="s">
        <v>43</v>
      </c>
      <c r="J2694" t="s">
        <v>378</v>
      </c>
      <c r="K2694" s="1">
        <v>0.4655521412037037</v>
      </c>
      <c r="L2694">
        <f>YEAR(Coffe_sales[[#This Row],[Date]])</f>
        <v>2025</v>
      </c>
    </row>
    <row r="2695" spans="1:12" x14ac:dyDescent="0.2">
      <c r="A2695" t="s">
        <v>23</v>
      </c>
      <c r="B2695" t="s">
        <v>12</v>
      </c>
      <c r="C2695">
        <v>35.76</v>
      </c>
      <c r="D2695" t="s">
        <v>52</v>
      </c>
      <c r="E2695" t="s">
        <v>22</v>
      </c>
      <c r="F2695" t="s">
        <v>50</v>
      </c>
      <c r="G2695" t="s">
        <v>364</v>
      </c>
      <c r="H2695" t="s">
        <v>18</v>
      </c>
      <c r="I2695" t="s">
        <v>43</v>
      </c>
      <c r="J2695" t="s">
        <v>378</v>
      </c>
      <c r="K2695" s="1">
        <v>0.55155756944444445</v>
      </c>
      <c r="L2695">
        <f>YEAR(Coffe_sales[[#This Row],[Date]])</f>
        <v>2025</v>
      </c>
    </row>
    <row r="2696" spans="1:12" x14ac:dyDescent="0.2">
      <c r="A2696" t="s">
        <v>25</v>
      </c>
      <c r="B2696" t="s">
        <v>12</v>
      </c>
      <c r="C2696">
        <v>35.76</v>
      </c>
      <c r="D2696" t="s">
        <v>13</v>
      </c>
      <c r="E2696" t="s">
        <v>22</v>
      </c>
      <c r="F2696" t="s">
        <v>50</v>
      </c>
      <c r="G2696" t="s">
        <v>364</v>
      </c>
      <c r="H2696" t="s">
        <v>18</v>
      </c>
      <c r="I2696" t="s">
        <v>43</v>
      </c>
      <c r="J2696" t="s">
        <v>378</v>
      </c>
      <c r="K2696" s="1">
        <v>0.64955929398148149</v>
      </c>
      <c r="L2696">
        <f>YEAR(Coffe_sales[[#This Row],[Date]])</f>
        <v>2025</v>
      </c>
    </row>
    <row r="2697" spans="1:12" x14ac:dyDescent="0.2">
      <c r="A2697" t="s">
        <v>25</v>
      </c>
      <c r="B2697" t="s">
        <v>12</v>
      </c>
      <c r="C2697">
        <v>35.76</v>
      </c>
      <c r="D2697" t="s">
        <v>52</v>
      </c>
      <c r="E2697" t="s">
        <v>22</v>
      </c>
      <c r="F2697" t="s">
        <v>50</v>
      </c>
      <c r="G2697" t="s">
        <v>364</v>
      </c>
      <c r="H2697" t="s">
        <v>18</v>
      </c>
      <c r="I2697" t="s">
        <v>43</v>
      </c>
      <c r="J2697" t="s">
        <v>378</v>
      </c>
      <c r="K2697" s="1">
        <v>0.65055489583333337</v>
      </c>
      <c r="L2697">
        <f>YEAR(Coffe_sales[[#This Row],[Date]])</f>
        <v>2025</v>
      </c>
    </row>
    <row r="2698" spans="1:12" x14ac:dyDescent="0.2">
      <c r="A2698" t="s">
        <v>25</v>
      </c>
      <c r="B2698" t="s">
        <v>12</v>
      </c>
      <c r="C2698">
        <v>35.76</v>
      </c>
      <c r="D2698" t="s">
        <v>13</v>
      </c>
      <c r="E2698" t="s">
        <v>22</v>
      </c>
      <c r="F2698" t="s">
        <v>50</v>
      </c>
      <c r="G2698" t="s">
        <v>364</v>
      </c>
      <c r="H2698" t="s">
        <v>18</v>
      </c>
      <c r="I2698" t="s">
        <v>43</v>
      </c>
      <c r="J2698" t="s">
        <v>378</v>
      </c>
      <c r="K2698" s="1">
        <v>0.65133943287037033</v>
      </c>
      <c r="L2698">
        <f>YEAR(Coffe_sales[[#This Row],[Date]])</f>
        <v>2025</v>
      </c>
    </row>
    <row r="2699" spans="1:12" x14ac:dyDescent="0.2">
      <c r="A2699" t="s">
        <v>27</v>
      </c>
      <c r="B2699" t="s">
        <v>12</v>
      </c>
      <c r="C2699">
        <v>35.76</v>
      </c>
      <c r="D2699" t="s">
        <v>13</v>
      </c>
      <c r="E2699" t="s">
        <v>22</v>
      </c>
      <c r="F2699" t="s">
        <v>50</v>
      </c>
      <c r="G2699" t="s">
        <v>364</v>
      </c>
      <c r="H2699" t="s">
        <v>18</v>
      </c>
      <c r="I2699" t="s">
        <v>43</v>
      </c>
      <c r="J2699" t="s">
        <v>378</v>
      </c>
      <c r="K2699" s="1">
        <v>0.70516232638888887</v>
      </c>
      <c r="L2699">
        <f>YEAR(Coffe_sales[[#This Row],[Date]])</f>
        <v>2025</v>
      </c>
    </row>
    <row r="2700" spans="1:12" x14ac:dyDescent="0.2">
      <c r="A2700" t="s">
        <v>28</v>
      </c>
      <c r="B2700" t="s">
        <v>12</v>
      </c>
      <c r="C2700">
        <v>35.76</v>
      </c>
      <c r="D2700" t="s">
        <v>13</v>
      </c>
      <c r="E2700" t="s">
        <v>29</v>
      </c>
      <c r="F2700" t="s">
        <v>50</v>
      </c>
      <c r="G2700" t="s">
        <v>364</v>
      </c>
      <c r="H2700" t="s">
        <v>18</v>
      </c>
      <c r="I2700" t="s">
        <v>43</v>
      </c>
      <c r="J2700" t="s">
        <v>378</v>
      </c>
      <c r="K2700" s="1">
        <v>0.75431040509259262</v>
      </c>
      <c r="L2700">
        <f>YEAR(Coffe_sales[[#This Row],[Date]])</f>
        <v>2025</v>
      </c>
    </row>
    <row r="2701" spans="1:12" x14ac:dyDescent="0.2">
      <c r="A2701" t="s">
        <v>30</v>
      </c>
      <c r="B2701" t="s">
        <v>12</v>
      </c>
      <c r="C2701">
        <v>35.76</v>
      </c>
      <c r="D2701" t="s">
        <v>13</v>
      </c>
      <c r="E2701" t="s">
        <v>29</v>
      </c>
      <c r="F2701" t="s">
        <v>50</v>
      </c>
      <c r="G2701" t="s">
        <v>364</v>
      </c>
      <c r="H2701" t="s">
        <v>18</v>
      </c>
      <c r="I2701" t="s">
        <v>43</v>
      </c>
      <c r="J2701" t="s">
        <v>378</v>
      </c>
      <c r="K2701" s="1">
        <v>0.82724658564814813</v>
      </c>
      <c r="L2701">
        <f>YEAR(Coffe_sales[[#This Row],[Date]])</f>
        <v>2025</v>
      </c>
    </row>
    <row r="2702" spans="1:12" x14ac:dyDescent="0.2">
      <c r="A2702" t="s">
        <v>131</v>
      </c>
      <c r="B2702" t="s">
        <v>12</v>
      </c>
      <c r="C2702">
        <v>35.76</v>
      </c>
      <c r="D2702" t="s">
        <v>52</v>
      </c>
      <c r="E2702" t="s">
        <v>29</v>
      </c>
      <c r="F2702" t="s">
        <v>50</v>
      </c>
      <c r="G2702" t="s">
        <v>364</v>
      </c>
      <c r="H2702" t="s">
        <v>18</v>
      </c>
      <c r="I2702" t="s">
        <v>43</v>
      </c>
      <c r="J2702" t="s">
        <v>378</v>
      </c>
      <c r="K2702" s="1">
        <v>0.9036373148148148</v>
      </c>
      <c r="L2702">
        <f>YEAR(Coffe_sales[[#This Row],[Date]])</f>
        <v>2025</v>
      </c>
    </row>
    <row r="2703" spans="1:12" x14ac:dyDescent="0.2">
      <c r="A2703" t="s">
        <v>46</v>
      </c>
      <c r="B2703" t="s">
        <v>12</v>
      </c>
      <c r="C2703">
        <v>35.76</v>
      </c>
      <c r="D2703" t="s">
        <v>13</v>
      </c>
      <c r="E2703" t="s">
        <v>14</v>
      </c>
      <c r="F2703" t="s">
        <v>53</v>
      </c>
      <c r="G2703" t="s">
        <v>364</v>
      </c>
      <c r="H2703" t="s">
        <v>54</v>
      </c>
      <c r="I2703" t="s">
        <v>43</v>
      </c>
      <c r="J2703" t="s">
        <v>379</v>
      </c>
      <c r="K2703" s="1">
        <v>0.39788986111111113</v>
      </c>
      <c r="L2703">
        <f>YEAR(Coffe_sales[[#This Row],[Date]])</f>
        <v>2025</v>
      </c>
    </row>
    <row r="2704" spans="1:12" x14ac:dyDescent="0.2">
      <c r="A2704" t="s">
        <v>46</v>
      </c>
      <c r="B2704" t="s">
        <v>12</v>
      </c>
      <c r="C2704">
        <v>30.86</v>
      </c>
      <c r="D2704" t="s">
        <v>26</v>
      </c>
      <c r="E2704" t="s">
        <v>14</v>
      </c>
      <c r="F2704" t="s">
        <v>53</v>
      </c>
      <c r="G2704" t="s">
        <v>364</v>
      </c>
      <c r="H2704" t="s">
        <v>54</v>
      </c>
      <c r="I2704" t="s">
        <v>43</v>
      </c>
      <c r="J2704" t="s">
        <v>379</v>
      </c>
      <c r="K2704" s="1">
        <v>0.40149721064814814</v>
      </c>
      <c r="L2704">
        <f>YEAR(Coffe_sales[[#This Row],[Date]])</f>
        <v>2025</v>
      </c>
    </row>
    <row r="2705" spans="1:12" x14ac:dyDescent="0.2">
      <c r="A2705" t="s">
        <v>11</v>
      </c>
      <c r="B2705" t="s">
        <v>12</v>
      </c>
      <c r="C2705">
        <v>30.86</v>
      </c>
      <c r="D2705" t="s">
        <v>26</v>
      </c>
      <c r="E2705" t="s">
        <v>14</v>
      </c>
      <c r="F2705" t="s">
        <v>53</v>
      </c>
      <c r="G2705" t="s">
        <v>364</v>
      </c>
      <c r="H2705" t="s">
        <v>54</v>
      </c>
      <c r="I2705" t="s">
        <v>43</v>
      </c>
      <c r="J2705" t="s">
        <v>379</v>
      </c>
      <c r="K2705" s="1">
        <v>0.44561204861111109</v>
      </c>
      <c r="L2705">
        <f>YEAR(Coffe_sales[[#This Row],[Date]])</f>
        <v>2025</v>
      </c>
    </row>
    <row r="2706" spans="1:12" x14ac:dyDescent="0.2">
      <c r="A2706" t="s">
        <v>20</v>
      </c>
      <c r="B2706" t="s">
        <v>12</v>
      </c>
      <c r="C2706">
        <v>25.96</v>
      </c>
      <c r="D2706" t="s">
        <v>41</v>
      </c>
      <c r="E2706" t="s">
        <v>22</v>
      </c>
      <c r="F2706" t="s">
        <v>53</v>
      </c>
      <c r="G2706" t="s">
        <v>364</v>
      </c>
      <c r="H2706" t="s">
        <v>54</v>
      </c>
      <c r="I2706" t="s">
        <v>43</v>
      </c>
      <c r="J2706" t="s">
        <v>379</v>
      </c>
      <c r="K2706" s="1">
        <v>0.50852251157407402</v>
      </c>
      <c r="L2706">
        <f>YEAR(Coffe_sales[[#This Row],[Date]])</f>
        <v>2025</v>
      </c>
    </row>
    <row r="2707" spans="1:12" x14ac:dyDescent="0.2">
      <c r="A2707" t="s">
        <v>25</v>
      </c>
      <c r="B2707" t="s">
        <v>12</v>
      </c>
      <c r="C2707">
        <v>35.76</v>
      </c>
      <c r="D2707" t="s">
        <v>13</v>
      </c>
      <c r="E2707" t="s">
        <v>22</v>
      </c>
      <c r="F2707" t="s">
        <v>53</v>
      </c>
      <c r="G2707" t="s">
        <v>364</v>
      </c>
      <c r="H2707" t="s">
        <v>54</v>
      </c>
      <c r="I2707" t="s">
        <v>43</v>
      </c>
      <c r="J2707" t="s">
        <v>379</v>
      </c>
      <c r="K2707" s="1">
        <v>0.63633321759259254</v>
      </c>
      <c r="L2707">
        <f>YEAR(Coffe_sales[[#This Row],[Date]])</f>
        <v>2025</v>
      </c>
    </row>
    <row r="2708" spans="1:12" x14ac:dyDescent="0.2">
      <c r="A2708" t="s">
        <v>27</v>
      </c>
      <c r="B2708" t="s">
        <v>12</v>
      </c>
      <c r="C2708">
        <v>35.76</v>
      </c>
      <c r="D2708" t="s">
        <v>13</v>
      </c>
      <c r="E2708" t="s">
        <v>22</v>
      </c>
      <c r="F2708" t="s">
        <v>53</v>
      </c>
      <c r="G2708" t="s">
        <v>364</v>
      </c>
      <c r="H2708" t="s">
        <v>54</v>
      </c>
      <c r="I2708" t="s">
        <v>43</v>
      </c>
      <c r="J2708" t="s">
        <v>379</v>
      </c>
      <c r="K2708" s="1">
        <v>0.6910996064814815</v>
      </c>
      <c r="L2708">
        <f>YEAR(Coffe_sales[[#This Row],[Date]])</f>
        <v>2025</v>
      </c>
    </row>
    <row r="2709" spans="1:12" x14ac:dyDescent="0.2">
      <c r="A2709" t="s">
        <v>28</v>
      </c>
      <c r="B2709" t="s">
        <v>12</v>
      </c>
      <c r="C2709">
        <v>35.76</v>
      </c>
      <c r="D2709" t="s">
        <v>52</v>
      </c>
      <c r="E2709" t="s">
        <v>29</v>
      </c>
      <c r="F2709" t="s">
        <v>53</v>
      </c>
      <c r="G2709" t="s">
        <v>364</v>
      </c>
      <c r="H2709" t="s">
        <v>54</v>
      </c>
      <c r="I2709" t="s">
        <v>43</v>
      </c>
      <c r="J2709" t="s">
        <v>379</v>
      </c>
      <c r="K2709" s="1">
        <v>0.7610815856481481</v>
      </c>
      <c r="L2709">
        <f>YEAR(Coffe_sales[[#This Row],[Date]])</f>
        <v>2025</v>
      </c>
    </row>
    <row r="2710" spans="1:12" x14ac:dyDescent="0.2">
      <c r="A2710" t="s">
        <v>131</v>
      </c>
      <c r="B2710" t="s">
        <v>12</v>
      </c>
      <c r="C2710">
        <v>35.76</v>
      </c>
      <c r="D2710" t="s">
        <v>21</v>
      </c>
      <c r="E2710" t="s">
        <v>29</v>
      </c>
      <c r="F2710" t="s">
        <v>53</v>
      </c>
      <c r="G2710" t="s">
        <v>364</v>
      </c>
      <c r="H2710" t="s">
        <v>54</v>
      </c>
      <c r="I2710" t="s">
        <v>43</v>
      </c>
      <c r="J2710" t="s">
        <v>379</v>
      </c>
      <c r="K2710" s="1">
        <v>0.88610787037037042</v>
      </c>
      <c r="L2710">
        <f>YEAR(Coffe_sales[[#This Row],[Date]])</f>
        <v>2025</v>
      </c>
    </row>
    <row r="2711" spans="1:12" x14ac:dyDescent="0.2">
      <c r="A2711" t="s">
        <v>131</v>
      </c>
      <c r="B2711" t="s">
        <v>12</v>
      </c>
      <c r="C2711">
        <v>35.76</v>
      </c>
      <c r="D2711" t="s">
        <v>21</v>
      </c>
      <c r="E2711" t="s">
        <v>29</v>
      </c>
      <c r="F2711" t="s">
        <v>53</v>
      </c>
      <c r="G2711" t="s">
        <v>364</v>
      </c>
      <c r="H2711" t="s">
        <v>54</v>
      </c>
      <c r="I2711" t="s">
        <v>43</v>
      </c>
      <c r="J2711" t="s">
        <v>379</v>
      </c>
      <c r="K2711" s="1">
        <v>0.88679603009259256</v>
      </c>
      <c r="L2711">
        <f>YEAR(Coffe_sales[[#This Row],[Date]])</f>
        <v>2025</v>
      </c>
    </row>
    <row r="2712" spans="1:12" x14ac:dyDescent="0.2">
      <c r="A2712" t="s">
        <v>131</v>
      </c>
      <c r="B2712" t="s">
        <v>12</v>
      </c>
      <c r="C2712">
        <v>25.96</v>
      </c>
      <c r="D2712" t="s">
        <v>41</v>
      </c>
      <c r="E2712" t="s">
        <v>29</v>
      </c>
      <c r="F2712" t="s">
        <v>53</v>
      </c>
      <c r="G2712" t="s">
        <v>364</v>
      </c>
      <c r="H2712" t="s">
        <v>54</v>
      </c>
      <c r="I2712" t="s">
        <v>43</v>
      </c>
      <c r="J2712" t="s">
        <v>379</v>
      </c>
      <c r="K2712" s="1">
        <v>0.90292284722222227</v>
      </c>
      <c r="L2712">
        <f>YEAR(Coffe_sales[[#This Row],[Date]])</f>
        <v>2025</v>
      </c>
    </row>
    <row r="2713" spans="1:12" x14ac:dyDescent="0.2">
      <c r="A2713" t="s">
        <v>39</v>
      </c>
      <c r="B2713" t="s">
        <v>12</v>
      </c>
      <c r="C2713">
        <v>35.76</v>
      </c>
      <c r="D2713" t="s">
        <v>31</v>
      </c>
      <c r="E2713" t="s">
        <v>14</v>
      </c>
      <c r="F2713" t="s">
        <v>15</v>
      </c>
      <c r="G2713" t="s">
        <v>364</v>
      </c>
      <c r="H2713" t="s">
        <v>17</v>
      </c>
      <c r="I2713" t="s">
        <v>43</v>
      </c>
      <c r="J2713" t="s">
        <v>380</v>
      </c>
      <c r="K2713" s="1">
        <v>0.31828432870370371</v>
      </c>
      <c r="L2713">
        <f>YEAR(Coffe_sales[[#This Row],[Date]])</f>
        <v>2025</v>
      </c>
    </row>
    <row r="2714" spans="1:12" x14ac:dyDescent="0.2">
      <c r="A2714" t="s">
        <v>123</v>
      </c>
      <c r="B2714" t="s">
        <v>12</v>
      </c>
      <c r="C2714">
        <v>35.76</v>
      </c>
      <c r="D2714" t="s">
        <v>13</v>
      </c>
      <c r="E2714" t="s">
        <v>14</v>
      </c>
      <c r="F2714" t="s">
        <v>15</v>
      </c>
      <c r="G2714" t="s">
        <v>364</v>
      </c>
      <c r="H2714" t="s">
        <v>17</v>
      </c>
      <c r="I2714" t="s">
        <v>43</v>
      </c>
      <c r="J2714" t="s">
        <v>380</v>
      </c>
      <c r="K2714" s="1">
        <v>0.35162974537037039</v>
      </c>
      <c r="L2714">
        <f>YEAR(Coffe_sales[[#This Row],[Date]])</f>
        <v>2025</v>
      </c>
    </row>
    <row r="2715" spans="1:12" x14ac:dyDescent="0.2">
      <c r="A2715" t="s">
        <v>123</v>
      </c>
      <c r="B2715" t="s">
        <v>12</v>
      </c>
      <c r="C2715">
        <v>35.76</v>
      </c>
      <c r="D2715" t="s">
        <v>52</v>
      </c>
      <c r="E2715" t="s">
        <v>14</v>
      </c>
      <c r="F2715" t="s">
        <v>15</v>
      </c>
      <c r="G2715" t="s">
        <v>364</v>
      </c>
      <c r="H2715" t="s">
        <v>17</v>
      </c>
      <c r="I2715" t="s">
        <v>43</v>
      </c>
      <c r="J2715" t="s">
        <v>380</v>
      </c>
      <c r="K2715" s="1">
        <v>0.35264319444444442</v>
      </c>
      <c r="L2715">
        <f>YEAR(Coffe_sales[[#This Row],[Date]])</f>
        <v>2025</v>
      </c>
    </row>
    <row r="2716" spans="1:12" x14ac:dyDescent="0.2">
      <c r="A2716" t="s">
        <v>123</v>
      </c>
      <c r="B2716" t="s">
        <v>12</v>
      </c>
      <c r="C2716">
        <v>30.86</v>
      </c>
      <c r="D2716" t="s">
        <v>26</v>
      </c>
      <c r="E2716" t="s">
        <v>14</v>
      </c>
      <c r="F2716" t="s">
        <v>15</v>
      </c>
      <c r="G2716" t="s">
        <v>364</v>
      </c>
      <c r="H2716" t="s">
        <v>17</v>
      </c>
      <c r="I2716" t="s">
        <v>43</v>
      </c>
      <c r="J2716" t="s">
        <v>380</v>
      </c>
      <c r="K2716" s="1">
        <v>0.36662123842592592</v>
      </c>
      <c r="L2716">
        <f>YEAR(Coffe_sales[[#This Row],[Date]])</f>
        <v>2025</v>
      </c>
    </row>
    <row r="2717" spans="1:12" x14ac:dyDescent="0.2">
      <c r="A2717" t="s">
        <v>46</v>
      </c>
      <c r="B2717" t="s">
        <v>12</v>
      </c>
      <c r="C2717">
        <v>30.86</v>
      </c>
      <c r="D2717" t="s">
        <v>26</v>
      </c>
      <c r="E2717" t="s">
        <v>14</v>
      </c>
      <c r="F2717" t="s">
        <v>15</v>
      </c>
      <c r="G2717" t="s">
        <v>364</v>
      </c>
      <c r="H2717" t="s">
        <v>17</v>
      </c>
      <c r="I2717" t="s">
        <v>43</v>
      </c>
      <c r="J2717" t="s">
        <v>380</v>
      </c>
      <c r="K2717" s="1">
        <v>0.39419465277777777</v>
      </c>
      <c r="L2717">
        <f>YEAR(Coffe_sales[[#This Row],[Date]])</f>
        <v>2025</v>
      </c>
    </row>
    <row r="2718" spans="1:12" x14ac:dyDescent="0.2">
      <c r="A2718" t="s">
        <v>36</v>
      </c>
      <c r="B2718" t="s">
        <v>12</v>
      </c>
      <c r="C2718">
        <v>35.76</v>
      </c>
      <c r="D2718" t="s">
        <v>31</v>
      </c>
      <c r="E2718" t="s">
        <v>22</v>
      </c>
      <c r="F2718" t="s">
        <v>15</v>
      </c>
      <c r="G2718" t="s">
        <v>364</v>
      </c>
      <c r="H2718" t="s">
        <v>17</v>
      </c>
      <c r="I2718" t="s">
        <v>43</v>
      </c>
      <c r="J2718" t="s">
        <v>380</v>
      </c>
      <c r="K2718" s="1">
        <v>0.59784689814814818</v>
      </c>
      <c r="L2718">
        <f>YEAR(Coffe_sales[[#This Row],[Date]])</f>
        <v>2025</v>
      </c>
    </row>
    <row r="2719" spans="1:12" x14ac:dyDescent="0.2">
      <c r="A2719" t="s">
        <v>36</v>
      </c>
      <c r="B2719" t="s">
        <v>12</v>
      </c>
      <c r="C2719">
        <v>35.76</v>
      </c>
      <c r="D2719" t="s">
        <v>31</v>
      </c>
      <c r="E2719" t="s">
        <v>22</v>
      </c>
      <c r="F2719" t="s">
        <v>15</v>
      </c>
      <c r="G2719" t="s">
        <v>364</v>
      </c>
      <c r="H2719" t="s">
        <v>17</v>
      </c>
      <c r="I2719" t="s">
        <v>43</v>
      </c>
      <c r="J2719" t="s">
        <v>380</v>
      </c>
      <c r="K2719" s="1">
        <v>0.59864201388888894</v>
      </c>
      <c r="L2719">
        <f>YEAR(Coffe_sales[[#This Row],[Date]])</f>
        <v>2025</v>
      </c>
    </row>
    <row r="2720" spans="1:12" x14ac:dyDescent="0.2">
      <c r="A2720" t="s">
        <v>37</v>
      </c>
      <c r="B2720" t="s">
        <v>12</v>
      </c>
      <c r="C2720">
        <v>35.76</v>
      </c>
      <c r="D2720" t="s">
        <v>21</v>
      </c>
      <c r="E2720" t="s">
        <v>29</v>
      </c>
      <c r="F2720" t="s">
        <v>15</v>
      </c>
      <c r="G2720" t="s">
        <v>364</v>
      </c>
      <c r="H2720" t="s">
        <v>17</v>
      </c>
      <c r="I2720" t="s">
        <v>43</v>
      </c>
      <c r="J2720" t="s">
        <v>380</v>
      </c>
      <c r="K2720" s="1">
        <v>0.73553946759259259</v>
      </c>
      <c r="L2720">
        <f>YEAR(Coffe_sales[[#This Row],[Date]])</f>
        <v>2025</v>
      </c>
    </row>
    <row r="2721" spans="1:12" x14ac:dyDescent="0.2">
      <c r="A2721" t="s">
        <v>131</v>
      </c>
      <c r="B2721" t="s">
        <v>12</v>
      </c>
      <c r="C2721">
        <v>35.76</v>
      </c>
      <c r="D2721" t="s">
        <v>21</v>
      </c>
      <c r="E2721" t="s">
        <v>29</v>
      </c>
      <c r="F2721" t="s">
        <v>15</v>
      </c>
      <c r="G2721" t="s">
        <v>364</v>
      </c>
      <c r="H2721" t="s">
        <v>17</v>
      </c>
      <c r="I2721" t="s">
        <v>43</v>
      </c>
      <c r="J2721" t="s">
        <v>380</v>
      </c>
      <c r="K2721" s="1">
        <v>0.89049721064814813</v>
      </c>
      <c r="L2721">
        <f>YEAR(Coffe_sales[[#This Row],[Date]])</f>
        <v>2025</v>
      </c>
    </row>
    <row r="2722" spans="1:12" x14ac:dyDescent="0.2">
      <c r="A2722" t="s">
        <v>11</v>
      </c>
      <c r="B2722" t="s">
        <v>12</v>
      </c>
      <c r="C2722">
        <v>30.86</v>
      </c>
      <c r="D2722" t="s">
        <v>26</v>
      </c>
      <c r="E2722" t="s">
        <v>14</v>
      </c>
      <c r="F2722" t="s">
        <v>32</v>
      </c>
      <c r="G2722" t="s">
        <v>364</v>
      </c>
      <c r="H2722" t="s">
        <v>33</v>
      </c>
      <c r="I2722" t="s">
        <v>43</v>
      </c>
      <c r="J2722" t="s">
        <v>381</v>
      </c>
      <c r="K2722" s="1">
        <v>0.42544239583333332</v>
      </c>
      <c r="L2722">
        <f>YEAR(Coffe_sales[[#This Row],[Date]])</f>
        <v>2025</v>
      </c>
    </row>
    <row r="2723" spans="1:12" x14ac:dyDescent="0.2">
      <c r="A2723" t="s">
        <v>27</v>
      </c>
      <c r="B2723" t="s">
        <v>12</v>
      </c>
      <c r="C2723">
        <v>35.76</v>
      </c>
      <c r="D2723" t="s">
        <v>21</v>
      </c>
      <c r="E2723" t="s">
        <v>22</v>
      </c>
      <c r="F2723" t="s">
        <v>32</v>
      </c>
      <c r="G2723" t="s">
        <v>364</v>
      </c>
      <c r="H2723" t="s">
        <v>33</v>
      </c>
      <c r="I2723" t="s">
        <v>43</v>
      </c>
      <c r="J2723" t="s">
        <v>381</v>
      </c>
      <c r="K2723" s="1">
        <v>0.69004744212962965</v>
      </c>
      <c r="L2723">
        <f>YEAR(Coffe_sales[[#This Row],[Date]])</f>
        <v>2025</v>
      </c>
    </row>
    <row r="2724" spans="1:12" x14ac:dyDescent="0.2">
      <c r="A2724" t="s">
        <v>27</v>
      </c>
      <c r="B2724" t="s">
        <v>12</v>
      </c>
      <c r="C2724">
        <v>35.76</v>
      </c>
      <c r="D2724" t="s">
        <v>13</v>
      </c>
      <c r="E2724" t="s">
        <v>22</v>
      </c>
      <c r="F2724" t="s">
        <v>32</v>
      </c>
      <c r="G2724" t="s">
        <v>364</v>
      </c>
      <c r="H2724" t="s">
        <v>33</v>
      </c>
      <c r="I2724" t="s">
        <v>43</v>
      </c>
      <c r="J2724" t="s">
        <v>381</v>
      </c>
      <c r="K2724" s="1">
        <v>0.69113688657407413</v>
      </c>
      <c r="L2724">
        <f>YEAR(Coffe_sales[[#This Row],[Date]])</f>
        <v>2025</v>
      </c>
    </row>
    <row r="2725" spans="1:12" x14ac:dyDescent="0.2">
      <c r="A2725" t="s">
        <v>27</v>
      </c>
      <c r="B2725" t="s">
        <v>12</v>
      </c>
      <c r="C2725">
        <v>35.76</v>
      </c>
      <c r="D2725" t="s">
        <v>21</v>
      </c>
      <c r="E2725" t="s">
        <v>22</v>
      </c>
      <c r="F2725" t="s">
        <v>32</v>
      </c>
      <c r="G2725" t="s">
        <v>364</v>
      </c>
      <c r="H2725" t="s">
        <v>33</v>
      </c>
      <c r="I2725" t="s">
        <v>43</v>
      </c>
      <c r="J2725" t="s">
        <v>381</v>
      </c>
      <c r="K2725" s="1">
        <v>0.69200196759259258</v>
      </c>
      <c r="L2725">
        <f>YEAR(Coffe_sales[[#This Row],[Date]])</f>
        <v>2025</v>
      </c>
    </row>
    <row r="2726" spans="1:12" x14ac:dyDescent="0.2">
      <c r="A2726" t="s">
        <v>123</v>
      </c>
      <c r="B2726" t="s">
        <v>12</v>
      </c>
      <c r="C2726">
        <v>30.86</v>
      </c>
      <c r="D2726" t="s">
        <v>26</v>
      </c>
      <c r="E2726" t="s">
        <v>14</v>
      </c>
      <c r="F2726" t="s">
        <v>42</v>
      </c>
      <c r="G2726" t="s">
        <v>364</v>
      </c>
      <c r="H2726" t="s">
        <v>43</v>
      </c>
      <c r="I2726" t="s">
        <v>43</v>
      </c>
      <c r="J2726" t="s">
        <v>382</v>
      </c>
      <c r="K2726" s="1">
        <v>0.35402730324074072</v>
      </c>
      <c r="L2726">
        <f>YEAR(Coffe_sales[[#This Row],[Date]])</f>
        <v>2025</v>
      </c>
    </row>
    <row r="2727" spans="1:12" x14ac:dyDescent="0.2">
      <c r="A2727" t="s">
        <v>11</v>
      </c>
      <c r="B2727" t="s">
        <v>12</v>
      </c>
      <c r="C2727">
        <v>30.86</v>
      </c>
      <c r="D2727" t="s">
        <v>26</v>
      </c>
      <c r="E2727" t="s">
        <v>14</v>
      </c>
      <c r="F2727" t="s">
        <v>42</v>
      </c>
      <c r="G2727" t="s">
        <v>364</v>
      </c>
      <c r="H2727" t="s">
        <v>43</v>
      </c>
      <c r="I2727" t="s">
        <v>43</v>
      </c>
      <c r="J2727" t="s">
        <v>382</v>
      </c>
      <c r="K2727" s="1">
        <v>0.45654202546296296</v>
      </c>
      <c r="L2727">
        <f>YEAR(Coffe_sales[[#This Row],[Date]])</f>
        <v>2025</v>
      </c>
    </row>
    <row r="2728" spans="1:12" x14ac:dyDescent="0.2">
      <c r="A2728" t="s">
        <v>35</v>
      </c>
      <c r="B2728" t="s">
        <v>12</v>
      </c>
      <c r="C2728">
        <v>25.96</v>
      </c>
      <c r="D2728" t="s">
        <v>41</v>
      </c>
      <c r="E2728" t="s">
        <v>14</v>
      </c>
      <c r="F2728" t="s">
        <v>42</v>
      </c>
      <c r="G2728" t="s">
        <v>364</v>
      </c>
      <c r="H2728" t="s">
        <v>43</v>
      </c>
      <c r="I2728" t="s">
        <v>43</v>
      </c>
      <c r="J2728" t="s">
        <v>382</v>
      </c>
      <c r="K2728" s="1">
        <v>0.48638924768518521</v>
      </c>
      <c r="L2728">
        <f>YEAR(Coffe_sales[[#This Row],[Date]])</f>
        <v>2025</v>
      </c>
    </row>
    <row r="2729" spans="1:12" x14ac:dyDescent="0.2">
      <c r="A2729" t="s">
        <v>20</v>
      </c>
      <c r="B2729" t="s">
        <v>12</v>
      </c>
      <c r="C2729">
        <v>25.96</v>
      </c>
      <c r="D2729" t="s">
        <v>24</v>
      </c>
      <c r="E2729" t="s">
        <v>22</v>
      </c>
      <c r="F2729" t="s">
        <v>42</v>
      </c>
      <c r="G2729" t="s">
        <v>364</v>
      </c>
      <c r="H2729" t="s">
        <v>43</v>
      </c>
      <c r="I2729" t="s">
        <v>43</v>
      </c>
      <c r="J2729" t="s">
        <v>382</v>
      </c>
      <c r="K2729" s="1">
        <v>0.50335509259259259</v>
      </c>
      <c r="L2729">
        <f>YEAR(Coffe_sales[[#This Row],[Date]])</f>
        <v>2025</v>
      </c>
    </row>
    <row r="2730" spans="1:12" x14ac:dyDescent="0.2">
      <c r="A2730" t="s">
        <v>20</v>
      </c>
      <c r="B2730" t="s">
        <v>12</v>
      </c>
      <c r="C2730">
        <v>25.96</v>
      </c>
      <c r="D2730" t="s">
        <v>41</v>
      </c>
      <c r="E2730" t="s">
        <v>22</v>
      </c>
      <c r="F2730" t="s">
        <v>42</v>
      </c>
      <c r="G2730" t="s">
        <v>364</v>
      </c>
      <c r="H2730" t="s">
        <v>43</v>
      </c>
      <c r="I2730" t="s">
        <v>43</v>
      </c>
      <c r="J2730" t="s">
        <v>382</v>
      </c>
      <c r="K2730" s="1">
        <v>0.50417473379629629</v>
      </c>
      <c r="L2730">
        <f>YEAR(Coffe_sales[[#This Row],[Date]])</f>
        <v>2025</v>
      </c>
    </row>
    <row r="2731" spans="1:12" x14ac:dyDescent="0.2">
      <c r="A2731" t="s">
        <v>23</v>
      </c>
      <c r="B2731" t="s">
        <v>12</v>
      </c>
      <c r="C2731">
        <v>30.86</v>
      </c>
      <c r="D2731" t="s">
        <v>26</v>
      </c>
      <c r="E2731" t="s">
        <v>22</v>
      </c>
      <c r="F2731" t="s">
        <v>42</v>
      </c>
      <c r="G2731" t="s">
        <v>364</v>
      </c>
      <c r="H2731" t="s">
        <v>43</v>
      </c>
      <c r="I2731" t="s">
        <v>43</v>
      </c>
      <c r="J2731" t="s">
        <v>382</v>
      </c>
      <c r="K2731" s="1">
        <v>0.5730800231481481</v>
      </c>
      <c r="L2731">
        <f>YEAR(Coffe_sales[[#This Row],[Date]])</f>
        <v>2025</v>
      </c>
    </row>
    <row r="2732" spans="1:12" x14ac:dyDescent="0.2">
      <c r="A2732" t="s">
        <v>91</v>
      </c>
      <c r="B2732" t="s">
        <v>12</v>
      </c>
      <c r="C2732">
        <v>35.76</v>
      </c>
      <c r="D2732" t="s">
        <v>21</v>
      </c>
      <c r="E2732" t="s">
        <v>29</v>
      </c>
      <c r="F2732" t="s">
        <v>42</v>
      </c>
      <c r="G2732" t="s">
        <v>364</v>
      </c>
      <c r="H2732" t="s">
        <v>43</v>
      </c>
      <c r="I2732" t="s">
        <v>43</v>
      </c>
      <c r="J2732" t="s">
        <v>382</v>
      </c>
      <c r="K2732" s="1">
        <v>0.8390212037037037</v>
      </c>
      <c r="L2732">
        <f>YEAR(Coffe_sales[[#This Row],[Date]])</f>
        <v>2025</v>
      </c>
    </row>
    <row r="2733" spans="1:12" x14ac:dyDescent="0.2">
      <c r="A2733" t="s">
        <v>91</v>
      </c>
      <c r="B2733" t="s">
        <v>12</v>
      </c>
      <c r="C2733">
        <v>35.76</v>
      </c>
      <c r="D2733" t="s">
        <v>52</v>
      </c>
      <c r="E2733" t="s">
        <v>29</v>
      </c>
      <c r="F2733" t="s">
        <v>42</v>
      </c>
      <c r="G2733" t="s">
        <v>364</v>
      </c>
      <c r="H2733" t="s">
        <v>43</v>
      </c>
      <c r="I2733" t="s">
        <v>43</v>
      </c>
      <c r="J2733" t="s">
        <v>382</v>
      </c>
      <c r="K2733" s="1">
        <v>0.85167686342592597</v>
      </c>
      <c r="L2733">
        <f>YEAR(Coffe_sales[[#This Row],[Date]])</f>
        <v>2025</v>
      </c>
    </row>
    <row r="2734" spans="1:12" x14ac:dyDescent="0.2">
      <c r="A2734" t="s">
        <v>91</v>
      </c>
      <c r="B2734" t="s">
        <v>12</v>
      </c>
      <c r="C2734">
        <v>35.76</v>
      </c>
      <c r="D2734" t="s">
        <v>52</v>
      </c>
      <c r="E2734" t="s">
        <v>29</v>
      </c>
      <c r="F2734" t="s">
        <v>42</v>
      </c>
      <c r="G2734" t="s">
        <v>364</v>
      </c>
      <c r="H2734" t="s">
        <v>43</v>
      </c>
      <c r="I2734" t="s">
        <v>43</v>
      </c>
      <c r="J2734" t="s">
        <v>382</v>
      </c>
      <c r="K2734" s="1">
        <v>0.85241851851851846</v>
      </c>
      <c r="L2734">
        <f>YEAR(Coffe_sales[[#This Row],[Date]])</f>
        <v>2025</v>
      </c>
    </row>
    <row r="2735" spans="1:12" x14ac:dyDescent="0.2">
      <c r="A2735" t="s">
        <v>131</v>
      </c>
      <c r="B2735" t="s">
        <v>12</v>
      </c>
      <c r="C2735">
        <v>35.76</v>
      </c>
      <c r="D2735" t="s">
        <v>13</v>
      </c>
      <c r="E2735" t="s">
        <v>29</v>
      </c>
      <c r="F2735" t="s">
        <v>42</v>
      </c>
      <c r="G2735" t="s">
        <v>364</v>
      </c>
      <c r="H2735" t="s">
        <v>43</v>
      </c>
      <c r="I2735" t="s">
        <v>43</v>
      </c>
      <c r="J2735" t="s">
        <v>382</v>
      </c>
      <c r="K2735" s="1">
        <v>0.88455370370370368</v>
      </c>
      <c r="L2735">
        <f>YEAR(Coffe_sales[[#This Row],[Date]])</f>
        <v>2025</v>
      </c>
    </row>
    <row r="2736" spans="1:12" x14ac:dyDescent="0.2">
      <c r="A2736" t="s">
        <v>123</v>
      </c>
      <c r="B2736" t="s">
        <v>12</v>
      </c>
      <c r="C2736">
        <v>35.76</v>
      </c>
      <c r="D2736" t="s">
        <v>31</v>
      </c>
      <c r="E2736" t="s">
        <v>14</v>
      </c>
      <c r="F2736" t="s">
        <v>47</v>
      </c>
      <c r="G2736" t="s">
        <v>364</v>
      </c>
      <c r="H2736" t="s">
        <v>48</v>
      </c>
      <c r="I2736" t="s">
        <v>43</v>
      </c>
      <c r="J2736" t="s">
        <v>383</v>
      </c>
      <c r="K2736" s="1">
        <v>0.33685496527777775</v>
      </c>
      <c r="L2736">
        <f>YEAR(Coffe_sales[[#This Row],[Date]])</f>
        <v>2025</v>
      </c>
    </row>
    <row r="2737" spans="1:12" x14ac:dyDescent="0.2">
      <c r="A2737" t="s">
        <v>123</v>
      </c>
      <c r="B2737" t="s">
        <v>12</v>
      </c>
      <c r="C2737">
        <v>25.96</v>
      </c>
      <c r="D2737" t="s">
        <v>41</v>
      </c>
      <c r="E2737" t="s">
        <v>14</v>
      </c>
      <c r="F2737" t="s">
        <v>47</v>
      </c>
      <c r="G2737" t="s">
        <v>364</v>
      </c>
      <c r="H2737" t="s">
        <v>48</v>
      </c>
      <c r="I2737" t="s">
        <v>43</v>
      </c>
      <c r="J2737" t="s">
        <v>383</v>
      </c>
      <c r="K2737" s="1">
        <v>0.34605660879629629</v>
      </c>
      <c r="L2737">
        <f>YEAR(Coffe_sales[[#This Row],[Date]])</f>
        <v>2025</v>
      </c>
    </row>
    <row r="2738" spans="1:12" x14ac:dyDescent="0.2">
      <c r="A2738" t="s">
        <v>123</v>
      </c>
      <c r="B2738" t="s">
        <v>12</v>
      </c>
      <c r="C2738">
        <v>30.86</v>
      </c>
      <c r="D2738" t="s">
        <v>26</v>
      </c>
      <c r="E2738" t="s">
        <v>14</v>
      </c>
      <c r="F2738" t="s">
        <v>47</v>
      </c>
      <c r="G2738" t="s">
        <v>364</v>
      </c>
      <c r="H2738" t="s">
        <v>48</v>
      </c>
      <c r="I2738" t="s">
        <v>43</v>
      </c>
      <c r="J2738" t="s">
        <v>383</v>
      </c>
      <c r="K2738" s="1">
        <v>0.34685504629629632</v>
      </c>
      <c r="L2738">
        <f>YEAR(Coffe_sales[[#This Row],[Date]])</f>
        <v>2025</v>
      </c>
    </row>
    <row r="2739" spans="1:12" x14ac:dyDescent="0.2">
      <c r="A2739" t="s">
        <v>25</v>
      </c>
      <c r="B2739" t="s">
        <v>12</v>
      </c>
      <c r="C2739">
        <v>25.96</v>
      </c>
      <c r="D2739" t="s">
        <v>24</v>
      </c>
      <c r="E2739" t="s">
        <v>22</v>
      </c>
      <c r="F2739" t="s">
        <v>47</v>
      </c>
      <c r="G2739" t="s">
        <v>364</v>
      </c>
      <c r="H2739" t="s">
        <v>48</v>
      </c>
      <c r="I2739" t="s">
        <v>43</v>
      </c>
      <c r="J2739" t="s">
        <v>383</v>
      </c>
      <c r="K2739" s="1">
        <v>0.64949673611111114</v>
      </c>
      <c r="L2739">
        <f>YEAR(Coffe_sales[[#This Row],[Date]])</f>
        <v>2025</v>
      </c>
    </row>
    <row r="2740" spans="1:12" x14ac:dyDescent="0.2">
      <c r="A2740" t="s">
        <v>28</v>
      </c>
      <c r="B2740" t="s">
        <v>12</v>
      </c>
      <c r="C2740">
        <v>35.76</v>
      </c>
      <c r="D2740" t="s">
        <v>21</v>
      </c>
      <c r="E2740" t="s">
        <v>29</v>
      </c>
      <c r="F2740" t="s">
        <v>47</v>
      </c>
      <c r="G2740" t="s">
        <v>364</v>
      </c>
      <c r="H2740" t="s">
        <v>48</v>
      </c>
      <c r="I2740" t="s">
        <v>43</v>
      </c>
      <c r="J2740" t="s">
        <v>383</v>
      </c>
      <c r="K2740" s="1">
        <v>0.77260068287037043</v>
      </c>
      <c r="L2740">
        <f>YEAR(Coffe_sales[[#This Row],[Date]])</f>
        <v>2025</v>
      </c>
    </row>
    <row r="2741" spans="1:12" x14ac:dyDescent="0.2">
      <c r="A2741" t="s">
        <v>28</v>
      </c>
      <c r="B2741" t="s">
        <v>12</v>
      </c>
      <c r="C2741">
        <v>35.76</v>
      </c>
      <c r="D2741" t="s">
        <v>13</v>
      </c>
      <c r="E2741" t="s">
        <v>29</v>
      </c>
      <c r="F2741" t="s">
        <v>47</v>
      </c>
      <c r="G2741" t="s">
        <v>364</v>
      </c>
      <c r="H2741" t="s">
        <v>48</v>
      </c>
      <c r="I2741" t="s">
        <v>43</v>
      </c>
      <c r="J2741" t="s">
        <v>383</v>
      </c>
      <c r="K2741" s="1">
        <v>0.78765502314814817</v>
      </c>
      <c r="L2741">
        <f>YEAR(Coffe_sales[[#This Row],[Date]])</f>
        <v>2025</v>
      </c>
    </row>
    <row r="2742" spans="1:12" x14ac:dyDescent="0.2">
      <c r="A2742" t="s">
        <v>28</v>
      </c>
      <c r="B2742" t="s">
        <v>12</v>
      </c>
      <c r="C2742">
        <v>35.76</v>
      </c>
      <c r="D2742" t="s">
        <v>13</v>
      </c>
      <c r="E2742" t="s">
        <v>29</v>
      </c>
      <c r="F2742" t="s">
        <v>47</v>
      </c>
      <c r="G2742" t="s">
        <v>364</v>
      </c>
      <c r="H2742" t="s">
        <v>48</v>
      </c>
      <c r="I2742" t="s">
        <v>43</v>
      </c>
      <c r="J2742" t="s">
        <v>383</v>
      </c>
      <c r="K2742" s="1">
        <v>0.78906646990740736</v>
      </c>
      <c r="L2742">
        <f>YEAR(Coffe_sales[[#This Row],[Date]])</f>
        <v>2025</v>
      </c>
    </row>
    <row r="2743" spans="1:12" x14ac:dyDescent="0.2">
      <c r="A2743" t="s">
        <v>30</v>
      </c>
      <c r="B2743" t="s">
        <v>12</v>
      </c>
      <c r="C2743">
        <v>25.96</v>
      </c>
      <c r="D2743" t="s">
        <v>24</v>
      </c>
      <c r="E2743" t="s">
        <v>29</v>
      </c>
      <c r="F2743" t="s">
        <v>47</v>
      </c>
      <c r="G2743" t="s">
        <v>364</v>
      </c>
      <c r="H2743" t="s">
        <v>48</v>
      </c>
      <c r="I2743" t="s">
        <v>43</v>
      </c>
      <c r="J2743" t="s">
        <v>383</v>
      </c>
      <c r="K2743" s="1">
        <v>0.80232781249999996</v>
      </c>
      <c r="L2743">
        <f>YEAR(Coffe_sales[[#This Row],[Date]])</f>
        <v>2025</v>
      </c>
    </row>
    <row r="2744" spans="1:12" x14ac:dyDescent="0.2">
      <c r="A2744" t="s">
        <v>35</v>
      </c>
      <c r="B2744" t="s">
        <v>12</v>
      </c>
      <c r="C2744">
        <v>21.06</v>
      </c>
      <c r="D2744" t="s">
        <v>45</v>
      </c>
      <c r="E2744" t="s">
        <v>14</v>
      </c>
      <c r="F2744" t="s">
        <v>50</v>
      </c>
      <c r="G2744" t="s">
        <v>364</v>
      </c>
      <c r="H2744" t="s">
        <v>18</v>
      </c>
      <c r="I2744" t="s">
        <v>43</v>
      </c>
      <c r="J2744" t="s">
        <v>384</v>
      </c>
      <c r="K2744" s="1">
        <v>0.47553074074074075</v>
      </c>
      <c r="L2744">
        <f>YEAR(Coffe_sales[[#This Row],[Date]])</f>
        <v>2025</v>
      </c>
    </row>
    <row r="2745" spans="1:12" x14ac:dyDescent="0.2">
      <c r="A2745" t="s">
        <v>37</v>
      </c>
      <c r="B2745" t="s">
        <v>12</v>
      </c>
      <c r="C2745">
        <v>30.86</v>
      </c>
      <c r="D2745" t="s">
        <v>26</v>
      </c>
      <c r="E2745" t="s">
        <v>29</v>
      </c>
      <c r="F2745" t="s">
        <v>50</v>
      </c>
      <c r="G2745" t="s">
        <v>364</v>
      </c>
      <c r="H2745" t="s">
        <v>18</v>
      </c>
      <c r="I2745" t="s">
        <v>43</v>
      </c>
      <c r="J2745" t="s">
        <v>384</v>
      </c>
      <c r="K2745" s="1">
        <v>0.73063133101851852</v>
      </c>
      <c r="L2745">
        <f>YEAR(Coffe_sales[[#This Row],[Date]])</f>
        <v>2025</v>
      </c>
    </row>
    <row r="2746" spans="1:12" x14ac:dyDescent="0.2">
      <c r="A2746" t="s">
        <v>28</v>
      </c>
      <c r="B2746" t="s">
        <v>12</v>
      </c>
      <c r="C2746">
        <v>35.76</v>
      </c>
      <c r="D2746" t="s">
        <v>31</v>
      </c>
      <c r="E2746" t="s">
        <v>29</v>
      </c>
      <c r="F2746" t="s">
        <v>50</v>
      </c>
      <c r="G2746" t="s">
        <v>364</v>
      </c>
      <c r="H2746" t="s">
        <v>18</v>
      </c>
      <c r="I2746" t="s">
        <v>43</v>
      </c>
      <c r="J2746" t="s">
        <v>384</v>
      </c>
      <c r="K2746" s="1">
        <v>0.78471497685185188</v>
      </c>
      <c r="L2746">
        <f>YEAR(Coffe_sales[[#This Row],[Date]])</f>
        <v>2025</v>
      </c>
    </row>
    <row r="2747" spans="1:12" x14ac:dyDescent="0.2">
      <c r="A2747" t="s">
        <v>30</v>
      </c>
      <c r="B2747" t="s">
        <v>12</v>
      </c>
      <c r="C2747">
        <v>30.86</v>
      </c>
      <c r="D2747" t="s">
        <v>26</v>
      </c>
      <c r="E2747" t="s">
        <v>29</v>
      </c>
      <c r="F2747" t="s">
        <v>50</v>
      </c>
      <c r="G2747" t="s">
        <v>364</v>
      </c>
      <c r="H2747" t="s">
        <v>18</v>
      </c>
      <c r="I2747" t="s">
        <v>43</v>
      </c>
      <c r="J2747" t="s">
        <v>384</v>
      </c>
      <c r="K2747" s="1">
        <v>0.79891248842592588</v>
      </c>
      <c r="L2747">
        <f>YEAR(Coffe_sales[[#This Row],[Date]])</f>
        <v>2025</v>
      </c>
    </row>
    <row r="2748" spans="1:12" x14ac:dyDescent="0.2">
      <c r="A2748" t="s">
        <v>30</v>
      </c>
      <c r="B2748" t="s">
        <v>12</v>
      </c>
      <c r="C2748">
        <v>35.76</v>
      </c>
      <c r="D2748" t="s">
        <v>52</v>
      </c>
      <c r="E2748" t="s">
        <v>29</v>
      </c>
      <c r="F2748" t="s">
        <v>50</v>
      </c>
      <c r="G2748" t="s">
        <v>364</v>
      </c>
      <c r="H2748" t="s">
        <v>18</v>
      </c>
      <c r="I2748" t="s">
        <v>43</v>
      </c>
      <c r="J2748" t="s">
        <v>384</v>
      </c>
      <c r="K2748" s="1">
        <v>0.79957319444444441</v>
      </c>
      <c r="L2748">
        <f>YEAR(Coffe_sales[[#This Row],[Date]])</f>
        <v>2025</v>
      </c>
    </row>
    <row r="2749" spans="1:12" x14ac:dyDescent="0.2">
      <c r="A2749" t="s">
        <v>30</v>
      </c>
      <c r="B2749" t="s">
        <v>12</v>
      </c>
      <c r="C2749">
        <v>35.76</v>
      </c>
      <c r="D2749" t="s">
        <v>13</v>
      </c>
      <c r="E2749" t="s">
        <v>29</v>
      </c>
      <c r="F2749" t="s">
        <v>50</v>
      </c>
      <c r="G2749" t="s">
        <v>364</v>
      </c>
      <c r="H2749" t="s">
        <v>18</v>
      </c>
      <c r="I2749" t="s">
        <v>43</v>
      </c>
      <c r="J2749" t="s">
        <v>384</v>
      </c>
      <c r="K2749" s="1">
        <v>0.81198730324074075</v>
      </c>
      <c r="L2749">
        <f>YEAR(Coffe_sales[[#This Row],[Date]])</f>
        <v>2025</v>
      </c>
    </row>
    <row r="2750" spans="1:12" x14ac:dyDescent="0.2">
      <c r="A2750" t="s">
        <v>91</v>
      </c>
      <c r="B2750" t="s">
        <v>12</v>
      </c>
      <c r="C2750">
        <v>30.86</v>
      </c>
      <c r="D2750" t="s">
        <v>26</v>
      </c>
      <c r="E2750" t="s">
        <v>29</v>
      </c>
      <c r="F2750" t="s">
        <v>50</v>
      </c>
      <c r="G2750" t="s">
        <v>364</v>
      </c>
      <c r="H2750" t="s">
        <v>18</v>
      </c>
      <c r="I2750" t="s">
        <v>43</v>
      </c>
      <c r="J2750" t="s">
        <v>384</v>
      </c>
      <c r="K2750" s="1">
        <v>0.8434112037037037</v>
      </c>
      <c r="L2750">
        <f>YEAR(Coffe_sales[[#This Row],[Date]])</f>
        <v>2025</v>
      </c>
    </row>
    <row r="2751" spans="1:12" x14ac:dyDescent="0.2">
      <c r="A2751" t="s">
        <v>23</v>
      </c>
      <c r="B2751" t="s">
        <v>12</v>
      </c>
      <c r="C2751">
        <v>35.76</v>
      </c>
      <c r="D2751" t="s">
        <v>52</v>
      </c>
      <c r="E2751" t="s">
        <v>22</v>
      </c>
      <c r="F2751" t="s">
        <v>15</v>
      </c>
      <c r="G2751" t="s">
        <v>364</v>
      </c>
      <c r="H2751" t="s">
        <v>17</v>
      </c>
      <c r="I2751" t="s">
        <v>43</v>
      </c>
      <c r="J2751" t="s">
        <v>385</v>
      </c>
      <c r="K2751" s="1">
        <v>0.57103004629629628</v>
      </c>
      <c r="L2751">
        <f>YEAR(Coffe_sales[[#This Row],[Date]])</f>
        <v>2025</v>
      </c>
    </row>
    <row r="2752" spans="1:12" x14ac:dyDescent="0.2">
      <c r="A2752" t="s">
        <v>23</v>
      </c>
      <c r="B2752" t="s">
        <v>12</v>
      </c>
      <c r="C2752">
        <v>25.96</v>
      </c>
      <c r="D2752" t="s">
        <v>41</v>
      </c>
      <c r="E2752" t="s">
        <v>22</v>
      </c>
      <c r="F2752" t="s">
        <v>15</v>
      </c>
      <c r="G2752" t="s">
        <v>364</v>
      </c>
      <c r="H2752" t="s">
        <v>17</v>
      </c>
      <c r="I2752" t="s">
        <v>43</v>
      </c>
      <c r="J2752" t="s">
        <v>385</v>
      </c>
      <c r="K2752" s="1">
        <v>0.57196278935185185</v>
      </c>
      <c r="L2752">
        <f>YEAR(Coffe_sales[[#This Row],[Date]])</f>
        <v>2025</v>
      </c>
    </row>
    <row r="2753" spans="1:12" x14ac:dyDescent="0.2">
      <c r="A2753" t="s">
        <v>25</v>
      </c>
      <c r="B2753" t="s">
        <v>12</v>
      </c>
      <c r="C2753">
        <v>35.76</v>
      </c>
      <c r="D2753" t="s">
        <v>31</v>
      </c>
      <c r="E2753" t="s">
        <v>22</v>
      </c>
      <c r="F2753" t="s">
        <v>15</v>
      </c>
      <c r="G2753" t="s">
        <v>364</v>
      </c>
      <c r="H2753" t="s">
        <v>17</v>
      </c>
      <c r="I2753" t="s">
        <v>43</v>
      </c>
      <c r="J2753" t="s">
        <v>385</v>
      </c>
      <c r="K2753" s="1">
        <v>0.64489368055555552</v>
      </c>
      <c r="L2753">
        <f>YEAR(Coffe_sales[[#This Row],[Date]])</f>
        <v>2025</v>
      </c>
    </row>
    <row r="2754" spans="1:12" x14ac:dyDescent="0.2">
      <c r="A2754" t="s">
        <v>37</v>
      </c>
      <c r="B2754" t="s">
        <v>12</v>
      </c>
      <c r="C2754">
        <v>25.96</v>
      </c>
      <c r="D2754" t="s">
        <v>24</v>
      </c>
      <c r="E2754" t="s">
        <v>29</v>
      </c>
      <c r="F2754" t="s">
        <v>15</v>
      </c>
      <c r="G2754" t="s">
        <v>364</v>
      </c>
      <c r="H2754" t="s">
        <v>17</v>
      </c>
      <c r="I2754" t="s">
        <v>43</v>
      </c>
      <c r="J2754" t="s">
        <v>385</v>
      </c>
      <c r="K2754" s="1">
        <v>0.73737622685185189</v>
      </c>
      <c r="L2754">
        <f>YEAR(Coffe_sales[[#This Row],[Date]])</f>
        <v>2025</v>
      </c>
    </row>
    <row r="2755" spans="1:12" x14ac:dyDescent="0.2">
      <c r="A2755" t="s">
        <v>131</v>
      </c>
      <c r="B2755" t="s">
        <v>12</v>
      </c>
      <c r="C2755">
        <v>35.76</v>
      </c>
      <c r="D2755" t="s">
        <v>31</v>
      </c>
      <c r="E2755" t="s">
        <v>29</v>
      </c>
      <c r="F2755" t="s">
        <v>15</v>
      </c>
      <c r="G2755" t="s">
        <v>364</v>
      </c>
      <c r="H2755" t="s">
        <v>17</v>
      </c>
      <c r="I2755" t="s">
        <v>43</v>
      </c>
      <c r="J2755" t="s">
        <v>385</v>
      </c>
      <c r="K2755" s="1">
        <v>0.88641718749999998</v>
      </c>
      <c r="L2755">
        <f>YEAR(Coffe_sales[[#This Row],[Date]])</f>
        <v>2025</v>
      </c>
    </row>
    <row r="2756" spans="1:12" x14ac:dyDescent="0.2">
      <c r="A2756" t="s">
        <v>125</v>
      </c>
      <c r="B2756" t="s">
        <v>12</v>
      </c>
      <c r="C2756">
        <v>35.76</v>
      </c>
      <c r="D2756" t="s">
        <v>21</v>
      </c>
      <c r="E2756" t="s">
        <v>29</v>
      </c>
      <c r="F2756" t="s">
        <v>15</v>
      </c>
      <c r="G2756" t="s">
        <v>364</v>
      </c>
      <c r="H2756" t="s">
        <v>17</v>
      </c>
      <c r="I2756" t="s">
        <v>43</v>
      </c>
      <c r="J2756" t="s">
        <v>385</v>
      </c>
      <c r="K2756" s="1">
        <v>0.93883767361111115</v>
      </c>
      <c r="L2756">
        <f>YEAR(Coffe_sales[[#This Row],[Date]])</f>
        <v>2025</v>
      </c>
    </row>
    <row r="2757" spans="1:12" x14ac:dyDescent="0.2">
      <c r="A2757" t="s">
        <v>125</v>
      </c>
      <c r="B2757" t="s">
        <v>12</v>
      </c>
      <c r="C2757">
        <v>35.76</v>
      </c>
      <c r="D2757" t="s">
        <v>13</v>
      </c>
      <c r="E2757" t="s">
        <v>29</v>
      </c>
      <c r="F2757" t="s">
        <v>15</v>
      </c>
      <c r="G2757" t="s">
        <v>364</v>
      </c>
      <c r="H2757" t="s">
        <v>17</v>
      </c>
      <c r="I2757" t="s">
        <v>43</v>
      </c>
      <c r="J2757" t="s">
        <v>385</v>
      </c>
      <c r="K2757" s="1">
        <v>0.93955915509259258</v>
      </c>
      <c r="L2757">
        <f>YEAR(Coffe_sales[[#This Row],[Date]])</f>
        <v>2025</v>
      </c>
    </row>
    <row r="2758" spans="1:12" x14ac:dyDescent="0.2">
      <c r="A2758" t="s">
        <v>23</v>
      </c>
      <c r="B2758" t="s">
        <v>12</v>
      </c>
      <c r="C2758">
        <v>35.76</v>
      </c>
      <c r="D2758" t="s">
        <v>52</v>
      </c>
      <c r="E2758" t="s">
        <v>22</v>
      </c>
      <c r="F2758" t="s">
        <v>32</v>
      </c>
      <c r="G2758" t="s">
        <v>364</v>
      </c>
      <c r="H2758" t="s">
        <v>33</v>
      </c>
      <c r="I2758" t="s">
        <v>43</v>
      </c>
      <c r="J2758" t="s">
        <v>386</v>
      </c>
      <c r="K2758" s="1">
        <v>0.55629846064814814</v>
      </c>
      <c r="L2758">
        <f>YEAR(Coffe_sales[[#This Row],[Date]])</f>
        <v>2025</v>
      </c>
    </row>
    <row r="2759" spans="1:12" x14ac:dyDescent="0.2">
      <c r="A2759" t="s">
        <v>36</v>
      </c>
      <c r="B2759" t="s">
        <v>12</v>
      </c>
      <c r="C2759">
        <v>35.76</v>
      </c>
      <c r="D2759" t="s">
        <v>52</v>
      </c>
      <c r="E2759" t="s">
        <v>22</v>
      </c>
      <c r="F2759" t="s">
        <v>32</v>
      </c>
      <c r="G2759" t="s">
        <v>364</v>
      </c>
      <c r="H2759" t="s">
        <v>33</v>
      </c>
      <c r="I2759" t="s">
        <v>43</v>
      </c>
      <c r="J2759" t="s">
        <v>386</v>
      </c>
      <c r="K2759" s="1">
        <v>0.61000678240740736</v>
      </c>
      <c r="L2759">
        <f>YEAR(Coffe_sales[[#This Row],[Date]])</f>
        <v>2025</v>
      </c>
    </row>
    <row r="2760" spans="1:12" x14ac:dyDescent="0.2">
      <c r="A2760" t="s">
        <v>36</v>
      </c>
      <c r="B2760" t="s">
        <v>12</v>
      </c>
      <c r="C2760">
        <v>25.96</v>
      </c>
      <c r="D2760" t="s">
        <v>24</v>
      </c>
      <c r="E2760" t="s">
        <v>22</v>
      </c>
      <c r="F2760" t="s">
        <v>32</v>
      </c>
      <c r="G2760" t="s">
        <v>364</v>
      </c>
      <c r="H2760" t="s">
        <v>33</v>
      </c>
      <c r="I2760" t="s">
        <v>43</v>
      </c>
      <c r="J2760" t="s">
        <v>386</v>
      </c>
      <c r="K2760" s="1">
        <v>0.61082273148148147</v>
      </c>
      <c r="L2760">
        <f>YEAR(Coffe_sales[[#This Row],[Date]])</f>
        <v>2025</v>
      </c>
    </row>
    <row r="2761" spans="1:12" x14ac:dyDescent="0.2">
      <c r="A2761" t="s">
        <v>20</v>
      </c>
      <c r="B2761" t="s">
        <v>12</v>
      </c>
      <c r="C2761">
        <v>25.96</v>
      </c>
      <c r="D2761" t="s">
        <v>24</v>
      </c>
      <c r="E2761" t="s">
        <v>22</v>
      </c>
      <c r="F2761" t="s">
        <v>38</v>
      </c>
      <c r="G2761" t="s">
        <v>364</v>
      </c>
      <c r="H2761" t="s">
        <v>39</v>
      </c>
      <c r="I2761" t="s">
        <v>43</v>
      </c>
      <c r="J2761" t="s">
        <v>387</v>
      </c>
      <c r="K2761" s="1">
        <v>0.52457168981481483</v>
      </c>
      <c r="L2761">
        <f>YEAR(Coffe_sales[[#This Row],[Date]])</f>
        <v>2025</v>
      </c>
    </row>
    <row r="2762" spans="1:12" x14ac:dyDescent="0.2">
      <c r="A2762" t="s">
        <v>20</v>
      </c>
      <c r="B2762" t="s">
        <v>12</v>
      </c>
      <c r="C2762">
        <v>21.06</v>
      </c>
      <c r="D2762" t="s">
        <v>45</v>
      </c>
      <c r="E2762" t="s">
        <v>22</v>
      </c>
      <c r="F2762" t="s">
        <v>38</v>
      </c>
      <c r="G2762" t="s">
        <v>364</v>
      </c>
      <c r="H2762" t="s">
        <v>39</v>
      </c>
      <c r="I2762" t="s">
        <v>43</v>
      </c>
      <c r="J2762" t="s">
        <v>387</v>
      </c>
      <c r="K2762" s="1">
        <v>0.52539399305555556</v>
      </c>
      <c r="L2762">
        <f>YEAR(Coffe_sales[[#This Row],[Date]])</f>
        <v>2025</v>
      </c>
    </row>
    <row r="2763" spans="1:12" x14ac:dyDescent="0.2">
      <c r="A2763" t="s">
        <v>123</v>
      </c>
      <c r="B2763" t="s">
        <v>12</v>
      </c>
      <c r="C2763">
        <v>25.96</v>
      </c>
      <c r="D2763" t="s">
        <v>41</v>
      </c>
      <c r="E2763" t="s">
        <v>14</v>
      </c>
      <c r="F2763" t="s">
        <v>42</v>
      </c>
      <c r="G2763" t="s">
        <v>364</v>
      </c>
      <c r="H2763" t="s">
        <v>43</v>
      </c>
      <c r="I2763" t="s">
        <v>43</v>
      </c>
      <c r="J2763" t="s">
        <v>388</v>
      </c>
      <c r="K2763" s="1">
        <v>0.33868525462962962</v>
      </c>
      <c r="L2763">
        <f>YEAR(Coffe_sales[[#This Row],[Date]])</f>
        <v>2025</v>
      </c>
    </row>
    <row r="2764" spans="1:12" x14ac:dyDescent="0.2">
      <c r="A2764" t="s">
        <v>123</v>
      </c>
      <c r="B2764" t="s">
        <v>12</v>
      </c>
      <c r="C2764">
        <v>25.96</v>
      </c>
      <c r="D2764" t="s">
        <v>24</v>
      </c>
      <c r="E2764" t="s">
        <v>14</v>
      </c>
      <c r="F2764" t="s">
        <v>42</v>
      </c>
      <c r="G2764" t="s">
        <v>364</v>
      </c>
      <c r="H2764" t="s">
        <v>43</v>
      </c>
      <c r="I2764" t="s">
        <v>43</v>
      </c>
      <c r="J2764" t="s">
        <v>388</v>
      </c>
      <c r="K2764" s="1">
        <v>0.35605960648148149</v>
      </c>
      <c r="L2764">
        <f>YEAR(Coffe_sales[[#This Row],[Date]])</f>
        <v>2025</v>
      </c>
    </row>
    <row r="2765" spans="1:12" x14ac:dyDescent="0.2">
      <c r="A2765" t="s">
        <v>20</v>
      </c>
      <c r="B2765" t="s">
        <v>12</v>
      </c>
      <c r="C2765">
        <v>35.76</v>
      </c>
      <c r="D2765" t="s">
        <v>52</v>
      </c>
      <c r="E2765" t="s">
        <v>22</v>
      </c>
      <c r="F2765" t="s">
        <v>42</v>
      </c>
      <c r="G2765" t="s">
        <v>364</v>
      </c>
      <c r="H2765" t="s">
        <v>43</v>
      </c>
      <c r="I2765" t="s">
        <v>43</v>
      </c>
      <c r="J2765" t="s">
        <v>388</v>
      </c>
      <c r="K2765" s="1">
        <v>0.50349960648148151</v>
      </c>
      <c r="L2765">
        <f>YEAR(Coffe_sales[[#This Row],[Date]])</f>
        <v>2025</v>
      </c>
    </row>
    <row r="2766" spans="1:12" x14ac:dyDescent="0.2">
      <c r="A2766" t="s">
        <v>23</v>
      </c>
      <c r="B2766" t="s">
        <v>12</v>
      </c>
      <c r="C2766">
        <v>30.86</v>
      </c>
      <c r="D2766" t="s">
        <v>26</v>
      </c>
      <c r="E2766" t="s">
        <v>22</v>
      </c>
      <c r="F2766" t="s">
        <v>42</v>
      </c>
      <c r="G2766" t="s">
        <v>364</v>
      </c>
      <c r="H2766" t="s">
        <v>43</v>
      </c>
      <c r="I2766" t="s">
        <v>43</v>
      </c>
      <c r="J2766" t="s">
        <v>388</v>
      </c>
      <c r="K2766" s="1">
        <v>0.57301810185185187</v>
      </c>
      <c r="L2766">
        <f>YEAR(Coffe_sales[[#This Row],[Date]])</f>
        <v>2025</v>
      </c>
    </row>
    <row r="2767" spans="1:12" x14ac:dyDescent="0.2">
      <c r="A2767" t="s">
        <v>25</v>
      </c>
      <c r="B2767" t="s">
        <v>12</v>
      </c>
      <c r="C2767">
        <v>30.86</v>
      </c>
      <c r="D2767" t="s">
        <v>26</v>
      </c>
      <c r="E2767" t="s">
        <v>22</v>
      </c>
      <c r="F2767" t="s">
        <v>42</v>
      </c>
      <c r="G2767" t="s">
        <v>364</v>
      </c>
      <c r="H2767" t="s">
        <v>43</v>
      </c>
      <c r="I2767" t="s">
        <v>43</v>
      </c>
      <c r="J2767" t="s">
        <v>388</v>
      </c>
      <c r="K2767" s="1">
        <v>0.64437628472222219</v>
      </c>
      <c r="L2767">
        <f>YEAR(Coffe_sales[[#This Row],[Date]])</f>
        <v>2025</v>
      </c>
    </row>
    <row r="2768" spans="1:12" x14ac:dyDescent="0.2">
      <c r="A2768" t="s">
        <v>25</v>
      </c>
      <c r="B2768" t="s">
        <v>12</v>
      </c>
      <c r="C2768">
        <v>25.96</v>
      </c>
      <c r="D2768" t="s">
        <v>41</v>
      </c>
      <c r="E2768" t="s">
        <v>22</v>
      </c>
      <c r="F2768" t="s">
        <v>42</v>
      </c>
      <c r="G2768" t="s">
        <v>364</v>
      </c>
      <c r="H2768" t="s">
        <v>43</v>
      </c>
      <c r="I2768" t="s">
        <v>43</v>
      </c>
      <c r="J2768" t="s">
        <v>388</v>
      </c>
      <c r="K2768" s="1">
        <v>0.64514887731481485</v>
      </c>
      <c r="L2768">
        <f>YEAR(Coffe_sales[[#This Row],[Date]])</f>
        <v>2025</v>
      </c>
    </row>
    <row r="2769" spans="1:12" x14ac:dyDescent="0.2">
      <c r="A2769" t="s">
        <v>25</v>
      </c>
      <c r="B2769" t="s">
        <v>12</v>
      </c>
      <c r="C2769">
        <v>30.86</v>
      </c>
      <c r="D2769" t="s">
        <v>26</v>
      </c>
      <c r="E2769" t="s">
        <v>22</v>
      </c>
      <c r="F2769" t="s">
        <v>42</v>
      </c>
      <c r="G2769" t="s">
        <v>364</v>
      </c>
      <c r="H2769" t="s">
        <v>43</v>
      </c>
      <c r="I2769" t="s">
        <v>43</v>
      </c>
      <c r="J2769" t="s">
        <v>388</v>
      </c>
      <c r="K2769" s="1">
        <v>0.64597995370370376</v>
      </c>
      <c r="L2769">
        <f>YEAR(Coffe_sales[[#This Row],[Date]])</f>
        <v>2025</v>
      </c>
    </row>
    <row r="2770" spans="1:12" x14ac:dyDescent="0.2">
      <c r="A2770" t="s">
        <v>28</v>
      </c>
      <c r="B2770" t="s">
        <v>12</v>
      </c>
      <c r="C2770">
        <v>35.76</v>
      </c>
      <c r="D2770" t="s">
        <v>13</v>
      </c>
      <c r="E2770" t="s">
        <v>29</v>
      </c>
      <c r="F2770" t="s">
        <v>42</v>
      </c>
      <c r="G2770" t="s">
        <v>364</v>
      </c>
      <c r="H2770" t="s">
        <v>43</v>
      </c>
      <c r="I2770" t="s">
        <v>43</v>
      </c>
      <c r="J2770" t="s">
        <v>388</v>
      </c>
      <c r="K2770" s="1">
        <v>0.78841827546296295</v>
      </c>
      <c r="L2770">
        <f>YEAR(Coffe_sales[[#This Row],[Date]])</f>
        <v>2025</v>
      </c>
    </row>
    <row r="2771" spans="1:12" x14ac:dyDescent="0.2">
      <c r="A2771" t="s">
        <v>30</v>
      </c>
      <c r="B2771" t="s">
        <v>12</v>
      </c>
      <c r="C2771">
        <v>35.76</v>
      </c>
      <c r="D2771" t="s">
        <v>13</v>
      </c>
      <c r="E2771" t="s">
        <v>29</v>
      </c>
      <c r="F2771" t="s">
        <v>42</v>
      </c>
      <c r="G2771" t="s">
        <v>364</v>
      </c>
      <c r="H2771" t="s">
        <v>43</v>
      </c>
      <c r="I2771" t="s">
        <v>43</v>
      </c>
      <c r="J2771" t="s">
        <v>388</v>
      </c>
      <c r="K2771" s="1">
        <v>0.79352228009259262</v>
      </c>
      <c r="L2771">
        <f>YEAR(Coffe_sales[[#This Row],[Date]])</f>
        <v>2025</v>
      </c>
    </row>
    <row r="2772" spans="1:12" x14ac:dyDescent="0.2">
      <c r="A2772" t="s">
        <v>30</v>
      </c>
      <c r="B2772" t="s">
        <v>12</v>
      </c>
      <c r="C2772">
        <v>35.76</v>
      </c>
      <c r="D2772" t="s">
        <v>13</v>
      </c>
      <c r="E2772" t="s">
        <v>29</v>
      </c>
      <c r="F2772" t="s">
        <v>42</v>
      </c>
      <c r="G2772" t="s">
        <v>364</v>
      </c>
      <c r="H2772" t="s">
        <v>43</v>
      </c>
      <c r="I2772" t="s">
        <v>43</v>
      </c>
      <c r="J2772" t="s">
        <v>388</v>
      </c>
      <c r="K2772" s="1">
        <v>0.79427612268518522</v>
      </c>
      <c r="L2772">
        <f>YEAR(Coffe_sales[[#This Row],[Date]])</f>
        <v>2025</v>
      </c>
    </row>
    <row r="2773" spans="1:12" x14ac:dyDescent="0.2">
      <c r="A2773" t="s">
        <v>123</v>
      </c>
      <c r="B2773" t="s">
        <v>12</v>
      </c>
      <c r="C2773">
        <v>35.76</v>
      </c>
      <c r="D2773" t="s">
        <v>13</v>
      </c>
      <c r="E2773" t="s">
        <v>14</v>
      </c>
      <c r="F2773" t="s">
        <v>47</v>
      </c>
      <c r="G2773" t="s">
        <v>364</v>
      </c>
      <c r="H2773" t="s">
        <v>48</v>
      </c>
      <c r="I2773" t="s">
        <v>43</v>
      </c>
      <c r="J2773" t="s">
        <v>389</v>
      </c>
      <c r="K2773" s="1">
        <v>0.35181475694444442</v>
      </c>
      <c r="L2773">
        <f>YEAR(Coffe_sales[[#This Row],[Date]])</f>
        <v>2025</v>
      </c>
    </row>
    <row r="2774" spans="1:12" x14ac:dyDescent="0.2">
      <c r="A2774" t="s">
        <v>46</v>
      </c>
      <c r="B2774" t="s">
        <v>12</v>
      </c>
      <c r="C2774">
        <v>25.96</v>
      </c>
      <c r="D2774" t="s">
        <v>24</v>
      </c>
      <c r="E2774" t="s">
        <v>14</v>
      </c>
      <c r="F2774" t="s">
        <v>47</v>
      </c>
      <c r="G2774" t="s">
        <v>364</v>
      </c>
      <c r="H2774" t="s">
        <v>48</v>
      </c>
      <c r="I2774" t="s">
        <v>43</v>
      </c>
      <c r="J2774" t="s">
        <v>389</v>
      </c>
      <c r="K2774" s="1">
        <v>0.3981146527777778</v>
      </c>
      <c r="L2774">
        <f>YEAR(Coffe_sales[[#This Row],[Date]])</f>
        <v>2025</v>
      </c>
    </row>
    <row r="2775" spans="1:12" x14ac:dyDescent="0.2">
      <c r="A2775" t="s">
        <v>35</v>
      </c>
      <c r="B2775" t="s">
        <v>12</v>
      </c>
      <c r="C2775">
        <v>30.86</v>
      </c>
      <c r="D2775" t="s">
        <v>26</v>
      </c>
      <c r="E2775" t="s">
        <v>14</v>
      </c>
      <c r="F2775" t="s">
        <v>47</v>
      </c>
      <c r="G2775" t="s">
        <v>364</v>
      </c>
      <c r="H2775" t="s">
        <v>48</v>
      </c>
      <c r="I2775" t="s">
        <v>43</v>
      </c>
      <c r="J2775" t="s">
        <v>389</v>
      </c>
      <c r="K2775" s="1">
        <v>0.49753299768518516</v>
      </c>
      <c r="L2775">
        <f>YEAR(Coffe_sales[[#This Row],[Date]])</f>
        <v>2025</v>
      </c>
    </row>
    <row r="2776" spans="1:12" x14ac:dyDescent="0.2">
      <c r="A2776" t="s">
        <v>20</v>
      </c>
      <c r="B2776" t="s">
        <v>12</v>
      </c>
      <c r="C2776">
        <v>25.96</v>
      </c>
      <c r="D2776" t="s">
        <v>24</v>
      </c>
      <c r="E2776" t="s">
        <v>22</v>
      </c>
      <c r="F2776" t="s">
        <v>47</v>
      </c>
      <c r="G2776" t="s">
        <v>364</v>
      </c>
      <c r="H2776" t="s">
        <v>48</v>
      </c>
      <c r="I2776" t="s">
        <v>43</v>
      </c>
      <c r="J2776" t="s">
        <v>389</v>
      </c>
      <c r="K2776" s="1">
        <v>0.51529204861111111</v>
      </c>
      <c r="L2776">
        <f>YEAR(Coffe_sales[[#This Row],[Date]])</f>
        <v>2025</v>
      </c>
    </row>
    <row r="2777" spans="1:12" x14ac:dyDescent="0.2">
      <c r="A2777" t="s">
        <v>27</v>
      </c>
      <c r="B2777" t="s">
        <v>12</v>
      </c>
      <c r="C2777">
        <v>35.76</v>
      </c>
      <c r="D2777" t="s">
        <v>31</v>
      </c>
      <c r="E2777" t="s">
        <v>22</v>
      </c>
      <c r="F2777" t="s">
        <v>47</v>
      </c>
      <c r="G2777" t="s">
        <v>364</v>
      </c>
      <c r="H2777" t="s">
        <v>48</v>
      </c>
      <c r="I2777" t="s">
        <v>43</v>
      </c>
      <c r="J2777" t="s">
        <v>389</v>
      </c>
      <c r="K2777" s="1">
        <v>0.6799491319444444</v>
      </c>
      <c r="L2777">
        <f>YEAR(Coffe_sales[[#This Row],[Date]])</f>
        <v>2025</v>
      </c>
    </row>
    <row r="2778" spans="1:12" x14ac:dyDescent="0.2">
      <c r="A2778" t="s">
        <v>27</v>
      </c>
      <c r="B2778" t="s">
        <v>12</v>
      </c>
      <c r="C2778">
        <v>25.96</v>
      </c>
      <c r="D2778" t="s">
        <v>41</v>
      </c>
      <c r="E2778" t="s">
        <v>22</v>
      </c>
      <c r="F2778" t="s">
        <v>47</v>
      </c>
      <c r="G2778" t="s">
        <v>364</v>
      </c>
      <c r="H2778" t="s">
        <v>48</v>
      </c>
      <c r="I2778" t="s">
        <v>43</v>
      </c>
      <c r="J2778" t="s">
        <v>389</v>
      </c>
      <c r="K2778" s="1">
        <v>0.68107243055555555</v>
      </c>
      <c r="L2778">
        <f>YEAR(Coffe_sales[[#This Row],[Date]])</f>
        <v>2025</v>
      </c>
    </row>
    <row r="2779" spans="1:12" x14ac:dyDescent="0.2">
      <c r="A2779" t="s">
        <v>37</v>
      </c>
      <c r="B2779" t="s">
        <v>12</v>
      </c>
      <c r="C2779">
        <v>25.96</v>
      </c>
      <c r="D2779" t="s">
        <v>24</v>
      </c>
      <c r="E2779" t="s">
        <v>29</v>
      </c>
      <c r="F2779" t="s">
        <v>47</v>
      </c>
      <c r="G2779" t="s">
        <v>364</v>
      </c>
      <c r="H2779" t="s">
        <v>48</v>
      </c>
      <c r="I2779" t="s">
        <v>43</v>
      </c>
      <c r="J2779" t="s">
        <v>389</v>
      </c>
      <c r="K2779" s="1">
        <v>0.7361218981481481</v>
      </c>
      <c r="L2779">
        <f>YEAR(Coffe_sales[[#This Row],[Date]])</f>
        <v>2025</v>
      </c>
    </row>
    <row r="2780" spans="1:12" x14ac:dyDescent="0.2">
      <c r="A2780" t="s">
        <v>91</v>
      </c>
      <c r="B2780" t="s">
        <v>12</v>
      </c>
      <c r="C2780">
        <v>35.76</v>
      </c>
      <c r="D2780" t="s">
        <v>13</v>
      </c>
      <c r="E2780" t="s">
        <v>29</v>
      </c>
      <c r="F2780" t="s">
        <v>47</v>
      </c>
      <c r="G2780" t="s">
        <v>364</v>
      </c>
      <c r="H2780" t="s">
        <v>48</v>
      </c>
      <c r="I2780" t="s">
        <v>43</v>
      </c>
      <c r="J2780" t="s">
        <v>389</v>
      </c>
      <c r="K2780" s="1">
        <v>0.84156081018518514</v>
      </c>
      <c r="L2780">
        <f>YEAR(Coffe_sales[[#This Row],[Date]])</f>
        <v>2025</v>
      </c>
    </row>
    <row r="2781" spans="1:12" x14ac:dyDescent="0.2">
      <c r="A2781" t="s">
        <v>91</v>
      </c>
      <c r="B2781" t="s">
        <v>12</v>
      </c>
      <c r="C2781">
        <v>35.76</v>
      </c>
      <c r="D2781" t="s">
        <v>52</v>
      </c>
      <c r="E2781" t="s">
        <v>29</v>
      </c>
      <c r="F2781" t="s">
        <v>47</v>
      </c>
      <c r="G2781" t="s">
        <v>364</v>
      </c>
      <c r="H2781" t="s">
        <v>48</v>
      </c>
      <c r="I2781" t="s">
        <v>43</v>
      </c>
      <c r="J2781" t="s">
        <v>389</v>
      </c>
      <c r="K2781" s="1">
        <v>0.84288381944444446</v>
      </c>
      <c r="L2781">
        <f>YEAR(Coffe_sales[[#This Row],[Date]])</f>
        <v>2025</v>
      </c>
    </row>
    <row r="2782" spans="1:12" x14ac:dyDescent="0.2">
      <c r="A2782" t="s">
        <v>46</v>
      </c>
      <c r="B2782" t="s">
        <v>12</v>
      </c>
      <c r="C2782">
        <v>25.96</v>
      </c>
      <c r="D2782" t="s">
        <v>24</v>
      </c>
      <c r="E2782" t="s">
        <v>14</v>
      </c>
      <c r="F2782" t="s">
        <v>50</v>
      </c>
      <c r="G2782" t="s">
        <v>364</v>
      </c>
      <c r="H2782" t="s">
        <v>18</v>
      </c>
      <c r="I2782" t="s">
        <v>43</v>
      </c>
      <c r="J2782" t="s">
        <v>390</v>
      </c>
      <c r="K2782" s="1">
        <v>0.40193474537037038</v>
      </c>
      <c r="L2782">
        <f>YEAR(Coffe_sales[[#This Row],[Date]])</f>
        <v>2025</v>
      </c>
    </row>
    <row r="2783" spans="1:12" x14ac:dyDescent="0.2">
      <c r="A2783" t="s">
        <v>27</v>
      </c>
      <c r="B2783" t="s">
        <v>12</v>
      </c>
      <c r="C2783">
        <v>25.96</v>
      </c>
      <c r="D2783" t="s">
        <v>24</v>
      </c>
      <c r="E2783" t="s">
        <v>22</v>
      </c>
      <c r="F2783" t="s">
        <v>50</v>
      </c>
      <c r="G2783" t="s">
        <v>364</v>
      </c>
      <c r="H2783" t="s">
        <v>18</v>
      </c>
      <c r="I2783" t="s">
        <v>43</v>
      </c>
      <c r="J2783" t="s">
        <v>390</v>
      </c>
      <c r="K2783" s="1">
        <v>0.68445324074074076</v>
      </c>
      <c r="L2783">
        <f>YEAR(Coffe_sales[[#This Row],[Date]])</f>
        <v>2025</v>
      </c>
    </row>
    <row r="2784" spans="1:12" x14ac:dyDescent="0.2">
      <c r="A2784" t="s">
        <v>30</v>
      </c>
      <c r="B2784" t="s">
        <v>12</v>
      </c>
      <c r="C2784">
        <v>30.86</v>
      </c>
      <c r="D2784" t="s">
        <v>26</v>
      </c>
      <c r="E2784" t="s">
        <v>29</v>
      </c>
      <c r="F2784" t="s">
        <v>50</v>
      </c>
      <c r="G2784" t="s">
        <v>364</v>
      </c>
      <c r="H2784" t="s">
        <v>18</v>
      </c>
      <c r="I2784" t="s">
        <v>43</v>
      </c>
      <c r="J2784" t="s">
        <v>390</v>
      </c>
      <c r="K2784" s="1">
        <v>0.80495668981481483</v>
      </c>
      <c r="L2784">
        <f>YEAR(Coffe_sales[[#This Row],[Date]])</f>
        <v>2025</v>
      </c>
    </row>
    <row r="2785" spans="1:12" x14ac:dyDescent="0.2">
      <c r="A2785" t="s">
        <v>30</v>
      </c>
      <c r="B2785" t="s">
        <v>12</v>
      </c>
      <c r="C2785">
        <v>21.06</v>
      </c>
      <c r="D2785" t="s">
        <v>45</v>
      </c>
      <c r="E2785" t="s">
        <v>29</v>
      </c>
      <c r="F2785" t="s">
        <v>50</v>
      </c>
      <c r="G2785" t="s">
        <v>364</v>
      </c>
      <c r="H2785" t="s">
        <v>18</v>
      </c>
      <c r="I2785" t="s">
        <v>43</v>
      </c>
      <c r="J2785" t="s">
        <v>390</v>
      </c>
      <c r="K2785" s="1">
        <v>0.80595711805555559</v>
      </c>
      <c r="L2785">
        <f>YEAR(Coffe_sales[[#This Row],[Date]])</f>
        <v>2025</v>
      </c>
    </row>
    <row r="2786" spans="1:12" x14ac:dyDescent="0.2">
      <c r="A2786" t="s">
        <v>46</v>
      </c>
      <c r="B2786" t="s">
        <v>12</v>
      </c>
      <c r="C2786">
        <v>30.86</v>
      </c>
      <c r="D2786" t="s">
        <v>26</v>
      </c>
      <c r="E2786" t="s">
        <v>14</v>
      </c>
      <c r="F2786" t="s">
        <v>53</v>
      </c>
      <c r="G2786" t="s">
        <v>364</v>
      </c>
      <c r="H2786" t="s">
        <v>54</v>
      </c>
      <c r="I2786" t="s">
        <v>43</v>
      </c>
      <c r="J2786" t="s">
        <v>391</v>
      </c>
      <c r="K2786" s="1">
        <v>0.38756409722222224</v>
      </c>
      <c r="L2786">
        <f>YEAR(Coffe_sales[[#This Row],[Date]])</f>
        <v>2025</v>
      </c>
    </row>
    <row r="2787" spans="1:12" x14ac:dyDescent="0.2">
      <c r="A2787" t="s">
        <v>11</v>
      </c>
      <c r="B2787" t="s">
        <v>12</v>
      </c>
      <c r="C2787">
        <v>30.86</v>
      </c>
      <c r="D2787" t="s">
        <v>26</v>
      </c>
      <c r="E2787" t="s">
        <v>14</v>
      </c>
      <c r="F2787" t="s">
        <v>53</v>
      </c>
      <c r="G2787" t="s">
        <v>364</v>
      </c>
      <c r="H2787" t="s">
        <v>54</v>
      </c>
      <c r="I2787" t="s">
        <v>43</v>
      </c>
      <c r="J2787" t="s">
        <v>391</v>
      </c>
      <c r="K2787" s="1">
        <v>0.42539199074074074</v>
      </c>
      <c r="L2787">
        <f>YEAR(Coffe_sales[[#This Row],[Date]])</f>
        <v>2025</v>
      </c>
    </row>
    <row r="2788" spans="1:12" x14ac:dyDescent="0.2">
      <c r="A2788" t="s">
        <v>35</v>
      </c>
      <c r="B2788" t="s">
        <v>12</v>
      </c>
      <c r="C2788">
        <v>25.96</v>
      </c>
      <c r="D2788" t="s">
        <v>41</v>
      </c>
      <c r="E2788" t="s">
        <v>14</v>
      </c>
      <c r="F2788" t="s">
        <v>53</v>
      </c>
      <c r="G2788" t="s">
        <v>364</v>
      </c>
      <c r="H2788" t="s">
        <v>54</v>
      </c>
      <c r="I2788" t="s">
        <v>43</v>
      </c>
      <c r="J2788" t="s">
        <v>391</v>
      </c>
      <c r="K2788" s="1">
        <v>0.47672656250000001</v>
      </c>
      <c r="L2788">
        <f>YEAR(Coffe_sales[[#This Row],[Date]])</f>
        <v>2025</v>
      </c>
    </row>
    <row r="2789" spans="1:12" x14ac:dyDescent="0.2">
      <c r="A2789" t="s">
        <v>20</v>
      </c>
      <c r="B2789" t="s">
        <v>12</v>
      </c>
      <c r="C2789">
        <v>35.76</v>
      </c>
      <c r="D2789" t="s">
        <v>21</v>
      </c>
      <c r="E2789" t="s">
        <v>22</v>
      </c>
      <c r="F2789" t="s">
        <v>53</v>
      </c>
      <c r="G2789" t="s">
        <v>364</v>
      </c>
      <c r="H2789" t="s">
        <v>54</v>
      </c>
      <c r="I2789" t="s">
        <v>43</v>
      </c>
      <c r="J2789" t="s">
        <v>391</v>
      </c>
      <c r="K2789" s="1">
        <v>0.5293485185185185</v>
      </c>
      <c r="L2789">
        <f>YEAR(Coffe_sales[[#This Row],[Date]])</f>
        <v>2025</v>
      </c>
    </row>
    <row r="2790" spans="1:12" x14ac:dyDescent="0.2">
      <c r="A2790" t="s">
        <v>23</v>
      </c>
      <c r="B2790" t="s">
        <v>12</v>
      </c>
      <c r="C2790">
        <v>25.96</v>
      </c>
      <c r="D2790" t="s">
        <v>24</v>
      </c>
      <c r="E2790" t="s">
        <v>22</v>
      </c>
      <c r="F2790" t="s">
        <v>53</v>
      </c>
      <c r="G2790" t="s">
        <v>364</v>
      </c>
      <c r="H2790" t="s">
        <v>54</v>
      </c>
      <c r="I2790" t="s">
        <v>43</v>
      </c>
      <c r="J2790" t="s">
        <v>391</v>
      </c>
      <c r="K2790" s="1">
        <v>0.54306421296296292</v>
      </c>
      <c r="L2790">
        <f>YEAR(Coffe_sales[[#This Row],[Date]])</f>
        <v>2025</v>
      </c>
    </row>
    <row r="2791" spans="1:12" x14ac:dyDescent="0.2">
      <c r="A2791" t="s">
        <v>36</v>
      </c>
      <c r="B2791" t="s">
        <v>12</v>
      </c>
      <c r="C2791">
        <v>30.86</v>
      </c>
      <c r="D2791" t="s">
        <v>26</v>
      </c>
      <c r="E2791" t="s">
        <v>22</v>
      </c>
      <c r="F2791" t="s">
        <v>53</v>
      </c>
      <c r="G2791" t="s">
        <v>364</v>
      </c>
      <c r="H2791" t="s">
        <v>54</v>
      </c>
      <c r="I2791" t="s">
        <v>43</v>
      </c>
      <c r="J2791" t="s">
        <v>391</v>
      </c>
      <c r="K2791" s="1">
        <v>0.61229487268518523</v>
      </c>
      <c r="L2791">
        <f>YEAR(Coffe_sales[[#This Row],[Date]])</f>
        <v>2025</v>
      </c>
    </row>
    <row r="2792" spans="1:12" x14ac:dyDescent="0.2">
      <c r="A2792" t="s">
        <v>37</v>
      </c>
      <c r="B2792" t="s">
        <v>12</v>
      </c>
      <c r="C2792">
        <v>35.76</v>
      </c>
      <c r="D2792" t="s">
        <v>21</v>
      </c>
      <c r="E2792" t="s">
        <v>29</v>
      </c>
      <c r="F2792" t="s">
        <v>53</v>
      </c>
      <c r="G2792" t="s">
        <v>364</v>
      </c>
      <c r="H2792" t="s">
        <v>54</v>
      </c>
      <c r="I2792" t="s">
        <v>43</v>
      </c>
      <c r="J2792" t="s">
        <v>391</v>
      </c>
      <c r="K2792" s="1">
        <v>0.72139356481481487</v>
      </c>
      <c r="L2792">
        <f>YEAR(Coffe_sales[[#This Row],[Date]])</f>
        <v>2025</v>
      </c>
    </row>
    <row r="2793" spans="1:12" x14ac:dyDescent="0.2">
      <c r="A2793" t="s">
        <v>28</v>
      </c>
      <c r="B2793" t="s">
        <v>12</v>
      </c>
      <c r="C2793">
        <v>30.86</v>
      </c>
      <c r="D2793" t="s">
        <v>26</v>
      </c>
      <c r="E2793" t="s">
        <v>29</v>
      </c>
      <c r="F2793" t="s">
        <v>53</v>
      </c>
      <c r="G2793" t="s">
        <v>364</v>
      </c>
      <c r="H2793" t="s">
        <v>54</v>
      </c>
      <c r="I2793" t="s">
        <v>43</v>
      </c>
      <c r="J2793" t="s">
        <v>391</v>
      </c>
      <c r="K2793" s="1">
        <v>0.76674365740740735</v>
      </c>
      <c r="L2793">
        <f>YEAR(Coffe_sales[[#This Row],[Date]])</f>
        <v>2025</v>
      </c>
    </row>
    <row r="2794" spans="1:12" x14ac:dyDescent="0.2">
      <c r="A2794" t="s">
        <v>28</v>
      </c>
      <c r="B2794" t="s">
        <v>12</v>
      </c>
      <c r="C2794">
        <v>25.96</v>
      </c>
      <c r="D2794" t="s">
        <v>41</v>
      </c>
      <c r="E2794" t="s">
        <v>29</v>
      </c>
      <c r="F2794" t="s">
        <v>53</v>
      </c>
      <c r="G2794" t="s">
        <v>364</v>
      </c>
      <c r="H2794" t="s">
        <v>54</v>
      </c>
      <c r="I2794" t="s">
        <v>43</v>
      </c>
      <c r="J2794" t="s">
        <v>391</v>
      </c>
      <c r="K2794" s="1">
        <v>0.77904696759259262</v>
      </c>
      <c r="L2794">
        <f>YEAR(Coffe_sales[[#This Row],[Date]])</f>
        <v>2025</v>
      </c>
    </row>
    <row r="2795" spans="1:12" x14ac:dyDescent="0.2">
      <c r="A2795" t="s">
        <v>123</v>
      </c>
      <c r="B2795" t="s">
        <v>12</v>
      </c>
      <c r="C2795">
        <v>25.96</v>
      </c>
      <c r="D2795" t="s">
        <v>24</v>
      </c>
      <c r="E2795" t="s">
        <v>14</v>
      </c>
      <c r="F2795" t="s">
        <v>15</v>
      </c>
      <c r="G2795" t="s">
        <v>364</v>
      </c>
      <c r="H2795" t="s">
        <v>17</v>
      </c>
      <c r="I2795" t="s">
        <v>43</v>
      </c>
      <c r="J2795" t="s">
        <v>392</v>
      </c>
      <c r="K2795" s="1">
        <v>0.36170658564814817</v>
      </c>
      <c r="L2795">
        <f>YEAR(Coffe_sales[[#This Row],[Date]])</f>
        <v>2025</v>
      </c>
    </row>
    <row r="2796" spans="1:12" x14ac:dyDescent="0.2">
      <c r="A2796" t="s">
        <v>123</v>
      </c>
      <c r="B2796" t="s">
        <v>12</v>
      </c>
      <c r="C2796">
        <v>30.86</v>
      </c>
      <c r="D2796" t="s">
        <v>26</v>
      </c>
      <c r="E2796" t="s">
        <v>14</v>
      </c>
      <c r="F2796" t="s">
        <v>15</v>
      </c>
      <c r="G2796" t="s">
        <v>364</v>
      </c>
      <c r="H2796" t="s">
        <v>17</v>
      </c>
      <c r="I2796" t="s">
        <v>43</v>
      </c>
      <c r="J2796" t="s">
        <v>392</v>
      </c>
      <c r="K2796" s="1">
        <v>0.36232326388888891</v>
      </c>
      <c r="L2796">
        <f>YEAR(Coffe_sales[[#This Row],[Date]])</f>
        <v>2025</v>
      </c>
    </row>
    <row r="2797" spans="1:12" x14ac:dyDescent="0.2">
      <c r="A2797" t="s">
        <v>46</v>
      </c>
      <c r="B2797" t="s">
        <v>12</v>
      </c>
      <c r="C2797">
        <v>30.86</v>
      </c>
      <c r="D2797" t="s">
        <v>26</v>
      </c>
      <c r="E2797" t="s">
        <v>14</v>
      </c>
      <c r="F2797" t="s">
        <v>15</v>
      </c>
      <c r="G2797" t="s">
        <v>364</v>
      </c>
      <c r="H2797" t="s">
        <v>17</v>
      </c>
      <c r="I2797" t="s">
        <v>43</v>
      </c>
      <c r="J2797" t="s">
        <v>392</v>
      </c>
      <c r="K2797" s="1">
        <v>0.38697710648148148</v>
      </c>
      <c r="L2797">
        <f>YEAR(Coffe_sales[[#This Row],[Date]])</f>
        <v>2025</v>
      </c>
    </row>
    <row r="2798" spans="1:12" x14ac:dyDescent="0.2">
      <c r="A2798" t="s">
        <v>46</v>
      </c>
      <c r="B2798" t="s">
        <v>12</v>
      </c>
      <c r="C2798">
        <v>35.76</v>
      </c>
      <c r="D2798" t="s">
        <v>31</v>
      </c>
      <c r="E2798" t="s">
        <v>14</v>
      </c>
      <c r="F2798" t="s">
        <v>15</v>
      </c>
      <c r="G2798" t="s">
        <v>364</v>
      </c>
      <c r="H2798" t="s">
        <v>17</v>
      </c>
      <c r="I2798" t="s">
        <v>43</v>
      </c>
      <c r="J2798" t="s">
        <v>392</v>
      </c>
      <c r="K2798" s="1">
        <v>0.38901598379629632</v>
      </c>
      <c r="L2798">
        <f>YEAR(Coffe_sales[[#This Row],[Date]])</f>
        <v>2025</v>
      </c>
    </row>
    <row r="2799" spans="1:12" x14ac:dyDescent="0.2">
      <c r="A2799" t="s">
        <v>46</v>
      </c>
      <c r="B2799" t="s">
        <v>12</v>
      </c>
      <c r="C2799">
        <v>35.76</v>
      </c>
      <c r="D2799" t="s">
        <v>52</v>
      </c>
      <c r="E2799" t="s">
        <v>14</v>
      </c>
      <c r="F2799" t="s">
        <v>15</v>
      </c>
      <c r="G2799" t="s">
        <v>364</v>
      </c>
      <c r="H2799" t="s">
        <v>17</v>
      </c>
      <c r="I2799" t="s">
        <v>43</v>
      </c>
      <c r="J2799" t="s">
        <v>392</v>
      </c>
      <c r="K2799" s="1">
        <v>0.39359682870370372</v>
      </c>
      <c r="L2799">
        <f>YEAR(Coffe_sales[[#This Row],[Date]])</f>
        <v>2025</v>
      </c>
    </row>
    <row r="2800" spans="1:12" x14ac:dyDescent="0.2">
      <c r="A2800" t="s">
        <v>46</v>
      </c>
      <c r="B2800" t="s">
        <v>12</v>
      </c>
      <c r="C2800">
        <v>35.76</v>
      </c>
      <c r="D2800" t="s">
        <v>52</v>
      </c>
      <c r="E2800" t="s">
        <v>14</v>
      </c>
      <c r="F2800" t="s">
        <v>15</v>
      </c>
      <c r="G2800" t="s">
        <v>364</v>
      </c>
      <c r="H2800" t="s">
        <v>17</v>
      </c>
      <c r="I2800" t="s">
        <v>43</v>
      </c>
      <c r="J2800" t="s">
        <v>392</v>
      </c>
      <c r="K2800" s="1">
        <v>0.39430252314814812</v>
      </c>
      <c r="L2800">
        <f>YEAR(Coffe_sales[[#This Row],[Date]])</f>
        <v>2025</v>
      </c>
    </row>
    <row r="2801" spans="1:12" x14ac:dyDescent="0.2">
      <c r="A2801" t="s">
        <v>20</v>
      </c>
      <c r="B2801" t="s">
        <v>12</v>
      </c>
      <c r="C2801">
        <v>35.76</v>
      </c>
      <c r="D2801" t="s">
        <v>13</v>
      </c>
      <c r="E2801" t="s">
        <v>22</v>
      </c>
      <c r="F2801" t="s">
        <v>15</v>
      </c>
      <c r="G2801" t="s">
        <v>364</v>
      </c>
      <c r="H2801" t="s">
        <v>17</v>
      </c>
      <c r="I2801" t="s">
        <v>43</v>
      </c>
      <c r="J2801" t="s">
        <v>392</v>
      </c>
      <c r="K2801" s="1">
        <v>0.52154214120370368</v>
      </c>
      <c r="L2801">
        <f>YEAR(Coffe_sales[[#This Row],[Date]])</f>
        <v>2025</v>
      </c>
    </row>
    <row r="2802" spans="1:12" x14ac:dyDescent="0.2">
      <c r="A2802" t="s">
        <v>20</v>
      </c>
      <c r="B2802" t="s">
        <v>12</v>
      </c>
      <c r="C2802">
        <v>35.76</v>
      </c>
      <c r="D2802" t="s">
        <v>13</v>
      </c>
      <c r="E2802" t="s">
        <v>22</v>
      </c>
      <c r="F2802" t="s">
        <v>15</v>
      </c>
      <c r="G2802" t="s">
        <v>364</v>
      </c>
      <c r="H2802" t="s">
        <v>17</v>
      </c>
      <c r="I2802" t="s">
        <v>43</v>
      </c>
      <c r="J2802" t="s">
        <v>392</v>
      </c>
      <c r="K2802" s="1">
        <v>0.53779763888888887</v>
      </c>
      <c r="L2802">
        <f>YEAR(Coffe_sales[[#This Row],[Date]])</f>
        <v>2025</v>
      </c>
    </row>
    <row r="2803" spans="1:12" x14ac:dyDescent="0.2">
      <c r="A2803" t="s">
        <v>36</v>
      </c>
      <c r="B2803" t="s">
        <v>12</v>
      </c>
      <c r="C2803">
        <v>35.76</v>
      </c>
      <c r="D2803" t="s">
        <v>52</v>
      </c>
      <c r="E2803" t="s">
        <v>22</v>
      </c>
      <c r="F2803" t="s">
        <v>15</v>
      </c>
      <c r="G2803" t="s">
        <v>364</v>
      </c>
      <c r="H2803" t="s">
        <v>17</v>
      </c>
      <c r="I2803" t="s">
        <v>43</v>
      </c>
      <c r="J2803" t="s">
        <v>392</v>
      </c>
      <c r="K2803" s="1">
        <v>0.58539665509259264</v>
      </c>
      <c r="L2803">
        <f>YEAR(Coffe_sales[[#This Row],[Date]])</f>
        <v>2025</v>
      </c>
    </row>
    <row r="2804" spans="1:12" x14ac:dyDescent="0.2">
      <c r="A2804" t="s">
        <v>27</v>
      </c>
      <c r="B2804" t="s">
        <v>12</v>
      </c>
      <c r="C2804">
        <v>30.86</v>
      </c>
      <c r="D2804" t="s">
        <v>26</v>
      </c>
      <c r="E2804" t="s">
        <v>22</v>
      </c>
      <c r="F2804" t="s">
        <v>15</v>
      </c>
      <c r="G2804" t="s">
        <v>364</v>
      </c>
      <c r="H2804" t="s">
        <v>17</v>
      </c>
      <c r="I2804" t="s">
        <v>43</v>
      </c>
      <c r="J2804" t="s">
        <v>392</v>
      </c>
      <c r="K2804" s="1">
        <v>0.70039346064814811</v>
      </c>
      <c r="L2804">
        <f>YEAR(Coffe_sales[[#This Row],[Date]])</f>
        <v>2025</v>
      </c>
    </row>
    <row r="2805" spans="1:12" x14ac:dyDescent="0.2">
      <c r="A2805" t="s">
        <v>125</v>
      </c>
      <c r="B2805" t="s">
        <v>12</v>
      </c>
      <c r="C2805">
        <v>30.86</v>
      </c>
      <c r="D2805" t="s">
        <v>26</v>
      </c>
      <c r="E2805" t="s">
        <v>29</v>
      </c>
      <c r="F2805" t="s">
        <v>15</v>
      </c>
      <c r="G2805" t="s">
        <v>364</v>
      </c>
      <c r="H2805" t="s">
        <v>17</v>
      </c>
      <c r="I2805" t="s">
        <v>43</v>
      </c>
      <c r="J2805" t="s">
        <v>392</v>
      </c>
      <c r="K2805" s="1">
        <v>0.94165327546296296</v>
      </c>
      <c r="L2805">
        <f>YEAR(Coffe_sales[[#This Row],[Date]])</f>
        <v>2025</v>
      </c>
    </row>
    <row r="2806" spans="1:12" x14ac:dyDescent="0.2">
      <c r="A2806" t="s">
        <v>125</v>
      </c>
      <c r="B2806" t="s">
        <v>12</v>
      </c>
      <c r="C2806">
        <v>25.96</v>
      </c>
      <c r="D2806" t="s">
        <v>24</v>
      </c>
      <c r="E2806" t="s">
        <v>29</v>
      </c>
      <c r="F2806" t="s">
        <v>15</v>
      </c>
      <c r="G2806" t="s">
        <v>364</v>
      </c>
      <c r="H2806" t="s">
        <v>17</v>
      </c>
      <c r="I2806" t="s">
        <v>43</v>
      </c>
      <c r="J2806" t="s">
        <v>392</v>
      </c>
      <c r="K2806" s="1">
        <v>0.94238461805555551</v>
      </c>
      <c r="L2806">
        <f>YEAR(Coffe_sales[[#This Row],[Date]])</f>
        <v>2025</v>
      </c>
    </row>
    <row r="2807" spans="1:12" x14ac:dyDescent="0.2">
      <c r="A2807" t="s">
        <v>123</v>
      </c>
      <c r="B2807" t="s">
        <v>12</v>
      </c>
      <c r="C2807">
        <v>30.86</v>
      </c>
      <c r="D2807" t="s">
        <v>26</v>
      </c>
      <c r="E2807" t="s">
        <v>14</v>
      </c>
      <c r="F2807" t="s">
        <v>32</v>
      </c>
      <c r="G2807" t="s">
        <v>393</v>
      </c>
      <c r="H2807" t="s">
        <v>33</v>
      </c>
      <c r="I2807" t="s">
        <v>48</v>
      </c>
      <c r="J2807" t="s">
        <v>394</v>
      </c>
      <c r="K2807" s="1">
        <v>0.36832881944444446</v>
      </c>
      <c r="L2807">
        <f>YEAR(Coffe_sales[[#This Row],[Date]])</f>
        <v>2025</v>
      </c>
    </row>
    <row r="2808" spans="1:12" x14ac:dyDescent="0.2">
      <c r="A2808" t="s">
        <v>11</v>
      </c>
      <c r="B2808" t="s">
        <v>12</v>
      </c>
      <c r="C2808">
        <v>30.86</v>
      </c>
      <c r="D2808" t="s">
        <v>26</v>
      </c>
      <c r="E2808" t="s">
        <v>14</v>
      </c>
      <c r="F2808" t="s">
        <v>32</v>
      </c>
      <c r="G2808" t="s">
        <v>393</v>
      </c>
      <c r="H2808" t="s">
        <v>33</v>
      </c>
      <c r="I2808" t="s">
        <v>48</v>
      </c>
      <c r="J2808" t="s">
        <v>394</v>
      </c>
      <c r="K2808" s="1">
        <v>0.42179223379629632</v>
      </c>
      <c r="L2808">
        <f>YEAR(Coffe_sales[[#This Row],[Date]])</f>
        <v>2025</v>
      </c>
    </row>
    <row r="2809" spans="1:12" x14ac:dyDescent="0.2">
      <c r="A2809" t="s">
        <v>23</v>
      </c>
      <c r="B2809" t="s">
        <v>12</v>
      </c>
      <c r="C2809">
        <v>25.96</v>
      </c>
      <c r="D2809" t="s">
        <v>41</v>
      </c>
      <c r="E2809" t="s">
        <v>22</v>
      </c>
      <c r="F2809" t="s">
        <v>32</v>
      </c>
      <c r="G2809" t="s">
        <v>393</v>
      </c>
      <c r="H2809" t="s">
        <v>33</v>
      </c>
      <c r="I2809" t="s">
        <v>48</v>
      </c>
      <c r="J2809" t="s">
        <v>394</v>
      </c>
      <c r="K2809" s="1">
        <v>0.55192869212962958</v>
      </c>
      <c r="L2809">
        <f>YEAR(Coffe_sales[[#This Row],[Date]])</f>
        <v>2025</v>
      </c>
    </row>
    <row r="2810" spans="1:12" x14ac:dyDescent="0.2">
      <c r="A2810" t="s">
        <v>23</v>
      </c>
      <c r="B2810" t="s">
        <v>12</v>
      </c>
      <c r="C2810">
        <v>25.96</v>
      </c>
      <c r="D2810" t="s">
        <v>41</v>
      </c>
      <c r="E2810" t="s">
        <v>22</v>
      </c>
      <c r="F2810" t="s">
        <v>32</v>
      </c>
      <c r="G2810" t="s">
        <v>393</v>
      </c>
      <c r="H2810" t="s">
        <v>33</v>
      </c>
      <c r="I2810" t="s">
        <v>48</v>
      </c>
      <c r="J2810" t="s">
        <v>394</v>
      </c>
      <c r="K2810" s="1">
        <v>0.5524217939814815</v>
      </c>
      <c r="L2810">
        <f>YEAR(Coffe_sales[[#This Row],[Date]])</f>
        <v>2025</v>
      </c>
    </row>
    <row r="2811" spans="1:12" x14ac:dyDescent="0.2">
      <c r="A2811" t="s">
        <v>36</v>
      </c>
      <c r="B2811" t="s">
        <v>12</v>
      </c>
      <c r="C2811">
        <v>35.76</v>
      </c>
      <c r="D2811" t="s">
        <v>52</v>
      </c>
      <c r="E2811" t="s">
        <v>22</v>
      </c>
      <c r="F2811" t="s">
        <v>32</v>
      </c>
      <c r="G2811" t="s">
        <v>393</v>
      </c>
      <c r="H2811" t="s">
        <v>33</v>
      </c>
      <c r="I2811" t="s">
        <v>48</v>
      </c>
      <c r="J2811" t="s">
        <v>394</v>
      </c>
      <c r="K2811" s="1">
        <v>0.60785730324074072</v>
      </c>
      <c r="L2811">
        <f>YEAR(Coffe_sales[[#This Row],[Date]])</f>
        <v>2025</v>
      </c>
    </row>
    <row r="2812" spans="1:12" x14ac:dyDescent="0.2">
      <c r="A2812" t="s">
        <v>36</v>
      </c>
      <c r="B2812" t="s">
        <v>12</v>
      </c>
      <c r="C2812">
        <v>35.76</v>
      </c>
      <c r="D2812" t="s">
        <v>52</v>
      </c>
      <c r="E2812" t="s">
        <v>22</v>
      </c>
      <c r="F2812" t="s">
        <v>32</v>
      </c>
      <c r="G2812" t="s">
        <v>393</v>
      </c>
      <c r="H2812" t="s">
        <v>33</v>
      </c>
      <c r="I2812" t="s">
        <v>48</v>
      </c>
      <c r="J2812" t="s">
        <v>394</v>
      </c>
      <c r="K2812" s="1">
        <v>0.60852557870370372</v>
      </c>
      <c r="L2812">
        <f>YEAR(Coffe_sales[[#This Row],[Date]])</f>
        <v>2025</v>
      </c>
    </row>
    <row r="2813" spans="1:12" x14ac:dyDescent="0.2">
      <c r="A2813" t="s">
        <v>25</v>
      </c>
      <c r="B2813" t="s">
        <v>12</v>
      </c>
      <c r="C2813">
        <v>35.76</v>
      </c>
      <c r="D2813" t="s">
        <v>13</v>
      </c>
      <c r="E2813" t="s">
        <v>22</v>
      </c>
      <c r="F2813" t="s">
        <v>32</v>
      </c>
      <c r="G2813" t="s">
        <v>393</v>
      </c>
      <c r="H2813" t="s">
        <v>33</v>
      </c>
      <c r="I2813" t="s">
        <v>48</v>
      </c>
      <c r="J2813" t="s">
        <v>394</v>
      </c>
      <c r="K2813" s="1">
        <v>0.65971008101851847</v>
      </c>
      <c r="L2813">
        <f>YEAR(Coffe_sales[[#This Row],[Date]])</f>
        <v>2025</v>
      </c>
    </row>
    <row r="2814" spans="1:12" x14ac:dyDescent="0.2">
      <c r="A2814" t="s">
        <v>28</v>
      </c>
      <c r="B2814" t="s">
        <v>12</v>
      </c>
      <c r="C2814">
        <v>35.76</v>
      </c>
      <c r="D2814" t="s">
        <v>52</v>
      </c>
      <c r="E2814" t="s">
        <v>29</v>
      </c>
      <c r="F2814" t="s">
        <v>32</v>
      </c>
      <c r="G2814" t="s">
        <v>393</v>
      </c>
      <c r="H2814" t="s">
        <v>33</v>
      </c>
      <c r="I2814" t="s">
        <v>48</v>
      </c>
      <c r="J2814" t="s">
        <v>394</v>
      </c>
      <c r="K2814" s="1">
        <v>0.78974958333333334</v>
      </c>
      <c r="L2814">
        <f>YEAR(Coffe_sales[[#This Row],[Date]])</f>
        <v>2025</v>
      </c>
    </row>
    <row r="2815" spans="1:12" x14ac:dyDescent="0.2">
      <c r="A2815" t="s">
        <v>30</v>
      </c>
      <c r="B2815" t="s">
        <v>12</v>
      </c>
      <c r="C2815">
        <v>30.86</v>
      </c>
      <c r="D2815" t="s">
        <v>26</v>
      </c>
      <c r="E2815" t="s">
        <v>29</v>
      </c>
      <c r="F2815" t="s">
        <v>32</v>
      </c>
      <c r="G2815" t="s">
        <v>393</v>
      </c>
      <c r="H2815" t="s">
        <v>33</v>
      </c>
      <c r="I2815" t="s">
        <v>48</v>
      </c>
      <c r="J2815" t="s">
        <v>394</v>
      </c>
      <c r="K2815" s="1">
        <v>0.82865165509259264</v>
      </c>
      <c r="L2815">
        <f>YEAR(Coffe_sales[[#This Row],[Date]])</f>
        <v>2025</v>
      </c>
    </row>
    <row r="2816" spans="1:12" x14ac:dyDescent="0.2">
      <c r="A2816" t="s">
        <v>30</v>
      </c>
      <c r="B2816" t="s">
        <v>12</v>
      </c>
      <c r="C2816">
        <v>30.86</v>
      </c>
      <c r="D2816" t="s">
        <v>26</v>
      </c>
      <c r="E2816" t="s">
        <v>29</v>
      </c>
      <c r="F2816" t="s">
        <v>32</v>
      </c>
      <c r="G2816" t="s">
        <v>393</v>
      </c>
      <c r="H2816" t="s">
        <v>33</v>
      </c>
      <c r="I2816" t="s">
        <v>48</v>
      </c>
      <c r="J2816" t="s">
        <v>394</v>
      </c>
      <c r="K2816" s="1">
        <v>0.82944520833333335</v>
      </c>
      <c r="L2816">
        <f>YEAR(Coffe_sales[[#This Row],[Date]])</f>
        <v>2025</v>
      </c>
    </row>
    <row r="2817" spans="1:12" x14ac:dyDescent="0.2">
      <c r="A2817" t="s">
        <v>131</v>
      </c>
      <c r="B2817" t="s">
        <v>12</v>
      </c>
      <c r="C2817">
        <v>30.86</v>
      </c>
      <c r="D2817" t="s">
        <v>26</v>
      </c>
      <c r="E2817" t="s">
        <v>29</v>
      </c>
      <c r="F2817" t="s">
        <v>32</v>
      </c>
      <c r="G2817" t="s">
        <v>393</v>
      </c>
      <c r="H2817" t="s">
        <v>33</v>
      </c>
      <c r="I2817" t="s">
        <v>48</v>
      </c>
      <c r="J2817" t="s">
        <v>394</v>
      </c>
      <c r="K2817" s="1">
        <v>0.90071500000000004</v>
      </c>
      <c r="L2817">
        <f>YEAR(Coffe_sales[[#This Row],[Date]])</f>
        <v>2025</v>
      </c>
    </row>
    <row r="2818" spans="1:12" x14ac:dyDescent="0.2">
      <c r="A2818" t="s">
        <v>11</v>
      </c>
      <c r="B2818" t="s">
        <v>12</v>
      </c>
      <c r="C2818">
        <v>35.76</v>
      </c>
      <c r="D2818" t="s">
        <v>52</v>
      </c>
      <c r="E2818" t="s">
        <v>14</v>
      </c>
      <c r="F2818" t="s">
        <v>38</v>
      </c>
      <c r="G2818" t="s">
        <v>393</v>
      </c>
      <c r="H2818" t="s">
        <v>39</v>
      </c>
      <c r="I2818" t="s">
        <v>48</v>
      </c>
      <c r="J2818" t="s">
        <v>395</v>
      </c>
      <c r="K2818" s="1">
        <v>0.45580949074074073</v>
      </c>
      <c r="L2818">
        <f>YEAR(Coffe_sales[[#This Row],[Date]])</f>
        <v>2025</v>
      </c>
    </row>
    <row r="2819" spans="1:12" x14ac:dyDescent="0.2">
      <c r="A2819" t="s">
        <v>11</v>
      </c>
      <c r="B2819" t="s">
        <v>12</v>
      </c>
      <c r="C2819">
        <v>35.76</v>
      </c>
      <c r="D2819" t="s">
        <v>52</v>
      </c>
      <c r="E2819" t="s">
        <v>14</v>
      </c>
      <c r="F2819" t="s">
        <v>38</v>
      </c>
      <c r="G2819" t="s">
        <v>393</v>
      </c>
      <c r="H2819" t="s">
        <v>39</v>
      </c>
      <c r="I2819" t="s">
        <v>48</v>
      </c>
      <c r="J2819" t="s">
        <v>395</v>
      </c>
      <c r="K2819" s="1">
        <v>0.45668726851851854</v>
      </c>
      <c r="L2819">
        <f>YEAR(Coffe_sales[[#This Row],[Date]])</f>
        <v>2025</v>
      </c>
    </row>
    <row r="2820" spans="1:12" x14ac:dyDescent="0.2">
      <c r="A2820" t="s">
        <v>20</v>
      </c>
      <c r="B2820" t="s">
        <v>12</v>
      </c>
      <c r="C2820">
        <v>35.76</v>
      </c>
      <c r="D2820" t="s">
        <v>13</v>
      </c>
      <c r="E2820" t="s">
        <v>22</v>
      </c>
      <c r="F2820" t="s">
        <v>38</v>
      </c>
      <c r="G2820" t="s">
        <v>393</v>
      </c>
      <c r="H2820" t="s">
        <v>39</v>
      </c>
      <c r="I2820" t="s">
        <v>48</v>
      </c>
      <c r="J2820" t="s">
        <v>395</v>
      </c>
      <c r="K2820" s="1">
        <v>0.53787239583333335</v>
      </c>
      <c r="L2820">
        <f>YEAR(Coffe_sales[[#This Row],[Date]])</f>
        <v>2025</v>
      </c>
    </row>
    <row r="2821" spans="1:12" x14ac:dyDescent="0.2">
      <c r="A2821" t="s">
        <v>20</v>
      </c>
      <c r="B2821" t="s">
        <v>12</v>
      </c>
      <c r="C2821">
        <v>35.76</v>
      </c>
      <c r="D2821" t="s">
        <v>13</v>
      </c>
      <c r="E2821" t="s">
        <v>22</v>
      </c>
      <c r="F2821" t="s">
        <v>38</v>
      </c>
      <c r="G2821" t="s">
        <v>393</v>
      </c>
      <c r="H2821" t="s">
        <v>39</v>
      </c>
      <c r="I2821" t="s">
        <v>48</v>
      </c>
      <c r="J2821" t="s">
        <v>395</v>
      </c>
      <c r="K2821" s="1">
        <v>0.53894274305555556</v>
      </c>
      <c r="L2821">
        <f>YEAR(Coffe_sales[[#This Row],[Date]])</f>
        <v>2025</v>
      </c>
    </row>
    <row r="2822" spans="1:12" x14ac:dyDescent="0.2">
      <c r="A2822" t="s">
        <v>36</v>
      </c>
      <c r="B2822" t="s">
        <v>12</v>
      </c>
      <c r="C2822">
        <v>30.86</v>
      </c>
      <c r="D2822" t="s">
        <v>26</v>
      </c>
      <c r="E2822" t="s">
        <v>22</v>
      </c>
      <c r="F2822" t="s">
        <v>38</v>
      </c>
      <c r="G2822" t="s">
        <v>393</v>
      </c>
      <c r="H2822" t="s">
        <v>39</v>
      </c>
      <c r="I2822" t="s">
        <v>48</v>
      </c>
      <c r="J2822" t="s">
        <v>395</v>
      </c>
      <c r="K2822" s="1">
        <v>0.59927457175925924</v>
      </c>
      <c r="L2822">
        <f>YEAR(Coffe_sales[[#This Row],[Date]])</f>
        <v>2025</v>
      </c>
    </row>
    <row r="2823" spans="1:12" x14ac:dyDescent="0.2">
      <c r="A2823" t="s">
        <v>27</v>
      </c>
      <c r="B2823" t="s">
        <v>12</v>
      </c>
      <c r="C2823">
        <v>35.76</v>
      </c>
      <c r="D2823" t="s">
        <v>13</v>
      </c>
      <c r="E2823" t="s">
        <v>22</v>
      </c>
      <c r="F2823" t="s">
        <v>38</v>
      </c>
      <c r="G2823" t="s">
        <v>393</v>
      </c>
      <c r="H2823" t="s">
        <v>39</v>
      </c>
      <c r="I2823" t="s">
        <v>48</v>
      </c>
      <c r="J2823" t="s">
        <v>395</v>
      </c>
      <c r="K2823" s="1">
        <v>0.69800831018518517</v>
      </c>
      <c r="L2823">
        <f>YEAR(Coffe_sales[[#This Row],[Date]])</f>
        <v>2025</v>
      </c>
    </row>
    <row r="2824" spans="1:12" x14ac:dyDescent="0.2">
      <c r="A2824" t="s">
        <v>27</v>
      </c>
      <c r="B2824" t="s">
        <v>12</v>
      </c>
      <c r="C2824">
        <v>35.76</v>
      </c>
      <c r="D2824" t="s">
        <v>13</v>
      </c>
      <c r="E2824" t="s">
        <v>22</v>
      </c>
      <c r="F2824" t="s">
        <v>38</v>
      </c>
      <c r="G2824" t="s">
        <v>393</v>
      </c>
      <c r="H2824" t="s">
        <v>39</v>
      </c>
      <c r="I2824" t="s">
        <v>48</v>
      </c>
      <c r="J2824" t="s">
        <v>395</v>
      </c>
      <c r="K2824" s="1">
        <v>0.69927341435185186</v>
      </c>
      <c r="L2824">
        <f>YEAR(Coffe_sales[[#This Row],[Date]])</f>
        <v>2025</v>
      </c>
    </row>
    <row r="2825" spans="1:12" x14ac:dyDescent="0.2">
      <c r="A2825" t="s">
        <v>39</v>
      </c>
      <c r="B2825" t="s">
        <v>12</v>
      </c>
      <c r="C2825">
        <v>35.76</v>
      </c>
      <c r="D2825" t="s">
        <v>52</v>
      </c>
      <c r="E2825" t="s">
        <v>14</v>
      </c>
      <c r="F2825" t="s">
        <v>42</v>
      </c>
      <c r="G2825" t="s">
        <v>393</v>
      </c>
      <c r="H2825" t="s">
        <v>43</v>
      </c>
      <c r="I2825" t="s">
        <v>48</v>
      </c>
      <c r="J2825" t="s">
        <v>396</v>
      </c>
      <c r="K2825" s="1">
        <v>0.29403692129629627</v>
      </c>
      <c r="L2825">
        <f>YEAR(Coffe_sales[[#This Row],[Date]])</f>
        <v>2025</v>
      </c>
    </row>
    <row r="2826" spans="1:12" x14ac:dyDescent="0.2">
      <c r="A2826" t="s">
        <v>39</v>
      </c>
      <c r="B2826" t="s">
        <v>12</v>
      </c>
      <c r="C2826">
        <v>30.86</v>
      </c>
      <c r="D2826" t="s">
        <v>26</v>
      </c>
      <c r="E2826" t="s">
        <v>14</v>
      </c>
      <c r="F2826" t="s">
        <v>42</v>
      </c>
      <c r="G2826" t="s">
        <v>393</v>
      </c>
      <c r="H2826" t="s">
        <v>43</v>
      </c>
      <c r="I2826" t="s">
        <v>48</v>
      </c>
      <c r="J2826" t="s">
        <v>396</v>
      </c>
      <c r="K2826" s="1">
        <v>0.29509917824074072</v>
      </c>
      <c r="L2826">
        <f>YEAR(Coffe_sales[[#This Row],[Date]])</f>
        <v>2025</v>
      </c>
    </row>
    <row r="2827" spans="1:12" x14ac:dyDescent="0.2">
      <c r="A2827" t="s">
        <v>123</v>
      </c>
      <c r="B2827" t="s">
        <v>12</v>
      </c>
      <c r="C2827">
        <v>21.06</v>
      </c>
      <c r="D2827" t="s">
        <v>45</v>
      </c>
      <c r="E2827" t="s">
        <v>14</v>
      </c>
      <c r="F2827" t="s">
        <v>42</v>
      </c>
      <c r="G2827" t="s">
        <v>393</v>
      </c>
      <c r="H2827" t="s">
        <v>43</v>
      </c>
      <c r="I2827" t="s">
        <v>48</v>
      </c>
      <c r="J2827" t="s">
        <v>396</v>
      </c>
      <c r="K2827" s="1">
        <v>0.33615309027777779</v>
      </c>
      <c r="L2827">
        <f>YEAR(Coffe_sales[[#This Row],[Date]])</f>
        <v>2025</v>
      </c>
    </row>
    <row r="2828" spans="1:12" x14ac:dyDescent="0.2">
      <c r="A2828" t="s">
        <v>123</v>
      </c>
      <c r="B2828" t="s">
        <v>12</v>
      </c>
      <c r="C2828">
        <v>30.86</v>
      </c>
      <c r="D2828" t="s">
        <v>26</v>
      </c>
      <c r="E2828" t="s">
        <v>14</v>
      </c>
      <c r="F2828" t="s">
        <v>42</v>
      </c>
      <c r="G2828" t="s">
        <v>393</v>
      </c>
      <c r="H2828" t="s">
        <v>43</v>
      </c>
      <c r="I2828" t="s">
        <v>48</v>
      </c>
      <c r="J2828" t="s">
        <v>396</v>
      </c>
      <c r="K2828" s="1">
        <v>0.33968711805555557</v>
      </c>
      <c r="L2828">
        <f>YEAR(Coffe_sales[[#This Row],[Date]])</f>
        <v>2025</v>
      </c>
    </row>
    <row r="2829" spans="1:12" x14ac:dyDescent="0.2">
      <c r="A2829" t="s">
        <v>11</v>
      </c>
      <c r="B2829" t="s">
        <v>12</v>
      </c>
      <c r="C2829">
        <v>25.96</v>
      </c>
      <c r="D2829" t="s">
        <v>24</v>
      </c>
      <c r="E2829" t="s">
        <v>14</v>
      </c>
      <c r="F2829" t="s">
        <v>42</v>
      </c>
      <c r="G2829" t="s">
        <v>393</v>
      </c>
      <c r="H2829" t="s">
        <v>43</v>
      </c>
      <c r="I2829" t="s">
        <v>48</v>
      </c>
      <c r="J2829" t="s">
        <v>396</v>
      </c>
      <c r="K2829" s="1">
        <v>0.42752974537037036</v>
      </c>
      <c r="L2829">
        <f>YEAR(Coffe_sales[[#This Row],[Date]])</f>
        <v>2025</v>
      </c>
    </row>
    <row r="2830" spans="1:12" x14ac:dyDescent="0.2">
      <c r="A2830" t="s">
        <v>11</v>
      </c>
      <c r="B2830" t="s">
        <v>12</v>
      </c>
      <c r="C2830">
        <v>35.76</v>
      </c>
      <c r="D2830" t="s">
        <v>52</v>
      </c>
      <c r="E2830" t="s">
        <v>14</v>
      </c>
      <c r="F2830" t="s">
        <v>42</v>
      </c>
      <c r="G2830" t="s">
        <v>393</v>
      </c>
      <c r="H2830" t="s">
        <v>43</v>
      </c>
      <c r="I2830" t="s">
        <v>48</v>
      </c>
      <c r="J2830" t="s">
        <v>396</v>
      </c>
      <c r="K2830" s="1">
        <v>0.43215759259259257</v>
      </c>
      <c r="L2830">
        <f>YEAR(Coffe_sales[[#This Row],[Date]])</f>
        <v>2025</v>
      </c>
    </row>
    <row r="2831" spans="1:12" x14ac:dyDescent="0.2">
      <c r="A2831" t="s">
        <v>11</v>
      </c>
      <c r="B2831" t="s">
        <v>12</v>
      </c>
      <c r="C2831">
        <v>30.86</v>
      </c>
      <c r="D2831" t="s">
        <v>26</v>
      </c>
      <c r="E2831" t="s">
        <v>14</v>
      </c>
      <c r="F2831" t="s">
        <v>42</v>
      </c>
      <c r="G2831" t="s">
        <v>393</v>
      </c>
      <c r="H2831" t="s">
        <v>43</v>
      </c>
      <c r="I2831" t="s">
        <v>48</v>
      </c>
      <c r="J2831" t="s">
        <v>396</v>
      </c>
      <c r="K2831" s="1">
        <v>0.45137326388888888</v>
      </c>
      <c r="L2831">
        <f>YEAR(Coffe_sales[[#This Row],[Date]])</f>
        <v>2025</v>
      </c>
    </row>
    <row r="2832" spans="1:12" x14ac:dyDescent="0.2">
      <c r="A2832" t="s">
        <v>23</v>
      </c>
      <c r="B2832" t="s">
        <v>12</v>
      </c>
      <c r="C2832">
        <v>35.76</v>
      </c>
      <c r="D2832" t="s">
        <v>52</v>
      </c>
      <c r="E2832" t="s">
        <v>22</v>
      </c>
      <c r="F2832" t="s">
        <v>42</v>
      </c>
      <c r="G2832" t="s">
        <v>393</v>
      </c>
      <c r="H2832" t="s">
        <v>43</v>
      </c>
      <c r="I2832" t="s">
        <v>48</v>
      </c>
      <c r="J2832" t="s">
        <v>396</v>
      </c>
      <c r="K2832" s="1">
        <v>0.559051724537037</v>
      </c>
      <c r="L2832">
        <f>YEAR(Coffe_sales[[#This Row],[Date]])</f>
        <v>2025</v>
      </c>
    </row>
    <row r="2833" spans="1:12" x14ac:dyDescent="0.2">
      <c r="A2833" t="s">
        <v>23</v>
      </c>
      <c r="B2833" t="s">
        <v>12</v>
      </c>
      <c r="C2833">
        <v>35.76</v>
      </c>
      <c r="D2833" t="s">
        <v>52</v>
      </c>
      <c r="E2833" t="s">
        <v>22</v>
      </c>
      <c r="F2833" t="s">
        <v>42</v>
      </c>
      <c r="G2833" t="s">
        <v>393</v>
      </c>
      <c r="H2833" t="s">
        <v>43</v>
      </c>
      <c r="I2833" t="s">
        <v>48</v>
      </c>
      <c r="J2833" t="s">
        <v>396</v>
      </c>
      <c r="K2833" s="1">
        <v>0.56451009259259255</v>
      </c>
      <c r="L2833">
        <f>YEAR(Coffe_sales[[#This Row],[Date]])</f>
        <v>2025</v>
      </c>
    </row>
    <row r="2834" spans="1:12" x14ac:dyDescent="0.2">
      <c r="A2834" t="s">
        <v>23</v>
      </c>
      <c r="B2834" t="s">
        <v>12</v>
      </c>
      <c r="C2834">
        <v>25.96</v>
      </c>
      <c r="D2834" t="s">
        <v>24</v>
      </c>
      <c r="E2834" t="s">
        <v>22</v>
      </c>
      <c r="F2834" t="s">
        <v>42</v>
      </c>
      <c r="G2834" t="s">
        <v>393</v>
      </c>
      <c r="H2834" t="s">
        <v>43</v>
      </c>
      <c r="I2834" t="s">
        <v>48</v>
      </c>
      <c r="J2834" t="s">
        <v>396</v>
      </c>
      <c r="K2834" s="1">
        <v>0.57712130787037041</v>
      </c>
      <c r="L2834">
        <f>YEAR(Coffe_sales[[#This Row],[Date]])</f>
        <v>2025</v>
      </c>
    </row>
    <row r="2835" spans="1:12" x14ac:dyDescent="0.2">
      <c r="A2835" t="s">
        <v>36</v>
      </c>
      <c r="B2835" t="s">
        <v>12</v>
      </c>
      <c r="C2835">
        <v>25.96</v>
      </c>
      <c r="D2835" t="s">
        <v>24</v>
      </c>
      <c r="E2835" t="s">
        <v>22</v>
      </c>
      <c r="F2835" t="s">
        <v>42</v>
      </c>
      <c r="G2835" t="s">
        <v>393</v>
      </c>
      <c r="H2835" t="s">
        <v>43</v>
      </c>
      <c r="I2835" t="s">
        <v>48</v>
      </c>
      <c r="J2835" t="s">
        <v>396</v>
      </c>
      <c r="K2835" s="1">
        <v>0.58792267361111106</v>
      </c>
      <c r="L2835">
        <f>YEAR(Coffe_sales[[#This Row],[Date]])</f>
        <v>2025</v>
      </c>
    </row>
    <row r="2836" spans="1:12" x14ac:dyDescent="0.2">
      <c r="A2836" t="s">
        <v>36</v>
      </c>
      <c r="B2836" t="s">
        <v>12</v>
      </c>
      <c r="C2836">
        <v>35.76</v>
      </c>
      <c r="D2836" t="s">
        <v>13</v>
      </c>
      <c r="E2836" t="s">
        <v>22</v>
      </c>
      <c r="F2836" t="s">
        <v>42</v>
      </c>
      <c r="G2836" t="s">
        <v>393</v>
      </c>
      <c r="H2836" t="s">
        <v>43</v>
      </c>
      <c r="I2836" t="s">
        <v>48</v>
      </c>
      <c r="J2836" t="s">
        <v>396</v>
      </c>
      <c r="K2836" s="1">
        <v>0.61599766203703699</v>
      </c>
      <c r="L2836">
        <f>YEAR(Coffe_sales[[#This Row],[Date]])</f>
        <v>2025</v>
      </c>
    </row>
    <row r="2837" spans="1:12" x14ac:dyDescent="0.2">
      <c r="A2837" t="s">
        <v>36</v>
      </c>
      <c r="B2837" t="s">
        <v>12</v>
      </c>
      <c r="C2837">
        <v>35.76</v>
      </c>
      <c r="D2837" t="s">
        <v>13</v>
      </c>
      <c r="E2837" t="s">
        <v>22</v>
      </c>
      <c r="F2837" t="s">
        <v>42</v>
      </c>
      <c r="G2837" t="s">
        <v>393</v>
      </c>
      <c r="H2837" t="s">
        <v>43</v>
      </c>
      <c r="I2837" t="s">
        <v>48</v>
      </c>
      <c r="J2837" t="s">
        <v>396</v>
      </c>
      <c r="K2837" s="1">
        <v>0.61829369212962959</v>
      </c>
      <c r="L2837">
        <f>YEAR(Coffe_sales[[#This Row],[Date]])</f>
        <v>2025</v>
      </c>
    </row>
    <row r="2838" spans="1:12" x14ac:dyDescent="0.2">
      <c r="A2838" t="s">
        <v>25</v>
      </c>
      <c r="B2838" t="s">
        <v>12</v>
      </c>
      <c r="C2838">
        <v>35.76</v>
      </c>
      <c r="D2838" t="s">
        <v>13</v>
      </c>
      <c r="E2838" t="s">
        <v>22</v>
      </c>
      <c r="F2838" t="s">
        <v>42</v>
      </c>
      <c r="G2838" t="s">
        <v>393</v>
      </c>
      <c r="H2838" t="s">
        <v>43</v>
      </c>
      <c r="I2838" t="s">
        <v>48</v>
      </c>
      <c r="J2838" t="s">
        <v>396</v>
      </c>
      <c r="K2838" s="1">
        <v>0.62621079861111106</v>
      </c>
      <c r="L2838">
        <f>YEAR(Coffe_sales[[#This Row],[Date]])</f>
        <v>2025</v>
      </c>
    </row>
    <row r="2839" spans="1:12" x14ac:dyDescent="0.2">
      <c r="A2839" t="s">
        <v>25</v>
      </c>
      <c r="B2839" t="s">
        <v>12</v>
      </c>
      <c r="C2839">
        <v>25.96</v>
      </c>
      <c r="D2839" t="s">
        <v>24</v>
      </c>
      <c r="E2839" t="s">
        <v>22</v>
      </c>
      <c r="F2839" t="s">
        <v>42</v>
      </c>
      <c r="G2839" t="s">
        <v>393</v>
      </c>
      <c r="H2839" t="s">
        <v>43</v>
      </c>
      <c r="I2839" t="s">
        <v>48</v>
      </c>
      <c r="J2839" t="s">
        <v>396</v>
      </c>
      <c r="K2839" s="1">
        <v>0.65378709490740738</v>
      </c>
      <c r="L2839">
        <f>YEAR(Coffe_sales[[#This Row],[Date]])</f>
        <v>2025</v>
      </c>
    </row>
    <row r="2840" spans="1:12" x14ac:dyDescent="0.2">
      <c r="A2840" t="s">
        <v>37</v>
      </c>
      <c r="B2840" t="s">
        <v>12</v>
      </c>
      <c r="C2840">
        <v>35.76</v>
      </c>
      <c r="D2840" t="s">
        <v>31</v>
      </c>
      <c r="E2840" t="s">
        <v>29</v>
      </c>
      <c r="F2840" t="s">
        <v>42</v>
      </c>
      <c r="G2840" t="s">
        <v>393</v>
      </c>
      <c r="H2840" t="s">
        <v>43</v>
      </c>
      <c r="I2840" t="s">
        <v>48</v>
      </c>
      <c r="J2840" t="s">
        <v>396</v>
      </c>
      <c r="K2840" s="1">
        <v>0.70933878472222223</v>
      </c>
      <c r="L2840">
        <f>YEAR(Coffe_sales[[#This Row],[Date]])</f>
        <v>2025</v>
      </c>
    </row>
    <row r="2841" spans="1:12" x14ac:dyDescent="0.2">
      <c r="A2841" t="s">
        <v>37</v>
      </c>
      <c r="B2841" t="s">
        <v>12</v>
      </c>
      <c r="C2841">
        <v>30.86</v>
      </c>
      <c r="D2841" t="s">
        <v>26</v>
      </c>
      <c r="E2841" t="s">
        <v>29</v>
      </c>
      <c r="F2841" t="s">
        <v>42</v>
      </c>
      <c r="G2841" t="s">
        <v>393</v>
      </c>
      <c r="H2841" t="s">
        <v>43</v>
      </c>
      <c r="I2841" t="s">
        <v>48</v>
      </c>
      <c r="J2841" t="s">
        <v>396</v>
      </c>
      <c r="K2841" s="1">
        <v>0.71522146990740743</v>
      </c>
      <c r="L2841">
        <f>YEAR(Coffe_sales[[#This Row],[Date]])</f>
        <v>2025</v>
      </c>
    </row>
    <row r="2842" spans="1:12" x14ac:dyDescent="0.2">
      <c r="A2842" t="s">
        <v>37</v>
      </c>
      <c r="B2842" t="s">
        <v>12</v>
      </c>
      <c r="C2842">
        <v>30.86</v>
      </c>
      <c r="D2842" t="s">
        <v>26</v>
      </c>
      <c r="E2842" t="s">
        <v>29</v>
      </c>
      <c r="F2842" t="s">
        <v>42</v>
      </c>
      <c r="G2842" t="s">
        <v>393</v>
      </c>
      <c r="H2842" t="s">
        <v>43</v>
      </c>
      <c r="I2842" t="s">
        <v>48</v>
      </c>
      <c r="J2842" t="s">
        <v>396</v>
      </c>
      <c r="K2842" s="1">
        <v>0.71605542824074075</v>
      </c>
      <c r="L2842">
        <f>YEAR(Coffe_sales[[#This Row],[Date]])</f>
        <v>2025</v>
      </c>
    </row>
    <row r="2843" spans="1:12" x14ac:dyDescent="0.2">
      <c r="A2843" t="s">
        <v>37</v>
      </c>
      <c r="B2843" t="s">
        <v>12</v>
      </c>
      <c r="C2843">
        <v>30.86</v>
      </c>
      <c r="D2843" t="s">
        <v>26</v>
      </c>
      <c r="E2843" t="s">
        <v>29</v>
      </c>
      <c r="F2843" t="s">
        <v>42</v>
      </c>
      <c r="G2843" t="s">
        <v>393</v>
      </c>
      <c r="H2843" t="s">
        <v>43</v>
      </c>
      <c r="I2843" t="s">
        <v>48</v>
      </c>
      <c r="J2843" t="s">
        <v>396</v>
      </c>
      <c r="K2843" s="1">
        <v>0.71672702546296296</v>
      </c>
      <c r="L2843">
        <f>YEAR(Coffe_sales[[#This Row],[Date]])</f>
        <v>2025</v>
      </c>
    </row>
    <row r="2844" spans="1:12" x14ac:dyDescent="0.2">
      <c r="A2844" t="s">
        <v>37</v>
      </c>
      <c r="B2844" t="s">
        <v>12</v>
      </c>
      <c r="C2844">
        <v>35.76</v>
      </c>
      <c r="D2844" t="s">
        <v>21</v>
      </c>
      <c r="E2844" t="s">
        <v>29</v>
      </c>
      <c r="F2844" t="s">
        <v>42</v>
      </c>
      <c r="G2844" t="s">
        <v>393</v>
      </c>
      <c r="H2844" t="s">
        <v>43</v>
      </c>
      <c r="I2844" t="s">
        <v>48</v>
      </c>
      <c r="J2844" t="s">
        <v>396</v>
      </c>
      <c r="K2844" s="1">
        <v>0.71761017361111112</v>
      </c>
      <c r="L2844">
        <f>YEAR(Coffe_sales[[#This Row],[Date]])</f>
        <v>2025</v>
      </c>
    </row>
    <row r="2845" spans="1:12" x14ac:dyDescent="0.2">
      <c r="A2845" t="s">
        <v>37</v>
      </c>
      <c r="B2845" t="s">
        <v>12</v>
      </c>
      <c r="C2845">
        <v>35.76</v>
      </c>
      <c r="D2845" t="s">
        <v>13</v>
      </c>
      <c r="E2845" t="s">
        <v>29</v>
      </c>
      <c r="F2845" t="s">
        <v>42</v>
      </c>
      <c r="G2845" t="s">
        <v>393</v>
      </c>
      <c r="H2845" t="s">
        <v>43</v>
      </c>
      <c r="I2845" t="s">
        <v>48</v>
      </c>
      <c r="J2845" t="s">
        <v>396</v>
      </c>
      <c r="K2845" s="1">
        <v>0.71826821759259263</v>
      </c>
      <c r="L2845">
        <f>YEAR(Coffe_sales[[#This Row],[Date]])</f>
        <v>2025</v>
      </c>
    </row>
    <row r="2846" spans="1:12" x14ac:dyDescent="0.2">
      <c r="A2846" t="s">
        <v>37</v>
      </c>
      <c r="B2846" t="s">
        <v>12</v>
      </c>
      <c r="C2846">
        <v>35.76</v>
      </c>
      <c r="D2846" t="s">
        <v>21</v>
      </c>
      <c r="E2846" t="s">
        <v>29</v>
      </c>
      <c r="F2846" t="s">
        <v>42</v>
      </c>
      <c r="G2846" t="s">
        <v>393</v>
      </c>
      <c r="H2846" t="s">
        <v>43</v>
      </c>
      <c r="I2846" t="s">
        <v>48</v>
      </c>
      <c r="J2846" t="s">
        <v>396</v>
      </c>
      <c r="K2846" s="1">
        <v>0.71922339120370371</v>
      </c>
      <c r="L2846">
        <f>YEAR(Coffe_sales[[#This Row],[Date]])</f>
        <v>2025</v>
      </c>
    </row>
    <row r="2847" spans="1:12" x14ac:dyDescent="0.2">
      <c r="A2847" t="s">
        <v>37</v>
      </c>
      <c r="B2847" t="s">
        <v>12</v>
      </c>
      <c r="C2847">
        <v>30.86</v>
      </c>
      <c r="D2847" t="s">
        <v>26</v>
      </c>
      <c r="E2847" t="s">
        <v>29</v>
      </c>
      <c r="F2847" t="s">
        <v>42</v>
      </c>
      <c r="G2847" t="s">
        <v>393</v>
      </c>
      <c r="H2847" t="s">
        <v>43</v>
      </c>
      <c r="I2847" t="s">
        <v>48</v>
      </c>
      <c r="J2847" t="s">
        <v>396</v>
      </c>
      <c r="K2847" s="1">
        <v>0.73909369212962961</v>
      </c>
      <c r="L2847">
        <f>YEAR(Coffe_sales[[#This Row],[Date]])</f>
        <v>2025</v>
      </c>
    </row>
    <row r="2848" spans="1:12" x14ac:dyDescent="0.2">
      <c r="A2848" t="s">
        <v>28</v>
      </c>
      <c r="B2848" t="s">
        <v>12</v>
      </c>
      <c r="C2848">
        <v>25.96</v>
      </c>
      <c r="D2848" t="s">
        <v>24</v>
      </c>
      <c r="E2848" t="s">
        <v>29</v>
      </c>
      <c r="F2848" t="s">
        <v>42</v>
      </c>
      <c r="G2848" t="s">
        <v>393</v>
      </c>
      <c r="H2848" t="s">
        <v>43</v>
      </c>
      <c r="I2848" t="s">
        <v>48</v>
      </c>
      <c r="J2848" t="s">
        <v>396</v>
      </c>
      <c r="K2848" s="1">
        <v>0.75625562499999999</v>
      </c>
      <c r="L2848">
        <f>YEAR(Coffe_sales[[#This Row],[Date]])</f>
        <v>2025</v>
      </c>
    </row>
    <row r="2849" spans="1:12" x14ac:dyDescent="0.2">
      <c r="A2849" t="s">
        <v>91</v>
      </c>
      <c r="B2849" t="s">
        <v>12</v>
      </c>
      <c r="C2849">
        <v>35.76</v>
      </c>
      <c r="D2849" t="s">
        <v>31</v>
      </c>
      <c r="E2849" t="s">
        <v>29</v>
      </c>
      <c r="F2849" t="s">
        <v>42</v>
      </c>
      <c r="G2849" t="s">
        <v>393</v>
      </c>
      <c r="H2849" t="s">
        <v>43</v>
      </c>
      <c r="I2849" t="s">
        <v>48</v>
      </c>
      <c r="J2849" t="s">
        <v>396</v>
      </c>
      <c r="K2849" s="1">
        <v>0.86405244212962962</v>
      </c>
      <c r="L2849">
        <f>YEAR(Coffe_sales[[#This Row],[Date]])</f>
        <v>2025</v>
      </c>
    </row>
    <row r="2850" spans="1:12" x14ac:dyDescent="0.2">
      <c r="A2850" t="s">
        <v>11</v>
      </c>
      <c r="B2850" t="s">
        <v>12</v>
      </c>
      <c r="C2850">
        <v>30.86</v>
      </c>
      <c r="D2850" t="s">
        <v>26</v>
      </c>
      <c r="E2850" t="s">
        <v>14</v>
      </c>
      <c r="F2850" t="s">
        <v>47</v>
      </c>
      <c r="G2850" t="s">
        <v>393</v>
      </c>
      <c r="H2850" t="s">
        <v>48</v>
      </c>
      <c r="I2850" t="s">
        <v>48</v>
      </c>
      <c r="J2850" t="s">
        <v>397</v>
      </c>
      <c r="K2850" s="1">
        <v>0.42010195601851852</v>
      </c>
      <c r="L2850">
        <f>YEAR(Coffe_sales[[#This Row],[Date]])</f>
        <v>2025</v>
      </c>
    </row>
    <row r="2851" spans="1:12" x14ac:dyDescent="0.2">
      <c r="A2851" t="s">
        <v>11</v>
      </c>
      <c r="B2851" t="s">
        <v>12</v>
      </c>
      <c r="C2851">
        <v>25.96</v>
      </c>
      <c r="D2851" t="s">
        <v>24</v>
      </c>
      <c r="E2851" t="s">
        <v>14</v>
      </c>
      <c r="F2851" t="s">
        <v>47</v>
      </c>
      <c r="G2851" t="s">
        <v>393</v>
      </c>
      <c r="H2851" t="s">
        <v>48</v>
      </c>
      <c r="I2851" t="s">
        <v>48</v>
      </c>
      <c r="J2851" t="s">
        <v>397</v>
      </c>
      <c r="K2851" s="1">
        <v>0.4246682638888889</v>
      </c>
      <c r="L2851">
        <f>YEAR(Coffe_sales[[#This Row],[Date]])</f>
        <v>2025</v>
      </c>
    </row>
    <row r="2852" spans="1:12" x14ac:dyDescent="0.2">
      <c r="A2852" t="s">
        <v>20</v>
      </c>
      <c r="B2852" t="s">
        <v>12</v>
      </c>
      <c r="C2852">
        <v>30.86</v>
      </c>
      <c r="D2852" t="s">
        <v>26</v>
      </c>
      <c r="E2852" t="s">
        <v>22</v>
      </c>
      <c r="F2852" t="s">
        <v>47</v>
      </c>
      <c r="G2852" t="s">
        <v>393</v>
      </c>
      <c r="H2852" t="s">
        <v>48</v>
      </c>
      <c r="I2852" t="s">
        <v>48</v>
      </c>
      <c r="J2852" t="s">
        <v>397</v>
      </c>
      <c r="K2852" s="1">
        <v>0.5249801273148148</v>
      </c>
      <c r="L2852">
        <f>YEAR(Coffe_sales[[#This Row],[Date]])</f>
        <v>2025</v>
      </c>
    </row>
    <row r="2853" spans="1:12" x14ac:dyDescent="0.2">
      <c r="A2853" t="s">
        <v>23</v>
      </c>
      <c r="B2853" t="s">
        <v>12</v>
      </c>
      <c r="C2853">
        <v>25.96</v>
      </c>
      <c r="D2853" t="s">
        <v>41</v>
      </c>
      <c r="E2853" t="s">
        <v>22</v>
      </c>
      <c r="F2853" t="s">
        <v>47</v>
      </c>
      <c r="G2853" t="s">
        <v>393</v>
      </c>
      <c r="H2853" t="s">
        <v>48</v>
      </c>
      <c r="I2853" t="s">
        <v>48</v>
      </c>
      <c r="J2853" t="s">
        <v>397</v>
      </c>
      <c r="K2853" s="1">
        <v>0.54697937500000005</v>
      </c>
      <c r="L2853">
        <f>YEAR(Coffe_sales[[#This Row],[Date]])</f>
        <v>2025</v>
      </c>
    </row>
    <row r="2854" spans="1:12" x14ac:dyDescent="0.2">
      <c r="A2854" t="s">
        <v>36</v>
      </c>
      <c r="B2854" t="s">
        <v>12</v>
      </c>
      <c r="C2854">
        <v>25.96</v>
      </c>
      <c r="D2854" t="s">
        <v>24</v>
      </c>
      <c r="E2854" t="s">
        <v>22</v>
      </c>
      <c r="F2854" t="s">
        <v>47</v>
      </c>
      <c r="G2854" t="s">
        <v>393</v>
      </c>
      <c r="H2854" t="s">
        <v>48</v>
      </c>
      <c r="I2854" t="s">
        <v>48</v>
      </c>
      <c r="J2854" t="s">
        <v>397</v>
      </c>
      <c r="K2854" s="1">
        <v>0.59391215277777776</v>
      </c>
      <c r="L2854">
        <f>YEAR(Coffe_sales[[#This Row],[Date]])</f>
        <v>2025</v>
      </c>
    </row>
    <row r="2855" spans="1:12" x14ac:dyDescent="0.2">
      <c r="A2855" t="s">
        <v>36</v>
      </c>
      <c r="B2855" t="s">
        <v>12</v>
      </c>
      <c r="C2855">
        <v>30.86</v>
      </c>
      <c r="D2855" t="s">
        <v>26</v>
      </c>
      <c r="E2855" t="s">
        <v>22</v>
      </c>
      <c r="F2855" t="s">
        <v>47</v>
      </c>
      <c r="G2855" t="s">
        <v>393</v>
      </c>
      <c r="H2855" t="s">
        <v>48</v>
      </c>
      <c r="I2855" t="s">
        <v>48</v>
      </c>
      <c r="J2855" t="s">
        <v>397</v>
      </c>
      <c r="K2855" s="1">
        <v>0.59556118055555551</v>
      </c>
      <c r="L2855">
        <f>YEAR(Coffe_sales[[#This Row],[Date]])</f>
        <v>2025</v>
      </c>
    </row>
    <row r="2856" spans="1:12" x14ac:dyDescent="0.2">
      <c r="A2856" t="s">
        <v>36</v>
      </c>
      <c r="B2856" t="s">
        <v>12</v>
      </c>
      <c r="C2856">
        <v>25.96</v>
      </c>
      <c r="D2856" t="s">
        <v>24</v>
      </c>
      <c r="E2856" t="s">
        <v>22</v>
      </c>
      <c r="F2856" t="s">
        <v>47</v>
      </c>
      <c r="G2856" t="s">
        <v>393</v>
      </c>
      <c r="H2856" t="s">
        <v>48</v>
      </c>
      <c r="I2856" t="s">
        <v>48</v>
      </c>
      <c r="J2856" t="s">
        <v>397</v>
      </c>
      <c r="K2856" s="1">
        <v>0.59708962962962964</v>
      </c>
      <c r="L2856">
        <f>YEAR(Coffe_sales[[#This Row],[Date]])</f>
        <v>2025</v>
      </c>
    </row>
    <row r="2857" spans="1:12" x14ac:dyDescent="0.2">
      <c r="A2857" t="s">
        <v>28</v>
      </c>
      <c r="B2857" t="s">
        <v>12</v>
      </c>
      <c r="C2857">
        <v>30.86</v>
      </c>
      <c r="D2857" t="s">
        <v>26</v>
      </c>
      <c r="E2857" t="s">
        <v>29</v>
      </c>
      <c r="F2857" t="s">
        <v>47</v>
      </c>
      <c r="G2857" t="s">
        <v>393</v>
      </c>
      <c r="H2857" t="s">
        <v>48</v>
      </c>
      <c r="I2857" t="s">
        <v>48</v>
      </c>
      <c r="J2857" t="s">
        <v>397</v>
      </c>
      <c r="K2857" s="1">
        <v>0.75951148148148151</v>
      </c>
      <c r="L2857">
        <f>YEAR(Coffe_sales[[#This Row],[Date]])</f>
        <v>2025</v>
      </c>
    </row>
    <row r="2858" spans="1:12" x14ac:dyDescent="0.2">
      <c r="A2858" t="s">
        <v>30</v>
      </c>
      <c r="B2858" t="s">
        <v>12</v>
      </c>
      <c r="C2858">
        <v>35.76</v>
      </c>
      <c r="D2858" t="s">
        <v>31</v>
      </c>
      <c r="E2858" t="s">
        <v>29</v>
      </c>
      <c r="F2858" t="s">
        <v>47</v>
      </c>
      <c r="G2858" t="s">
        <v>393</v>
      </c>
      <c r="H2858" t="s">
        <v>48</v>
      </c>
      <c r="I2858" t="s">
        <v>48</v>
      </c>
      <c r="J2858" t="s">
        <v>397</v>
      </c>
      <c r="K2858" s="1">
        <v>0.79539253472222227</v>
      </c>
      <c r="L2858">
        <f>YEAR(Coffe_sales[[#This Row],[Date]])</f>
        <v>2025</v>
      </c>
    </row>
    <row r="2859" spans="1:12" x14ac:dyDescent="0.2">
      <c r="A2859" t="s">
        <v>30</v>
      </c>
      <c r="B2859" t="s">
        <v>12</v>
      </c>
      <c r="C2859">
        <v>35.76</v>
      </c>
      <c r="D2859" t="s">
        <v>31</v>
      </c>
      <c r="E2859" t="s">
        <v>29</v>
      </c>
      <c r="F2859" t="s">
        <v>47</v>
      </c>
      <c r="G2859" t="s">
        <v>393</v>
      </c>
      <c r="H2859" t="s">
        <v>48</v>
      </c>
      <c r="I2859" t="s">
        <v>48</v>
      </c>
      <c r="J2859" t="s">
        <v>397</v>
      </c>
      <c r="K2859" s="1">
        <v>0.79834174768518518</v>
      </c>
      <c r="L2859">
        <f>YEAR(Coffe_sales[[#This Row],[Date]])</f>
        <v>2025</v>
      </c>
    </row>
    <row r="2860" spans="1:12" x14ac:dyDescent="0.2">
      <c r="A2860" t="s">
        <v>30</v>
      </c>
      <c r="B2860" t="s">
        <v>12</v>
      </c>
      <c r="C2860">
        <v>35.76</v>
      </c>
      <c r="D2860" t="s">
        <v>31</v>
      </c>
      <c r="E2860" t="s">
        <v>29</v>
      </c>
      <c r="F2860" t="s">
        <v>47</v>
      </c>
      <c r="G2860" t="s">
        <v>393</v>
      </c>
      <c r="H2860" t="s">
        <v>48</v>
      </c>
      <c r="I2860" t="s">
        <v>48</v>
      </c>
      <c r="J2860" t="s">
        <v>397</v>
      </c>
      <c r="K2860" s="1">
        <v>0.79893025462962963</v>
      </c>
      <c r="L2860">
        <f>YEAR(Coffe_sales[[#This Row],[Date]])</f>
        <v>2025</v>
      </c>
    </row>
    <row r="2861" spans="1:12" x14ac:dyDescent="0.2">
      <c r="A2861" t="s">
        <v>30</v>
      </c>
      <c r="B2861" t="s">
        <v>12</v>
      </c>
      <c r="C2861">
        <v>25.96</v>
      </c>
      <c r="D2861" t="s">
        <v>41</v>
      </c>
      <c r="E2861" t="s">
        <v>29</v>
      </c>
      <c r="F2861" t="s">
        <v>47</v>
      </c>
      <c r="G2861" t="s">
        <v>393</v>
      </c>
      <c r="H2861" t="s">
        <v>48</v>
      </c>
      <c r="I2861" t="s">
        <v>48</v>
      </c>
      <c r="J2861" t="s">
        <v>397</v>
      </c>
      <c r="K2861" s="1">
        <v>0.81073244212962958</v>
      </c>
      <c r="L2861">
        <f>YEAR(Coffe_sales[[#This Row],[Date]])</f>
        <v>2025</v>
      </c>
    </row>
    <row r="2862" spans="1:12" x14ac:dyDescent="0.2">
      <c r="A2862" t="s">
        <v>123</v>
      </c>
      <c r="B2862" t="s">
        <v>12</v>
      </c>
      <c r="C2862">
        <v>30.86</v>
      </c>
      <c r="D2862" t="s">
        <v>26</v>
      </c>
      <c r="E2862" t="s">
        <v>14</v>
      </c>
      <c r="F2862" t="s">
        <v>50</v>
      </c>
      <c r="G2862" t="s">
        <v>393</v>
      </c>
      <c r="H2862" t="s">
        <v>18</v>
      </c>
      <c r="I2862" t="s">
        <v>48</v>
      </c>
      <c r="J2862" t="s">
        <v>398</v>
      </c>
      <c r="K2862" s="1">
        <v>0.36262166666666668</v>
      </c>
      <c r="L2862">
        <f>YEAR(Coffe_sales[[#This Row],[Date]])</f>
        <v>2025</v>
      </c>
    </row>
    <row r="2863" spans="1:12" x14ac:dyDescent="0.2">
      <c r="A2863" t="s">
        <v>46</v>
      </c>
      <c r="B2863" t="s">
        <v>12</v>
      </c>
      <c r="C2863">
        <v>30.86</v>
      </c>
      <c r="D2863" t="s">
        <v>26</v>
      </c>
      <c r="E2863" t="s">
        <v>14</v>
      </c>
      <c r="F2863" t="s">
        <v>50</v>
      </c>
      <c r="G2863" t="s">
        <v>393</v>
      </c>
      <c r="H2863" t="s">
        <v>18</v>
      </c>
      <c r="I2863" t="s">
        <v>48</v>
      </c>
      <c r="J2863" t="s">
        <v>398</v>
      </c>
      <c r="K2863" s="1">
        <v>0.38245049768518519</v>
      </c>
      <c r="L2863">
        <f>YEAR(Coffe_sales[[#This Row],[Date]])</f>
        <v>2025</v>
      </c>
    </row>
    <row r="2864" spans="1:12" x14ac:dyDescent="0.2">
      <c r="A2864" t="s">
        <v>35</v>
      </c>
      <c r="B2864" t="s">
        <v>12</v>
      </c>
      <c r="C2864">
        <v>25.96</v>
      </c>
      <c r="D2864" t="s">
        <v>24</v>
      </c>
      <c r="E2864" t="s">
        <v>14</v>
      </c>
      <c r="F2864" t="s">
        <v>50</v>
      </c>
      <c r="G2864" t="s">
        <v>393</v>
      </c>
      <c r="H2864" t="s">
        <v>18</v>
      </c>
      <c r="I2864" t="s">
        <v>48</v>
      </c>
      <c r="J2864" t="s">
        <v>398</v>
      </c>
      <c r="K2864" s="1">
        <v>0.49277532407407409</v>
      </c>
      <c r="L2864">
        <f>YEAR(Coffe_sales[[#This Row],[Date]])</f>
        <v>2025</v>
      </c>
    </row>
    <row r="2865" spans="1:12" x14ac:dyDescent="0.2">
      <c r="A2865" t="s">
        <v>35</v>
      </c>
      <c r="B2865" t="s">
        <v>12</v>
      </c>
      <c r="C2865">
        <v>25.96</v>
      </c>
      <c r="D2865" t="s">
        <v>24</v>
      </c>
      <c r="E2865" t="s">
        <v>14</v>
      </c>
      <c r="F2865" t="s">
        <v>50</v>
      </c>
      <c r="G2865" t="s">
        <v>393</v>
      </c>
      <c r="H2865" t="s">
        <v>18</v>
      </c>
      <c r="I2865" t="s">
        <v>48</v>
      </c>
      <c r="J2865" t="s">
        <v>398</v>
      </c>
      <c r="K2865" s="1">
        <v>0.49353686342592595</v>
      </c>
      <c r="L2865">
        <f>YEAR(Coffe_sales[[#This Row],[Date]])</f>
        <v>2025</v>
      </c>
    </row>
    <row r="2866" spans="1:12" x14ac:dyDescent="0.2">
      <c r="A2866" t="s">
        <v>35</v>
      </c>
      <c r="B2866" t="s">
        <v>12</v>
      </c>
      <c r="C2866">
        <v>25.96</v>
      </c>
      <c r="D2866" t="s">
        <v>24</v>
      </c>
      <c r="E2866" t="s">
        <v>14</v>
      </c>
      <c r="F2866" t="s">
        <v>50</v>
      </c>
      <c r="G2866" t="s">
        <v>393</v>
      </c>
      <c r="H2866" t="s">
        <v>18</v>
      </c>
      <c r="I2866" t="s">
        <v>48</v>
      </c>
      <c r="J2866" t="s">
        <v>398</v>
      </c>
      <c r="K2866" s="1">
        <v>0.49427528935185183</v>
      </c>
      <c r="L2866">
        <f>YEAR(Coffe_sales[[#This Row],[Date]])</f>
        <v>2025</v>
      </c>
    </row>
    <row r="2867" spans="1:12" x14ac:dyDescent="0.2">
      <c r="A2867" t="s">
        <v>35</v>
      </c>
      <c r="B2867" t="s">
        <v>12</v>
      </c>
      <c r="C2867">
        <v>30.86</v>
      </c>
      <c r="D2867" t="s">
        <v>26</v>
      </c>
      <c r="E2867" t="s">
        <v>14</v>
      </c>
      <c r="F2867" t="s">
        <v>50</v>
      </c>
      <c r="G2867" t="s">
        <v>393</v>
      </c>
      <c r="H2867" t="s">
        <v>18</v>
      </c>
      <c r="I2867" t="s">
        <v>48</v>
      </c>
      <c r="J2867" t="s">
        <v>398</v>
      </c>
      <c r="K2867" s="1">
        <v>0.49903289351851854</v>
      </c>
      <c r="L2867">
        <f>YEAR(Coffe_sales[[#This Row],[Date]])</f>
        <v>2025</v>
      </c>
    </row>
    <row r="2868" spans="1:12" x14ac:dyDescent="0.2">
      <c r="A2868" t="s">
        <v>20</v>
      </c>
      <c r="B2868" t="s">
        <v>12</v>
      </c>
      <c r="C2868">
        <v>25.96</v>
      </c>
      <c r="D2868" t="s">
        <v>24</v>
      </c>
      <c r="E2868" t="s">
        <v>22</v>
      </c>
      <c r="F2868" t="s">
        <v>50</v>
      </c>
      <c r="G2868" t="s">
        <v>393</v>
      </c>
      <c r="H2868" t="s">
        <v>18</v>
      </c>
      <c r="I2868" t="s">
        <v>48</v>
      </c>
      <c r="J2868" t="s">
        <v>398</v>
      </c>
      <c r="K2868" s="1">
        <v>0.50748699074074077</v>
      </c>
      <c r="L2868">
        <f>YEAR(Coffe_sales[[#This Row],[Date]])</f>
        <v>2025</v>
      </c>
    </row>
    <row r="2869" spans="1:12" x14ac:dyDescent="0.2">
      <c r="A2869" t="s">
        <v>23</v>
      </c>
      <c r="B2869" t="s">
        <v>12</v>
      </c>
      <c r="C2869">
        <v>25.96</v>
      </c>
      <c r="D2869" t="s">
        <v>24</v>
      </c>
      <c r="E2869" t="s">
        <v>22</v>
      </c>
      <c r="F2869" t="s">
        <v>50</v>
      </c>
      <c r="G2869" t="s">
        <v>393</v>
      </c>
      <c r="H2869" t="s">
        <v>18</v>
      </c>
      <c r="I2869" t="s">
        <v>48</v>
      </c>
      <c r="J2869" t="s">
        <v>398</v>
      </c>
      <c r="K2869" s="1">
        <v>0.55608991898148152</v>
      </c>
      <c r="L2869">
        <f>YEAR(Coffe_sales[[#This Row],[Date]])</f>
        <v>2025</v>
      </c>
    </row>
    <row r="2870" spans="1:12" x14ac:dyDescent="0.2">
      <c r="A2870" t="s">
        <v>23</v>
      </c>
      <c r="B2870" t="s">
        <v>12</v>
      </c>
      <c r="C2870">
        <v>21.06</v>
      </c>
      <c r="D2870" t="s">
        <v>45</v>
      </c>
      <c r="E2870" t="s">
        <v>22</v>
      </c>
      <c r="F2870" t="s">
        <v>50</v>
      </c>
      <c r="G2870" t="s">
        <v>393</v>
      </c>
      <c r="H2870" t="s">
        <v>18</v>
      </c>
      <c r="I2870" t="s">
        <v>48</v>
      </c>
      <c r="J2870" t="s">
        <v>398</v>
      </c>
      <c r="K2870" s="1">
        <v>0.57202343749999995</v>
      </c>
      <c r="L2870">
        <f>YEAR(Coffe_sales[[#This Row],[Date]])</f>
        <v>2025</v>
      </c>
    </row>
    <row r="2871" spans="1:12" x14ac:dyDescent="0.2">
      <c r="A2871" t="s">
        <v>23</v>
      </c>
      <c r="B2871" t="s">
        <v>12</v>
      </c>
      <c r="C2871">
        <v>21.06</v>
      </c>
      <c r="D2871" t="s">
        <v>45</v>
      </c>
      <c r="E2871" t="s">
        <v>22</v>
      </c>
      <c r="F2871" t="s">
        <v>50</v>
      </c>
      <c r="G2871" t="s">
        <v>393</v>
      </c>
      <c r="H2871" t="s">
        <v>18</v>
      </c>
      <c r="I2871" t="s">
        <v>48</v>
      </c>
      <c r="J2871" t="s">
        <v>398</v>
      </c>
      <c r="K2871" s="1">
        <v>0.57256145833333338</v>
      </c>
      <c r="L2871">
        <f>YEAR(Coffe_sales[[#This Row],[Date]])</f>
        <v>2025</v>
      </c>
    </row>
    <row r="2872" spans="1:12" x14ac:dyDescent="0.2">
      <c r="A2872" t="s">
        <v>36</v>
      </c>
      <c r="B2872" t="s">
        <v>12</v>
      </c>
      <c r="C2872">
        <v>35.76</v>
      </c>
      <c r="D2872" t="s">
        <v>52</v>
      </c>
      <c r="E2872" t="s">
        <v>22</v>
      </c>
      <c r="F2872" t="s">
        <v>50</v>
      </c>
      <c r="G2872" t="s">
        <v>393</v>
      </c>
      <c r="H2872" t="s">
        <v>18</v>
      </c>
      <c r="I2872" t="s">
        <v>48</v>
      </c>
      <c r="J2872" t="s">
        <v>398</v>
      </c>
      <c r="K2872" s="1">
        <v>0.62352667824074071</v>
      </c>
      <c r="L2872">
        <f>YEAR(Coffe_sales[[#This Row],[Date]])</f>
        <v>2025</v>
      </c>
    </row>
    <row r="2873" spans="1:12" x14ac:dyDescent="0.2">
      <c r="A2873" t="s">
        <v>25</v>
      </c>
      <c r="B2873" t="s">
        <v>12</v>
      </c>
      <c r="C2873">
        <v>35.76</v>
      </c>
      <c r="D2873" t="s">
        <v>52</v>
      </c>
      <c r="E2873" t="s">
        <v>22</v>
      </c>
      <c r="F2873" t="s">
        <v>50</v>
      </c>
      <c r="G2873" t="s">
        <v>393</v>
      </c>
      <c r="H2873" t="s">
        <v>18</v>
      </c>
      <c r="I2873" t="s">
        <v>48</v>
      </c>
      <c r="J2873" t="s">
        <v>398</v>
      </c>
      <c r="K2873" s="1">
        <v>0.66040247685185183</v>
      </c>
      <c r="L2873">
        <f>YEAR(Coffe_sales[[#This Row],[Date]])</f>
        <v>2025</v>
      </c>
    </row>
    <row r="2874" spans="1:12" x14ac:dyDescent="0.2">
      <c r="A2874" t="s">
        <v>27</v>
      </c>
      <c r="B2874" t="s">
        <v>12</v>
      </c>
      <c r="C2874">
        <v>35.76</v>
      </c>
      <c r="D2874" t="s">
        <v>21</v>
      </c>
      <c r="E2874" t="s">
        <v>22</v>
      </c>
      <c r="F2874" t="s">
        <v>50</v>
      </c>
      <c r="G2874" t="s">
        <v>393</v>
      </c>
      <c r="H2874" t="s">
        <v>18</v>
      </c>
      <c r="I2874" t="s">
        <v>48</v>
      </c>
      <c r="J2874" t="s">
        <v>398</v>
      </c>
      <c r="K2874" s="1">
        <v>0.69051385416666666</v>
      </c>
      <c r="L2874">
        <f>YEAR(Coffe_sales[[#This Row],[Date]])</f>
        <v>2025</v>
      </c>
    </row>
    <row r="2875" spans="1:12" x14ac:dyDescent="0.2">
      <c r="A2875" t="s">
        <v>27</v>
      </c>
      <c r="B2875" t="s">
        <v>12</v>
      </c>
      <c r="C2875">
        <v>35.76</v>
      </c>
      <c r="D2875" t="s">
        <v>13</v>
      </c>
      <c r="E2875" t="s">
        <v>22</v>
      </c>
      <c r="F2875" t="s">
        <v>50</v>
      </c>
      <c r="G2875" t="s">
        <v>393</v>
      </c>
      <c r="H2875" t="s">
        <v>18</v>
      </c>
      <c r="I2875" t="s">
        <v>48</v>
      </c>
      <c r="J2875" t="s">
        <v>398</v>
      </c>
      <c r="K2875" s="1">
        <v>0.69135424768518516</v>
      </c>
      <c r="L2875">
        <f>YEAR(Coffe_sales[[#This Row],[Date]])</f>
        <v>2025</v>
      </c>
    </row>
    <row r="2876" spans="1:12" x14ac:dyDescent="0.2">
      <c r="A2876" t="s">
        <v>27</v>
      </c>
      <c r="B2876" t="s">
        <v>12</v>
      </c>
      <c r="C2876">
        <v>35.76</v>
      </c>
      <c r="D2876" t="s">
        <v>13</v>
      </c>
      <c r="E2876" t="s">
        <v>22</v>
      </c>
      <c r="F2876" t="s">
        <v>50</v>
      </c>
      <c r="G2876" t="s">
        <v>393</v>
      </c>
      <c r="H2876" t="s">
        <v>18</v>
      </c>
      <c r="I2876" t="s">
        <v>48</v>
      </c>
      <c r="J2876" t="s">
        <v>398</v>
      </c>
      <c r="K2876" s="1">
        <v>0.69206239583333329</v>
      </c>
      <c r="L2876">
        <f>YEAR(Coffe_sales[[#This Row],[Date]])</f>
        <v>2025</v>
      </c>
    </row>
    <row r="2877" spans="1:12" x14ac:dyDescent="0.2">
      <c r="A2877" t="s">
        <v>27</v>
      </c>
      <c r="B2877" t="s">
        <v>12</v>
      </c>
      <c r="C2877">
        <v>35.76</v>
      </c>
      <c r="D2877" t="s">
        <v>31</v>
      </c>
      <c r="E2877" t="s">
        <v>22</v>
      </c>
      <c r="F2877" t="s">
        <v>50</v>
      </c>
      <c r="G2877" t="s">
        <v>393</v>
      </c>
      <c r="H2877" t="s">
        <v>18</v>
      </c>
      <c r="I2877" t="s">
        <v>48</v>
      </c>
      <c r="J2877" t="s">
        <v>398</v>
      </c>
      <c r="K2877" s="1">
        <v>0.69377008101851856</v>
      </c>
      <c r="L2877">
        <f>YEAR(Coffe_sales[[#This Row],[Date]])</f>
        <v>2025</v>
      </c>
    </row>
    <row r="2878" spans="1:12" x14ac:dyDescent="0.2">
      <c r="A2878" t="s">
        <v>27</v>
      </c>
      <c r="B2878" t="s">
        <v>12</v>
      </c>
      <c r="C2878">
        <v>35.76</v>
      </c>
      <c r="D2878" t="s">
        <v>21</v>
      </c>
      <c r="E2878" t="s">
        <v>22</v>
      </c>
      <c r="F2878" t="s">
        <v>50</v>
      </c>
      <c r="G2878" t="s">
        <v>393</v>
      </c>
      <c r="H2878" t="s">
        <v>18</v>
      </c>
      <c r="I2878" t="s">
        <v>48</v>
      </c>
      <c r="J2878" t="s">
        <v>398</v>
      </c>
      <c r="K2878" s="1">
        <v>0.69525456018518517</v>
      </c>
      <c r="L2878">
        <f>YEAR(Coffe_sales[[#This Row],[Date]])</f>
        <v>2025</v>
      </c>
    </row>
    <row r="2879" spans="1:12" x14ac:dyDescent="0.2">
      <c r="A2879" t="s">
        <v>28</v>
      </c>
      <c r="B2879" t="s">
        <v>12</v>
      </c>
      <c r="C2879">
        <v>35.76</v>
      </c>
      <c r="D2879" t="s">
        <v>52</v>
      </c>
      <c r="E2879" t="s">
        <v>29</v>
      </c>
      <c r="F2879" t="s">
        <v>50</v>
      </c>
      <c r="G2879" t="s">
        <v>393</v>
      </c>
      <c r="H2879" t="s">
        <v>18</v>
      </c>
      <c r="I2879" t="s">
        <v>48</v>
      </c>
      <c r="J2879" t="s">
        <v>398</v>
      </c>
      <c r="K2879" s="1">
        <v>0.76289846064814815</v>
      </c>
      <c r="L2879">
        <f>YEAR(Coffe_sales[[#This Row],[Date]])</f>
        <v>2025</v>
      </c>
    </row>
    <row r="2880" spans="1:12" x14ac:dyDescent="0.2">
      <c r="A2880" t="s">
        <v>28</v>
      </c>
      <c r="B2880" t="s">
        <v>12</v>
      </c>
      <c r="C2880">
        <v>35.76</v>
      </c>
      <c r="D2880" t="s">
        <v>52</v>
      </c>
      <c r="E2880" t="s">
        <v>29</v>
      </c>
      <c r="F2880" t="s">
        <v>50</v>
      </c>
      <c r="G2880" t="s">
        <v>393</v>
      </c>
      <c r="H2880" t="s">
        <v>18</v>
      </c>
      <c r="I2880" t="s">
        <v>48</v>
      </c>
      <c r="J2880" t="s">
        <v>398</v>
      </c>
      <c r="K2880" s="1">
        <v>0.76376247685185183</v>
      </c>
      <c r="L2880">
        <f>YEAR(Coffe_sales[[#This Row],[Date]])</f>
        <v>2025</v>
      </c>
    </row>
    <row r="2881" spans="1:12" x14ac:dyDescent="0.2">
      <c r="A2881" t="s">
        <v>28</v>
      </c>
      <c r="B2881" t="s">
        <v>12</v>
      </c>
      <c r="C2881">
        <v>35.76</v>
      </c>
      <c r="D2881" t="s">
        <v>31</v>
      </c>
      <c r="E2881" t="s">
        <v>29</v>
      </c>
      <c r="F2881" t="s">
        <v>50</v>
      </c>
      <c r="G2881" t="s">
        <v>393</v>
      </c>
      <c r="H2881" t="s">
        <v>18</v>
      </c>
      <c r="I2881" t="s">
        <v>48</v>
      </c>
      <c r="J2881" t="s">
        <v>398</v>
      </c>
      <c r="K2881" s="1">
        <v>0.76448479166666672</v>
      </c>
      <c r="L2881">
        <f>YEAR(Coffe_sales[[#This Row],[Date]])</f>
        <v>2025</v>
      </c>
    </row>
    <row r="2882" spans="1:12" x14ac:dyDescent="0.2">
      <c r="A2882" t="s">
        <v>28</v>
      </c>
      <c r="B2882" t="s">
        <v>12</v>
      </c>
      <c r="C2882">
        <v>30.86</v>
      </c>
      <c r="D2882" t="s">
        <v>26</v>
      </c>
      <c r="E2882" t="s">
        <v>29</v>
      </c>
      <c r="F2882" t="s">
        <v>50</v>
      </c>
      <c r="G2882" t="s">
        <v>393</v>
      </c>
      <c r="H2882" t="s">
        <v>18</v>
      </c>
      <c r="I2882" t="s">
        <v>48</v>
      </c>
      <c r="J2882" t="s">
        <v>398</v>
      </c>
      <c r="K2882" s="1">
        <v>0.76770048611111108</v>
      </c>
      <c r="L2882">
        <f>YEAR(Coffe_sales[[#This Row],[Date]])</f>
        <v>2025</v>
      </c>
    </row>
    <row r="2883" spans="1:12" x14ac:dyDescent="0.2">
      <c r="A2883" t="s">
        <v>28</v>
      </c>
      <c r="B2883" t="s">
        <v>12</v>
      </c>
      <c r="C2883">
        <v>35.76</v>
      </c>
      <c r="D2883" t="s">
        <v>52</v>
      </c>
      <c r="E2883" t="s">
        <v>29</v>
      </c>
      <c r="F2883" t="s">
        <v>50</v>
      </c>
      <c r="G2883" t="s">
        <v>393</v>
      </c>
      <c r="H2883" t="s">
        <v>18</v>
      </c>
      <c r="I2883" t="s">
        <v>48</v>
      </c>
      <c r="J2883" t="s">
        <v>398</v>
      </c>
      <c r="K2883" s="1">
        <v>0.78173763888888892</v>
      </c>
      <c r="L2883">
        <f>YEAR(Coffe_sales[[#This Row],[Date]])</f>
        <v>2025</v>
      </c>
    </row>
    <row r="2884" spans="1:12" x14ac:dyDescent="0.2">
      <c r="A2884" t="s">
        <v>30</v>
      </c>
      <c r="B2884" t="s">
        <v>12</v>
      </c>
      <c r="C2884">
        <v>35.76</v>
      </c>
      <c r="D2884" t="s">
        <v>21</v>
      </c>
      <c r="E2884" t="s">
        <v>29</v>
      </c>
      <c r="F2884" t="s">
        <v>50</v>
      </c>
      <c r="G2884" t="s">
        <v>393</v>
      </c>
      <c r="H2884" t="s">
        <v>18</v>
      </c>
      <c r="I2884" t="s">
        <v>48</v>
      </c>
      <c r="J2884" t="s">
        <v>398</v>
      </c>
      <c r="K2884" s="1">
        <v>0.79636877314814813</v>
      </c>
      <c r="L2884">
        <f>YEAR(Coffe_sales[[#This Row],[Date]])</f>
        <v>2025</v>
      </c>
    </row>
    <row r="2885" spans="1:12" x14ac:dyDescent="0.2">
      <c r="A2885" t="s">
        <v>91</v>
      </c>
      <c r="B2885" t="s">
        <v>12</v>
      </c>
      <c r="C2885">
        <v>35.76</v>
      </c>
      <c r="D2885" t="s">
        <v>31</v>
      </c>
      <c r="E2885" t="s">
        <v>29</v>
      </c>
      <c r="F2885" t="s">
        <v>50</v>
      </c>
      <c r="G2885" t="s">
        <v>393</v>
      </c>
      <c r="H2885" t="s">
        <v>18</v>
      </c>
      <c r="I2885" t="s">
        <v>48</v>
      </c>
      <c r="J2885" t="s">
        <v>398</v>
      </c>
      <c r="K2885" s="1">
        <v>0.83565542824074079</v>
      </c>
      <c r="L2885">
        <f>YEAR(Coffe_sales[[#This Row],[Date]])</f>
        <v>2025</v>
      </c>
    </row>
    <row r="2886" spans="1:12" x14ac:dyDescent="0.2">
      <c r="A2886" t="s">
        <v>39</v>
      </c>
      <c r="B2886" t="s">
        <v>12</v>
      </c>
      <c r="C2886">
        <v>30.86</v>
      </c>
      <c r="D2886" t="s">
        <v>26</v>
      </c>
      <c r="E2886" t="s">
        <v>14</v>
      </c>
      <c r="F2886" t="s">
        <v>53</v>
      </c>
      <c r="G2886" t="s">
        <v>393</v>
      </c>
      <c r="H2886" t="s">
        <v>54</v>
      </c>
      <c r="I2886" t="s">
        <v>48</v>
      </c>
      <c r="J2886" t="s">
        <v>399</v>
      </c>
      <c r="K2886" s="1">
        <v>0.30334079861111113</v>
      </c>
      <c r="L2886">
        <f>YEAR(Coffe_sales[[#This Row],[Date]])</f>
        <v>2025</v>
      </c>
    </row>
    <row r="2887" spans="1:12" x14ac:dyDescent="0.2">
      <c r="A2887" t="s">
        <v>23</v>
      </c>
      <c r="B2887" t="s">
        <v>12</v>
      </c>
      <c r="C2887">
        <v>25.96</v>
      </c>
      <c r="D2887" t="s">
        <v>24</v>
      </c>
      <c r="E2887" t="s">
        <v>22</v>
      </c>
      <c r="F2887" t="s">
        <v>53</v>
      </c>
      <c r="G2887" t="s">
        <v>393</v>
      </c>
      <c r="H2887" t="s">
        <v>54</v>
      </c>
      <c r="I2887" t="s">
        <v>48</v>
      </c>
      <c r="J2887" t="s">
        <v>399</v>
      </c>
      <c r="K2887" s="1">
        <v>0.58288722222222222</v>
      </c>
      <c r="L2887">
        <f>YEAR(Coffe_sales[[#This Row],[Date]])</f>
        <v>2025</v>
      </c>
    </row>
    <row r="2888" spans="1:12" x14ac:dyDescent="0.2">
      <c r="A2888" t="s">
        <v>36</v>
      </c>
      <c r="B2888" t="s">
        <v>12</v>
      </c>
      <c r="C2888">
        <v>30.86</v>
      </c>
      <c r="D2888" t="s">
        <v>26</v>
      </c>
      <c r="E2888" t="s">
        <v>22</v>
      </c>
      <c r="F2888" t="s">
        <v>53</v>
      </c>
      <c r="G2888" t="s">
        <v>393</v>
      </c>
      <c r="H2888" t="s">
        <v>54</v>
      </c>
      <c r="I2888" t="s">
        <v>48</v>
      </c>
      <c r="J2888" t="s">
        <v>399</v>
      </c>
      <c r="K2888" s="1">
        <v>0.62189310185185187</v>
      </c>
      <c r="L2888">
        <f>YEAR(Coffe_sales[[#This Row],[Date]])</f>
        <v>2025</v>
      </c>
    </row>
    <row r="2889" spans="1:12" x14ac:dyDescent="0.2">
      <c r="A2889" t="s">
        <v>36</v>
      </c>
      <c r="B2889" t="s">
        <v>12</v>
      </c>
      <c r="C2889">
        <v>35.76</v>
      </c>
      <c r="D2889" t="s">
        <v>52</v>
      </c>
      <c r="E2889" t="s">
        <v>22</v>
      </c>
      <c r="F2889" t="s">
        <v>53</v>
      </c>
      <c r="G2889" t="s">
        <v>393</v>
      </c>
      <c r="H2889" t="s">
        <v>54</v>
      </c>
      <c r="I2889" t="s">
        <v>48</v>
      </c>
      <c r="J2889" t="s">
        <v>399</v>
      </c>
      <c r="K2889" s="1">
        <v>0.62456506944444445</v>
      </c>
      <c r="L2889">
        <f>YEAR(Coffe_sales[[#This Row],[Date]])</f>
        <v>2025</v>
      </c>
    </row>
    <row r="2890" spans="1:12" x14ac:dyDescent="0.2">
      <c r="A2890" t="s">
        <v>27</v>
      </c>
      <c r="B2890" t="s">
        <v>12</v>
      </c>
      <c r="C2890">
        <v>35.76</v>
      </c>
      <c r="D2890" t="s">
        <v>31</v>
      </c>
      <c r="E2890" t="s">
        <v>22</v>
      </c>
      <c r="F2890" t="s">
        <v>53</v>
      </c>
      <c r="G2890" t="s">
        <v>393</v>
      </c>
      <c r="H2890" t="s">
        <v>54</v>
      </c>
      <c r="I2890" t="s">
        <v>48</v>
      </c>
      <c r="J2890" t="s">
        <v>399</v>
      </c>
      <c r="K2890" s="1">
        <v>0.67696528935185185</v>
      </c>
      <c r="L2890">
        <f>YEAR(Coffe_sales[[#This Row],[Date]])</f>
        <v>2025</v>
      </c>
    </row>
    <row r="2891" spans="1:12" x14ac:dyDescent="0.2">
      <c r="A2891" t="s">
        <v>37</v>
      </c>
      <c r="B2891" t="s">
        <v>12</v>
      </c>
      <c r="C2891">
        <v>35.76</v>
      </c>
      <c r="D2891" t="s">
        <v>31</v>
      </c>
      <c r="E2891" t="s">
        <v>29</v>
      </c>
      <c r="F2891" t="s">
        <v>53</v>
      </c>
      <c r="G2891" t="s">
        <v>393</v>
      </c>
      <c r="H2891" t="s">
        <v>54</v>
      </c>
      <c r="I2891" t="s">
        <v>48</v>
      </c>
      <c r="J2891" t="s">
        <v>399</v>
      </c>
      <c r="K2891" s="1">
        <v>0.71511115740740738</v>
      </c>
      <c r="L2891">
        <f>YEAR(Coffe_sales[[#This Row],[Date]])</f>
        <v>2025</v>
      </c>
    </row>
    <row r="2892" spans="1:12" x14ac:dyDescent="0.2">
      <c r="A2892" t="s">
        <v>37</v>
      </c>
      <c r="B2892" t="s">
        <v>12</v>
      </c>
      <c r="C2892">
        <v>35.76</v>
      </c>
      <c r="D2892" t="s">
        <v>31</v>
      </c>
      <c r="E2892" t="s">
        <v>29</v>
      </c>
      <c r="F2892" t="s">
        <v>53</v>
      </c>
      <c r="G2892" t="s">
        <v>393</v>
      </c>
      <c r="H2892" t="s">
        <v>54</v>
      </c>
      <c r="I2892" t="s">
        <v>48</v>
      </c>
      <c r="J2892" t="s">
        <v>399</v>
      </c>
      <c r="K2892" s="1">
        <v>0.74612315972222221</v>
      </c>
      <c r="L2892">
        <f>YEAR(Coffe_sales[[#This Row],[Date]])</f>
        <v>2025</v>
      </c>
    </row>
    <row r="2893" spans="1:12" x14ac:dyDescent="0.2">
      <c r="A2893" t="s">
        <v>30</v>
      </c>
      <c r="B2893" t="s">
        <v>12</v>
      </c>
      <c r="C2893">
        <v>35.76</v>
      </c>
      <c r="D2893" t="s">
        <v>52</v>
      </c>
      <c r="E2893" t="s">
        <v>29</v>
      </c>
      <c r="F2893" t="s">
        <v>53</v>
      </c>
      <c r="G2893" t="s">
        <v>393</v>
      </c>
      <c r="H2893" t="s">
        <v>54</v>
      </c>
      <c r="I2893" t="s">
        <v>48</v>
      </c>
      <c r="J2893" t="s">
        <v>399</v>
      </c>
      <c r="K2893" s="1">
        <v>0.82861891203703708</v>
      </c>
      <c r="L2893">
        <f>YEAR(Coffe_sales[[#This Row],[Date]])</f>
        <v>2025</v>
      </c>
    </row>
    <row r="2894" spans="1:12" x14ac:dyDescent="0.2">
      <c r="A2894" t="s">
        <v>30</v>
      </c>
      <c r="B2894" t="s">
        <v>12</v>
      </c>
      <c r="C2894">
        <v>21.06</v>
      </c>
      <c r="D2894" t="s">
        <v>45</v>
      </c>
      <c r="E2894" t="s">
        <v>29</v>
      </c>
      <c r="F2894" t="s">
        <v>53</v>
      </c>
      <c r="G2894" t="s">
        <v>393</v>
      </c>
      <c r="H2894" t="s">
        <v>54</v>
      </c>
      <c r="I2894" t="s">
        <v>48</v>
      </c>
      <c r="J2894" t="s">
        <v>399</v>
      </c>
      <c r="K2894" s="1">
        <v>0.82993635416666667</v>
      </c>
      <c r="L2894">
        <f>YEAR(Coffe_sales[[#This Row],[Date]])</f>
        <v>2025</v>
      </c>
    </row>
    <row r="2895" spans="1:12" x14ac:dyDescent="0.2">
      <c r="A2895" t="s">
        <v>91</v>
      </c>
      <c r="B2895" t="s">
        <v>12</v>
      </c>
      <c r="C2895">
        <v>35.76</v>
      </c>
      <c r="D2895" t="s">
        <v>31</v>
      </c>
      <c r="E2895" t="s">
        <v>29</v>
      </c>
      <c r="F2895" t="s">
        <v>53</v>
      </c>
      <c r="G2895" t="s">
        <v>393</v>
      </c>
      <c r="H2895" t="s">
        <v>54</v>
      </c>
      <c r="I2895" t="s">
        <v>48</v>
      </c>
      <c r="J2895" t="s">
        <v>399</v>
      </c>
      <c r="K2895" s="1">
        <v>0.838186400462963</v>
      </c>
      <c r="L2895">
        <f>YEAR(Coffe_sales[[#This Row],[Date]])</f>
        <v>2025</v>
      </c>
    </row>
    <row r="2896" spans="1:12" x14ac:dyDescent="0.2">
      <c r="A2896" t="s">
        <v>91</v>
      </c>
      <c r="B2896" t="s">
        <v>12</v>
      </c>
      <c r="C2896">
        <v>35.76</v>
      </c>
      <c r="D2896" t="s">
        <v>31</v>
      </c>
      <c r="E2896" t="s">
        <v>29</v>
      </c>
      <c r="F2896" t="s">
        <v>53</v>
      </c>
      <c r="G2896" t="s">
        <v>393</v>
      </c>
      <c r="H2896" t="s">
        <v>54</v>
      </c>
      <c r="I2896" t="s">
        <v>48</v>
      </c>
      <c r="J2896" t="s">
        <v>399</v>
      </c>
      <c r="K2896" s="1">
        <v>0.8387396412037037</v>
      </c>
      <c r="L2896">
        <f>YEAR(Coffe_sales[[#This Row],[Date]])</f>
        <v>2025</v>
      </c>
    </row>
    <row r="2897" spans="1:12" x14ac:dyDescent="0.2">
      <c r="A2897" t="s">
        <v>91</v>
      </c>
      <c r="B2897" t="s">
        <v>12</v>
      </c>
      <c r="C2897">
        <v>35.76</v>
      </c>
      <c r="D2897" t="s">
        <v>13</v>
      </c>
      <c r="E2897" t="s">
        <v>29</v>
      </c>
      <c r="F2897" t="s">
        <v>53</v>
      </c>
      <c r="G2897" t="s">
        <v>393</v>
      </c>
      <c r="H2897" t="s">
        <v>54</v>
      </c>
      <c r="I2897" t="s">
        <v>48</v>
      </c>
      <c r="J2897" t="s">
        <v>399</v>
      </c>
      <c r="K2897" s="1">
        <v>0.84946223379629626</v>
      </c>
      <c r="L2897">
        <f>YEAR(Coffe_sales[[#This Row],[Date]])</f>
        <v>2025</v>
      </c>
    </row>
    <row r="2898" spans="1:12" x14ac:dyDescent="0.2">
      <c r="A2898" t="s">
        <v>123</v>
      </c>
      <c r="B2898" t="s">
        <v>12</v>
      </c>
      <c r="C2898">
        <v>30.86</v>
      </c>
      <c r="D2898" t="s">
        <v>26</v>
      </c>
      <c r="E2898" t="s">
        <v>14</v>
      </c>
      <c r="F2898" t="s">
        <v>15</v>
      </c>
      <c r="G2898" t="s">
        <v>393</v>
      </c>
      <c r="H2898" t="s">
        <v>17</v>
      </c>
      <c r="I2898" t="s">
        <v>48</v>
      </c>
      <c r="J2898" t="s">
        <v>400</v>
      </c>
      <c r="K2898" s="1">
        <v>0.36446722222222222</v>
      </c>
      <c r="L2898">
        <f>YEAR(Coffe_sales[[#This Row],[Date]])</f>
        <v>2025</v>
      </c>
    </row>
    <row r="2899" spans="1:12" x14ac:dyDescent="0.2">
      <c r="A2899" t="s">
        <v>46</v>
      </c>
      <c r="B2899" t="s">
        <v>12</v>
      </c>
      <c r="C2899">
        <v>30.86</v>
      </c>
      <c r="D2899" t="s">
        <v>26</v>
      </c>
      <c r="E2899" t="s">
        <v>14</v>
      </c>
      <c r="F2899" t="s">
        <v>15</v>
      </c>
      <c r="G2899" t="s">
        <v>393</v>
      </c>
      <c r="H2899" t="s">
        <v>17</v>
      </c>
      <c r="I2899" t="s">
        <v>48</v>
      </c>
      <c r="J2899" t="s">
        <v>400</v>
      </c>
      <c r="K2899" s="1">
        <v>0.37991497685185183</v>
      </c>
      <c r="L2899">
        <f>YEAR(Coffe_sales[[#This Row],[Date]])</f>
        <v>2025</v>
      </c>
    </row>
    <row r="2900" spans="1:12" x14ac:dyDescent="0.2">
      <c r="A2900" t="s">
        <v>11</v>
      </c>
      <c r="B2900" t="s">
        <v>12</v>
      </c>
      <c r="C2900">
        <v>25.96</v>
      </c>
      <c r="D2900" t="s">
        <v>24</v>
      </c>
      <c r="E2900" t="s">
        <v>14</v>
      </c>
      <c r="F2900" t="s">
        <v>15</v>
      </c>
      <c r="G2900" t="s">
        <v>393</v>
      </c>
      <c r="H2900" t="s">
        <v>17</v>
      </c>
      <c r="I2900" t="s">
        <v>48</v>
      </c>
      <c r="J2900" t="s">
        <v>400</v>
      </c>
      <c r="K2900" s="1">
        <v>0.45096298611111113</v>
      </c>
      <c r="L2900">
        <f>YEAR(Coffe_sales[[#This Row],[Date]])</f>
        <v>2025</v>
      </c>
    </row>
    <row r="2901" spans="1:12" x14ac:dyDescent="0.2">
      <c r="A2901" t="s">
        <v>20</v>
      </c>
      <c r="B2901" t="s">
        <v>12</v>
      </c>
      <c r="C2901">
        <v>35.76</v>
      </c>
      <c r="D2901" t="s">
        <v>31</v>
      </c>
      <c r="E2901" t="s">
        <v>22</v>
      </c>
      <c r="F2901" t="s">
        <v>15</v>
      </c>
      <c r="G2901" t="s">
        <v>393</v>
      </c>
      <c r="H2901" t="s">
        <v>17</v>
      </c>
      <c r="I2901" t="s">
        <v>48</v>
      </c>
      <c r="J2901" t="s">
        <v>400</v>
      </c>
      <c r="K2901" s="1">
        <v>0.50669666666666668</v>
      </c>
      <c r="L2901">
        <f>YEAR(Coffe_sales[[#This Row],[Date]])</f>
        <v>2025</v>
      </c>
    </row>
    <row r="2902" spans="1:12" x14ac:dyDescent="0.2">
      <c r="A2902" t="s">
        <v>20</v>
      </c>
      <c r="B2902" t="s">
        <v>12</v>
      </c>
      <c r="C2902">
        <v>30.86</v>
      </c>
      <c r="D2902" t="s">
        <v>26</v>
      </c>
      <c r="E2902" t="s">
        <v>22</v>
      </c>
      <c r="F2902" t="s">
        <v>15</v>
      </c>
      <c r="G2902" t="s">
        <v>393</v>
      </c>
      <c r="H2902" t="s">
        <v>17</v>
      </c>
      <c r="I2902" t="s">
        <v>48</v>
      </c>
      <c r="J2902" t="s">
        <v>400</v>
      </c>
      <c r="K2902" s="1">
        <v>0.53567554398148143</v>
      </c>
      <c r="L2902">
        <f>YEAR(Coffe_sales[[#This Row],[Date]])</f>
        <v>2025</v>
      </c>
    </row>
    <row r="2903" spans="1:12" x14ac:dyDescent="0.2">
      <c r="A2903" t="s">
        <v>20</v>
      </c>
      <c r="B2903" t="s">
        <v>12</v>
      </c>
      <c r="C2903">
        <v>25.96</v>
      </c>
      <c r="D2903" t="s">
        <v>24</v>
      </c>
      <c r="E2903" t="s">
        <v>22</v>
      </c>
      <c r="F2903" t="s">
        <v>15</v>
      </c>
      <c r="G2903" t="s">
        <v>393</v>
      </c>
      <c r="H2903" t="s">
        <v>17</v>
      </c>
      <c r="I2903" t="s">
        <v>48</v>
      </c>
      <c r="J2903" t="s">
        <v>400</v>
      </c>
      <c r="K2903" s="1">
        <v>0.54087704861111108</v>
      </c>
      <c r="L2903">
        <f>YEAR(Coffe_sales[[#This Row],[Date]])</f>
        <v>2025</v>
      </c>
    </row>
    <row r="2904" spans="1:12" x14ac:dyDescent="0.2">
      <c r="A2904" t="s">
        <v>27</v>
      </c>
      <c r="B2904" t="s">
        <v>12</v>
      </c>
      <c r="C2904">
        <v>25.96</v>
      </c>
      <c r="D2904" t="s">
        <v>41</v>
      </c>
      <c r="E2904" t="s">
        <v>22</v>
      </c>
      <c r="F2904" t="s">
        <v>15</v>
      </c>
      <c r="G2904" t="s">
        <v>393</v>
      </c>
      <c r="H2904" t="s">
        <v>17</v>
      </c>
      <c r="I2904" t="s">
        <v>48</v>
      </c>
      <c r="J2904" t="s">
        <v>400</v>
      </c>
      <c r="K2904" s="1">
        <v>0.66957109953703708</v>
      </c>
      <c r="L2904">
        <f>YEAR(Coffe_sales[[#This Row],[Date]])</f>
        <v>2025</v>
      </c>
    </row>
    <row r="2905" spans="1:12" x14ac:dyDescent="0.2">
      <c r="A2905" t="s">
        <v>27</v>
      </c>
      <c r="B2905" t="s">
        <v>12</v>
      </c>
      <c r="C2905">
        <v>35.76</v>
      </c>
      <c r="D2905" t="s">
        <v>13</v>
      </c>
      <c r="E2905" t="s">
        <v>22</v>
      </c>
      <c r="F2905" t="s">
        <v>15</v>
      </c>
      <c r="G2905" t="s">
        <v>393</v>
      </c>
      <c r="H2905" t="s">
        <v>17</v>
      </c>
      <c r="I2905" t="s">
        <v>48</v>
      </c>
      <c r="J2905" t="s">
        <v>400</v>
      </c>
      <c r="K2905" s="1">
        <v>0.68209596064814815</v>
      </c>
      <c r="L2905">
        <f>YEAR(Coffe_sales[[#This Row],[Date]])</f>
        <v>2025</v>
      </c>
    </row>
    <row r="2906" spans="1:12" x14ac:dyDescent="0.2">
      <c r="A2906" t="s">
        <v>27</v>
      </c>
      <c r="B2906" t="s">
        <v>12</v>
      </c>
      <c r="C2906">
        <v>35.76</v>
      </c>
      <c r="D2906" t="s">
        <v>21</v>
      </c>
      <c r="E2906" t="s">
        <v>22</v>
      </c>
      <c r="F2906" t="s">
        <v>15</v>
      </c>
      <c r="G2906" t="s">
        <v>393</v>
      </c>
      <c r="H2906" t="s">
        <v>17</v>
      </c>
      <c r="I2906" t="s">
        <v>48</v>
      </c>
      <c r="J2906" t="s">
        <v>400</v>
      </c>
      <c r="K2906" s="1">
        <v>0.68280180555555559</v>
      </c>
      <c r="L2906">
        <f>YEAR(Coffe_sales[[#This Row],[Date]])</f>
        <v>2025</v>
      </c>
    </row>
    <row r="2907" spans="1:12" x14ac:dyDescent="0.2">
      <c r="A2907" t="s">
        <v>27</v>
      </c>
      <c r="B2907" t="s">
        <v>12</v>
      </c>
      <c r="C2907">
        <v>35.76</v>
      </c>
      <c r="D2907" t="s">
        <v>13</v>
      </c>
      <c r="E2907" t="s">
        <v>22</v>
      </c>
      <c r="F2907" t="s">
        <v>15</v>
      </c>
      <c r="G2907" t="s">
        <v>393</v>
      </c>
      <c r="H2907" t="s">
        <v>17</v>
      </c>
      <c r="I2907" t="s">
        <v>48</v>
      </c>
      <c r="J2907" t="s">
        <v>400</v>
      </c>
      <c r="K2907" s="1">
        <v>0.68374067129629634</v>
      </c>
      <c r="L2907">
        <f>YEAR(Coffe_sales[[#This Row],[Date]])</f>
        <v>2025</v>
      </c>
    </row>
    <row r="2908" spans="1:12" x14ac:dyDescent="0.2">
      <c r="A2908" t="s">
        <v>28</v>
      </c>
      <c r="B2908" t="s">
        <v>12</v>
      </c>
      <c r="C2908">
        <v>35.76</v>
      </c>
      <c r="D2908" t="s">
        <v>31</v>
      </c>
      <c r="E2908" t="s">
        <v>29</v>
      </c>
      <c r="F2908" t="s">
        <v>15</v>
      </c>
      <c r="G2908" t="s">
        <v>393</v>
      </c>
      <c r="H2908" t="s">
        <v>17</v>
      </c>
      <c r="I2908" t="s">
        <v>48</v>
      </c>
      <c r="J2908" t="s">
        <v>400</v>
      </c>
      <c r="K2908" s="1">
        <v>0.77959190972222225</v>
      </c>
      <c r="L2908">
        <f>YEAR(Coffe_sales[[#This Row],[Date]])</f>
        <v>2025</v>
      </c>
    </row>
    <row r="2909" spans="1:12" x14ac:dyDescent="0.2">
      <c r="A2909" t="s">
        <v>28</v>
      </c>
      <c r="B2909" t="s">
        <v>12</v>
      </c>
      <c r="C2909">
        <v>35.76</v>
      </c>
      <c r="D2909" t="s">
        <v>31</v>
      </c>
      <c r="E2909" t="s">
        <v>29</v>
      </c>
      <c r="F2909" t="s">
        <v>15</v>
      </c>
      <c r="G2909" t="s">
        <v>393</v>
      </c>
      <c r="H2909" t="s">
        <v>17</v>
      </c>
      <c r="I2909" t="s">
        <v>48</v>
      </c>
      <c r="J2909" t="s">
        <v>400</v>
      </c>
      <c r="K2909" s="1">
        <v>0.78027875000000002</v>
      </c>
      <c r="L2909">
        <f>YEAR(Coffe_sales[[#This Row],[Date]])</f>
        <v>2025</v>
      </c>
    </row>
    <row r="2910" spans="1:12" x14ac:dyDescent="0.2">
      <c r="A2910" t="s">
        <v>28</v>
      </c>
      <c r="B2910" t="s">
        <v>12</v>
      </c>
      <c r="C2910">
        <v>25.96</v>
      </c>
      <c r="D2910" t="s">
        <v>41</v>
      </c>
      <c r="E2910" t="s">
        <v>29</v>
      </c>
      <c r="F2910" t="s">
        <v>15</v>
      </c>
      <c r="G2910" t="s">
        <v>393</v>
      </c>
      <c r="H2910" t="s">
        <v>17</v>
      </c>
      <c r="I2910" t="s">
        <v>48</v>
      </c>
      <c r="J2910" t="s">
        <v>400</v>
      </c>
      <c r="K2910" s="1">
        <v>0.78091252314814819</v>
      </c>
      <c r="L2910">
        <f>YEAR(Coffe_sales[[#This Row],[Date]])</f>
        <v>2025</v>
      </c>
    </row>
    <row r="2911" spans="1:12" x14ac:dyDescent="0.2">
      <c r="A2911" t="s">
        <v>28</v>
      </c>
      <c r="B2911" t="s">
        <v>12</v>
      </c>
      <c r="C2911">
        <v>35.76</v>
      </c>
      <c r="D2911" t="s">
        <v>31</v>
      </c>
      <c r="E2911" t="s">
        <v>29</v>
      </c>
      <c r="F2911" t="s">
        <v>15</v>
      </c>
      <c r="G2911" t="s">
        <v>393</v>
      </c>
      <c r="H2911" t="s">
        <v>17</v>
      </c>
      <c r="I2911" t="s">
        <v>48</v>
      </c>
      <c r="J2911" t="s">
        <v>400</v>
      </c>
      <c r="K2911" s="1">
        <v>0.78151709490740739</v>
      </c>
      <c r="L2911">
        <f>YEAR(Coffe_sales[[#This Row],[Date]])</f>
        <v>2025</v>
      </c>
    </row>
    <row r="2912" spans="1:12" x14ac:dyDescent="0.2">
      <c r="A2912" t="s">
        <v>91</v>
      </c>
      <c r="B2912" t="s">
        <v>12</v>
      </c>
      <c r="C2912">
        <v>35.76</v>
      </c>
      <c r="D2912" t="s">
        <v>31</v>
      </c>
      <c r="E2912" t="s">
        <v>29</v>
      </c>
      <c r="F2912" t="s">
        <v>15</v>
      </c>
      <c r="G2912" t="s">
        <v>393</v>
      </c>
      <c r="H2912" t="s">
        <v>17</v>
      </c>
      <c r="I2912" t="s">
        <v>48</v>
      </c>
      <c r="J2912" t="s">
        <v>400</v>
      </c>
      <c r="K2912" s="1">
        <v>0.84096542824074072</v>
      </c>
      <c r="L2912">
        <f>YEAR(Coffe_sales[[#This Row],[Date]])</f>
        <v>2025</v>
      </c>
    </row>
    <row r="2913" spans="1:12" x14ac:dyDescent="0.2">
      <c r="A2913" t="s">
        <v>91</v>
      </c>
      <c r="B2913" t="s">
        <v>12</v>
      </c>
      <c r="C2913">
        <v>25.96</v>
      </c>
      <c r="D2913" t="s">
        <v>41</v>
      </c>
      <c r="E2913" t="s">
        <v>29</v>
      </c>
      <c r="F2913" t="s">
        <v>15</v>
      </c>
      <c r="G2913" t="s">
        <v>393</v>
      </c>
      <c r="H2913" t="s">
        <v>17</v>
      </c>
      <c r="I2913" t="s">
        <v>48</v>
      </c>
      <c r="J2913" t="s">
        <v>400</v>
      </c>
      <c r="K2913" s="1">
        <v>0.85482567129629627</v>
      </c>
      <c r="L2913">
        <f>YEAR(Coffe_sales[[#This Row],[Date]])</f>
        <v>2025</v>
      </c>
    </row>
    <row r="2914" spans="1:12" x14ac:dyDescent="0.2">
      <c r="A2914" t="s">
        <v>46</v>
      </c>
      <c r="B2914" t="s">
        <v>12</v>
      </c>
      <c r="C2914">
        <v>25.96</v>
      </c>
      <c r="D2914" t="s">
        <v>24</v>
      </c>
      <c r="E2914" t="s">
        <v>14</v>
      </c>
      <c r="F2914" t="s">
        <v>32</v>
      </c>
      <c r="G2914" t="s">
        <v>393</v>
      </c>
      <c r="H2914" t="s">
        <v>33</v>
      </c>
      <c r="I2914" t="s">
        <v>48</v>
      </c>
      <c r="J2914" t="s">
        <v>401</v>
      </c>
      <c r="K2914" s="1">
        <v>0.37619135416666666</v>
      </c>
      <c r="L2914">
        <f>YEAR(Coffe_sales[[#This Row],[Date]])</f>
        <v>2025</v>
      </c>
    </row>
    <row r="2915" spans="1:12" x14ac:dyDescent="0.2">
      <c r="A2915" t="s">
        <v>11</v>
      </c>
      <c r="B2915" t="s">
        <v>12</v>
      </c>
      <c r="C2915">
        <v>30.86</v>
      </c>
      <c r="D2915" t="s">
        <v>26</v>
      </c>
      <c r="E2915" t="s">
        <v>14</v>
      </c>
      <c r="F2915" t="s">
        <v>32</v>
      </c>
      <c r="G2915" t="s">
        <v>393</v>
      </c>
      <c r="H2915" t="s">
        <v>33</v>
      </c>
      <c r="I2915" t="s">
        <v>48</v>
      </c>
      <c r="J2915" t="s">
        <v>401</v>
      </c>
      <c r="K2915" s="1">
        <v>0.45575335648148146</v>
      </c>
      <c r="L2915">
        <f>YEAR(Coffe_sales[[#This Row],[Date]])</f>
        <v>2025</v>
      </c>
    </row>
    <row r="2916" spans="1:12" x14ac:dyDescent="0.2">
      <c r="A2916" t="s">
        <v>35</v>
      </c>
      <c r="B2916" t="s">
        <v>12</v>
      </c>
      <c r="C2916">
        <v>25.96</v>
      </c>
      <c r="D2916" t="s">
        <v>41</v>
      </c>
      <c r="E2916" t="s">
        <v>14</v>
      </c>
      <c r="F2916" t="s">
        <v>32</v>
      </c>
      <c r="G2916" t="s">
        <v>393</v>
      </c>
      <c r="H2916" t="s">
        <v>33</v>
      </c>
      <c r="I2916" t="s">
        <v>48</v>
      </c>
      <c r="J2916" t="s">
        <v>401</v>
      </c>
      <c r="K2916" s="1">
        <v>0.4602012152777778</v>
      </c>
      <c r="L2916">
        <f>YEAR(Coffe_sales[[#This Row],[Date]])</f>
        <v>2025</v>
      </c>
    </row>
    <row r="2917" spans="1:12" x14ac:dyDescent="0.2">
      <c r="A2917" t="s">
        <v>35</v>
      </c>
      <c r="B2917" t="s">
        <v>12</v>
      </c>
      <c r="C2917">
        <v>25.96</v>
      </c>
      <c r="D2917" t="s">
        <v>24</v>
      </c>
      <c r="E2917" t="s">
        <v>14</v>
      </c>
      <c r="F2917" t="s">
        <v>32</v>
      </c>
      <c r="G2917" t="s">
        <v>393</v>
      </c>
      <c r="H2917" t="s">
        <v>33</v>
      </c>
      <c r="I2917" t="s">
        <v>48</v>
      </c>
      <c r="J2917" t="s">
        <v>401</v>
      </c>
      <c r="K2917" s="1">
        <v>0.48580881944444443</v>
      </c>
      <c r="L2917">
        <f>YEAR(Coffe_sales[[#This Row],[Date]])</f>
        <v>2025</v>
      </c>
    </row>
    <row r="2918" spans="1:12" x14ac:dyDescent="0.2">
      <c r="A2918" t="s">
        <v>20</v>
      </c>
      <c r="B2918" t="s">
        <v>12</v>
      </c>
      <c r="C2918">
        <v>25.96</v>
      </c>
      <c r="D2918" t="s">
        <v>24</v>
      </c>
      <c r="E2918" t="s">
        <v>22</v>
      </c>
      <c r="F2918" t="s">
        <v>32</v>
      </c>
      <c r="G2918" t="s">
        <v>393</v>
      </c>
      <c r="H2918" t="s">
        <v>33</v>
      </c>
      <c r="I2918" t="s">
        <v>48</v>
      </c>
      <c r="J2918" t="s">
        <v>401</v>
      </c>
      <c r="K2918" s="1">
        <v>0.53209305555555553</v>
      </c>
      <c r="L2918">
        <f>YEAR(Coffe_sales[[#This Row],[Date]])</f>
        <v>2025</v>
      </c>
    </row>
    <row r="2919" spans="1:12" x14ac:dyDescent="0.2">
      <c r="A2919" t="s">
        <v>23</v>
      </c>
      <c r="B2919" t="s">
        <v>12</v>
      </c>
      <c r="C2919">
        <v>25.96</v>
      </c>
      <c r="D2919" t="s">
        <v>24</v>
      </c>
      <c r="E2919" t="s">
        <v>22</v>
      </c>
      <c r="F2919" t="s">
        <v>32</v>
      </c>
      <c r="G2919" t="s">
        <v>393</v>
      </c>
      <c r="H2919" t="s">
        <v>33</v>
      </c>
      <c r="I2919" t="s">
        <v>48</v>
      </c>
      <c r="J2919" t="s">
        <v>401</v>
      </c>
      <c r="K2919" s="1">
        <v>0.56027300925925927</v>
      </c>
      <c r="L2919">
        <f>YEAR(Coffe_sales[[#This Row],[Date]])</f>
        <v>2025</v>
      </c>
    </row>
    <row r="2920" spans="1:12" x14ac:dyDescent="0.2">
      <c r="A2920" t="s">
        <v>25</v>
      </c>
      <c r="B2920" t="s">
        <v>12</v>
      </c>
      <c r="C2920">
        <v>25.96</v>
      </c>
      <c r="D2920" t="s">
        <v>24</v>
      </c>
      <c r="E2920" t="s">
        <v>22</v>
      </c>
      <c r="F2920" t="s">
        <v>32</v>
      </c>
      <c r="G2920" t="s">
        <v>393</v>
      </c>
      <c r="H2920" t="s">
        <v>33</v>
      </c>
      <c r="I2920" t="s">
        <v>48</v>
      </c>
      <c r="J2920" t="s">
        <v>401</v>
      </c>
      <c r="K2920" s="1">
        <v>0.62990930555555558</v>
      </c>
      <c r="L2920">
        <f>YEAR(Coffe_sales[[#This Row],[Date]])</f>
        <v>2025</v>
      </c>
    </row>
    <row r="2921" spans="1:12" x14ac:dyDescent="0.2">
      <c r="A2921" t="s">
        <v>25</v>
      </c>
      <c r="B2921" t="s">
        <v>12</v>
      </c>
      <c r="C2921">
        <v>25.96</v>
      </c>
      <c r="D2921" t="s">
        <v>24</v>
      </c>
      <c r="E2921" t="s">
        <v>22</v>
      </c>
      <c r="F2921" t="s">
        <v>32</v>
      </c>
      <c r="G2921" t="s">
        <v>393</v>
      </c>
      <c r="H2921" t="s">
        <v>33</v>
      </c>
      <c r="I2921" t="s">
        <v>48</v>
      </c>
      <c r="J2921" t="s">
        <v>401</v>
      </c>
      <c r="K2921" s="1">
        <v>0.63066215277777782</v>
      </c>
      <c r="L2921">
        <f>YEAR(Coffe_sales[[#This Row],[Date]])</f>
        <v>2025</v>
      </c>
    </row>
    <row r="2922" spans="1:12" x14ac:dyDescent="0.2">
      <c r="A2922" t="s">
        <v>123</v>
      </c>
      <c r="B2922" t="s">
        <v>12</v>
      </c>
      <c r="C2922">
        <v>35.76</v>
      </c>
      <c r="D2922" t="s">
        <v>31</v>
      </c>
      <c r="E2922" t="s">
        <v>14</v>
      </c>
      <c r="F2922" t="s">
        <v>38</v>
      </c>
      <c r="G2922" t="s">
        <v>393</v>
      </c>
      <c r="H2922" t="s">
        <v>39</v>
      </c>
      <c r="I2922" t="s">
        <v>48</v>
      </c>
      <c r="J2922" t="s">
        <v>402</v>
      </c>
      <c r="K2922" s="1">
        <v>0.36764017361111112</v>
      </c>
      <c r="L2922">
        <f>YEAR(Coffe_sales[[#This Row],[Date]])</f>
        <v>2025</v>
      </c>
    </row>
    <row r="2923" spans="1:12" x14ac:dyDescent="0.2">
      <c r="A2923" t="s">
        <v>11</v>
      </c>
      <c r="B2923" t="s">
        <v>12</v>
      </c>
      <c r="C2923">
        <v>30.86</v>
      </c>
      <c r="D2923" t="s">
        <v>26</v>
      </c>
      <c r="E2923" t="s">
        <v>14</v>
      </c>
      <c r="F2923" t="s">
        <v>38</v>
      </c>
      <c r="G2923" t="s">
        <v>393</v>
      </c>
      <c r="H2923" t="s">
        <v>39</v>
      </c>
      <c r="I2923" t="s">
        <v>48</v>
      </c>
      <c r="J2923" t="s">
        <v>402</v>
      </c>
      <c r="K2923" s="1">
        <v>0.4383007523148148</v>
      </c>
      <c r="L2923">
        <f>YEAR(Coffe_sales[[#This Row],[Date]])</f>
        <v>2025</v>
      </c>
    </row>
    <row r="2924" spans="1:12" x14ac:dyDescent="0.2">
      <c r="A2924" t="s">
        <v>11</v>
      </c>
      <c r="B2924" t="s">
        <v>12</v>
      </c>
      <c r="C2924">
        <v>25.96</v>
      </c>
      <c r="D2924" t="s">
        <v>24</v>
      </c>
      <c r="E2924" t="s">
        <v>14</v>
      </c>
      <c r="F2924" t="s">
        <v>38</v>
      </c>
      <c r="G2924" t="s">
        <v>393</v>
      </c>
      <c r="H2924" t="s">
        <v>39</v>
      </c>
      <c r="I2924" t="s">
        <v>48</v>
      </c>
      <c r="J2924" t="s">
        <v>402</v>
      </c>
      <c r="K2924" s="1">
        <v>0.45240762731481482</v>
      </c>
      <c r="L2924">
        <f>YEAR(Coffe_sales[[#This Row],[Date]])</f>
        <v>2025</v>
      </c>
    </row>
    <row r="2925" spans="1:12" x14ac:dyDescent="0.2">
      <c r="A2925" t="s">
        <v>20</v>
      </c>
      <c r="B2925" t="s">
        <v>12</v>
      </c>
      <c r="C2925">
        <v>35.76</v>
      </c>
      <c r="D2925" t="s">
        <v>13</v>
      </c>
      <c r="E2925" t="s">
        <v>22</v>
      </c>
      <c r="F2925" t="s">
        <v>38</v>
      </c>
      <c r="G2925" t="s">
        <v>393</v>
      </c>
      <c r="H2925" t="s">
        <v>39</v>
      </c>
      <c r="I2925" t="s">
        <v>48</v>
      </c>
      <c r="J2925" t="s">
        <v>402</v>
      </c>
      <c r="K2925" s="1">
        <v>0.50353017361111108</v>
      </c>
      <c r="L2925">
        <f>YEAR(Coffe_sales[[#This Row],[Date]])</f>
        <v>2025</v>
      </c>
    </row>
    <row r="2926" spans="1:12" x14ac:dyDescent="0.2">
      <c r="A2926" t="s">
        <v>25</v>
      </c>
      <c r="B2926" t="s">
        <v>12</v>
      </c>
      <c r="C2926">
        <v>35.76</v>
      </c>
      <c r="D2926" t="s">
        <v>31</v>
      </c>
      <c r="E2926" t="s">
        <v>22</v>
      </c>
      <c r="F2926" t="s">
        <v>38</v>
      </c>
      <c r="G2926" t="s">
        <v>393</v>
      </c>
      <c r="H2926" t="s">
        <v>39</v>
      </c>
      <c r="I2926" t="s">
        <v>48</v>
      </c>
      <c r="J2926" t="s">
        <v>402</v>
      </c>
      <c r="K2926" s="1">
        <v>0.63413392361111109</v>
      </c>
      <c r="L2926">
        <f>YEAR(Coffe_sales[[#This Row],[Date]])</f>
        <v>2025</v>
      </c>
    </row>
    <row r="2927" spans="1:12" x14ac:dyDescent="0.2">
      <c r="A2927" t="s">
        <v>25</v>
      </c>
      <c r="B2927" t="s">
        <v>12</v>
      </c>
      <c r="C2927">
        <v>35.76</v>
      </c>
      <c r="D2927" t="s">
        <v>13</v>
      </c>
      <c r="E2927" t="s">
        <v>22</v>
      </c>
      <c r="F2927" t="s">
        <v>38</v>
      </c>
      <c r="G2927" t="s">
        <v>393</v>
      </c>
      <c r="H2927" t="s">
        <v>39</v>
      </c>
      <c r="I2927" t="s">
        <v>48</v>
      </c>
      <c r="J2927" t="s">
        <v>402</v>
      </c>
      <c r="K2927" s="1">
        <v>0.63474936342592592</v>
      </c>
      <c r="L2927">
        <f>YEAR(Coffe_sales[[#This Row],[Date]])</f>
        <v>2025</v>
      </c>
    </row>
    <row r="2928" spans="1:12" x14ac:dyDescent="0.2">
      <c r="A2928" t="s">
        <v>25</v>
      </c>
      <c r="B2928" t="s">
        <v>12</v>
      </c>
      <c r="C2928">
        <v>35.76</v>
      </c>
      <c r="D2928" t="s">
        <v>21</v>
      </c>
      <c r="E2928" t="s">
        <v>22</v>
      </c>
      <c r="F2928" t="s">
        <v>38</v>
      </c>
      <c r="G2928" t="s">
        <v>393</v>
      </c>
      <c r="H2928" t="s">
        <v>39</v>
      </c>
      <c r="I2928" t="s">
        <v>48</v>
      </c>
      <c r="J2928" t="s">
        <v>402</v>
      </c>
      <c r="K2928" s="1">
        <v>0.63608679398148149</v>
      </c>
      <c r="L2928">
        <f>YEAR(Coffe_sales[[#This Row],[Date]])</f>
        <v>2025</v>
      </c>
    </row>
    <row r="2929" spans="1:12" x14ac:dyDescent="0.2">
      <c r="A2929" t="s">
        <v>25</v>
      </c>
      <c r="B2929" t="s">
        <v>12</v>
      </c>
      <c r="C2929">
        <v>35.76</v>
      </c>
      <c r="D2929" t="s">
        <v>31</v>
      </c>
      <c r="E2929" t="s">
        <v>22</v>
      </c>
      <c r="F2929" t="s">
        <v>38</v>
      </c>
      <c r="G2929" t="s">
        <v>393</v>
      </c>
      <c r="H2929" t="s">
        <v>39</v>
      </c>
      <c r="I2929" t="s">
        <v>48</v>
      </c>
      <c r="J2929" t="s">
        <v>402</v>
      </c>
      <c r="K2929" s="1">
        <v>0.63671555555555559</v>
      </c>
      <c r="L2929">
        <f>YEAR(Coffe_sales[[#This Row],[Date]])</f>
        <v>2025</v>
      </c>
    </row>
    <row r="2930" spans="1:12" x14ac:dyDescent="0.2">
      <c r="A2930" t="s">
        <v>27</v>
      </c>
      <c r="B2930" t="s">
        <v>12</v>
      </c>
      <c r="C2930">
        <v>25.96</v>
      </c>
      <c r="D2930" t="s">
        <v>41</v>
      </c>
      <c r="E2930" t="s">
        <v>22</v>
      </c>
      <c r="F2930" t="s">
        <v>38</v>
      </c>
      <c r="G2930" t="s">
        <v>393</v>
      </c>
      <c r="H2930" t="s">
        <v>39</v>
      </c>
      <c r="I2930" t="s">
        <v>48</v>
      </c>
      <c r="J2930" t="s">
        <v>402</v>
      </c>
      <c r="K2930" s="1">
        <v>0.68077343749999997</v>
      </c>
      <c r="L2930">
        <f>YEAR(Coffe_sales[[#This Row],[Date]])</f>
        <v>2025</v>
      </c>
    </row>
    <row r="2931" spans="1:12" x14ac:dyDescent="0.2">
      <c r="A2931" t="s">
        <v>39</v>
      </c>
      <c r="B2931" t="s">
        <v>12</v>
      </c>
      <c r="C2931">
        <v>25.96</v>
      </c>
      <c r="D2931" t="s">
        <v>24</v>
      </c>
      <c r="E2931" t="s">
        <v>14</v>
      </c>
      <c r="F2931" t="s">
        <v>42</v>
      </c>
      <c r="G2931" t="s">
        <v>393</v>
      </c>
      <c r="H2931" t="s">
        <v>43</v>
      </c>
      <c r="I2931" t="s">
        <v>48</v>
      </c>
      <c r="J2931" t="s">
        <v>403</v>
      </c>
      <c r="K2931" s="1">
        <v>0.29290021990740739</v>
      </c>
      <c r="L2931">
        <f>YEAR(Coffe_sales[[#This Row],[Date]])</f>
        <v>2025</v>
      </c>
    </row>
    <row r="2932" spans="1:12" x14ac:dyDescent="0.2">
      <c r="A2932" t="s">
        <v>123</v>
      </c>
      <c r="B2932" t="s">
        <v>12</v>
      </c>
      <c r="C2932">
        <v>25.96</v>
      </c>
      <c r="D2932" t="s">
        <v>24</v>
      </c>
      <c r="E2932" t="s">
        <v>14</v>
      </c>
      <c r="F2932" t="s">
        <v>42</v>
      </c>
      <c r="G2932" t="s">
        <v>393</v>
      </c>
      <c r="H2932" t="s">
        <v>43</v>
      </c>
      <c r="I2932" t="s">
        <v>48</v>
      </c>
      <c r="J2932" t="s">
        <v>403</v>
      </c>
      <c r="K2932" s="1">
        <v>0.34481626157407408</v>
      </c>
      <c r="L2932">
        <f>YEAR(Coffe_sales[[#This Row],[Date]])</f>
        <v>2025</v>
      </c>
    </row>
    <row r="2933" spans="1:12" x14ac:dyDescent="0.2">
      <c r="A2933" t="s">
        <v>123</v>
      </c>
      <c r="B2933" t="s">
        <v>12</v>
      </c>
      <c r="C2933">
        <v>25.96</v>
      </c>
      <c r="D2933" t="s">
        <v>24</v>
      </c>
      <c r="E2933" t="s">
        <v>14</v>
      </c>
      <c r="F2933" t="s">
        <v>42</v>
      </c>
      <c r="G2933" t="s">
        <v>393</v>
      </c>
      <c r="H2933" t="s">
        <v>43</v>
      </c>
      <c r="I2933" t="s">
        <v>48</v>
      </c>
      <c r="J2933" t="s">
        <v>403</v>
      </c>
      <c r="K2933" s="1">
        <v>0.35065265046296296</v>
      </c>
      <c r="L2933">
        <f>YEAR(Coffe_sales[[#This Row],[Date]])</f>
        <v>2025</v>
      </c>
    </row>
    <row r="2934" spans="1:12" x14ac:dyDescent="0.2">
      <c r="A2934" t="s">
        <v>35</v>
      </c>
      <c r="B2934" t="s">
        <v>12</v>
      </c>
      <c r="C2934">
        <v>30.86</v>
      </c>
      <c r="D2934" t="s">
        <v>26</v>
      </c>
      <c r="E2934" t="s">
        <v>14</v>
      </c>
      <c r="F2934" t="s">
        <v>42</v>
      </c>
      <c r="G2934" t="s">
        <v>393</v>
      </c>
      <c r="H2934" t="s">
        <v>43</v>
      </c>
      <c r="I2934" t="s">
        <v>48</v>
      </c>
      <c r="J2934" t="s">
        <v>403</v>
      </c>
      <c r="K2934" s="1">
        <v>0.46647013888888889</v>
      </c>
      <c r="L2934">
        <f>YEAR(Coffe_sales[[#This Row],[Date]])</f>
        <v>2025</v>
      </c>
    </row>
    <row r="2935" spans="1:12" x14ac:dyDescent="0.2">
      <c r="A2935" t="s">
        <v>23</v>
      </c>
      <c r="B2935" t="s">
        <v>12</v>
      </c>
      <c r="C2935">
        <v>25.96</v>
      </c>
      <c r="D2935" t="s">
        <v>24</v>
      </c>
      <c r="E2935" t="s">
        <v>22</v>
      </c>
      <c r="F2935" t="s">
        <v>42</v>
      </c>
      <c r="G2935" t="s">
        <v>393</v>
      </c>
      <c r="H2935" t="s">
        <v>43</v>
      </c>
      <c r="I2935" t="s">
        <v>48</v>
      </c>
      <c r="J2935" t="s">
        <v>403</v>
      </c>
      <c r="K2935" s="1">
        <v>0.54780280092592593</v>
      </c>
      <c r="L2935">
        <f>YEAR(Coffe_sales[[#This Row],[Date]])</f>
        <v>2025</v>
      </c>
    </row>
    <row r="2936" spans="1:12" x14ac:dyDescent="0.2">
      <c r="A2936" t="s">
        <v>23</v>
      </c>
      <c r="B2936" t="s">
        <v>12</v>
      </c>
      <c r="C2936">
        <v>35.76</v>
      </c>
      <c r="D2936" t="s">
        <v>31</v>
      </c>
      <c r="E2936" t="s">
        <v>22</v>
      </c>
      <c r="F2936" t="s">
        <v>42</v>
      </c>
      <c r="G2936" t="s">
        <v>393</v>
      </c>
      <c r="H2936" t="s">
        <v>43</v>
      </c>
      <c r="I2936" t="s">
        <v>48</v>
      </c>
      <c r="J2936" t="s">
        <v>403</v>
      </c>
      <c r="K2936" s="1">
        <v>0.54937472222222217</v>
      </c>
      <c r="L2936">
        <f>YEAR(Coffe_sales[[#This Row],[Date]])</f>
        <v>2025</v>
      </c>
    </row>
    <row r="2937" spans="1:12" x14ac:dyDescent="0.2">
      <c r="A2937" t="s">
        <v>23</v>
      </c>
      <c r="B2937" t="s">
        <v>12</v>
      </c>
      <c r="C2937">
        <v>30.86</v>
      </c>
      <c r="D2937" t="s">
        <v>26</v>
      </c>
      <c r="E2937" t="s">
        <v>22</v>
      </c>
      <c r="F2937" t="s">
        <v>42</v>
      </c>
      <c r="G2937" t="s">
        <v>393</v>
      </c>
      <c r="H2937" t="s">
        <v>43</v>
      </c>
      <c r="I2937" t="s">
        <v>48</v>
      </c>
      <c r="J2937" t="s">
        <v>403</v>
      </c>
      <c r="K2937" s="1">
        <v>0.5603549884259259</v>
      </c>
      <c r="L2937">
        <f>YEAR(Coffe_sales[[#This Row],[Date]])</f>
        <v>2025</v>
      </c>
    </row>
    <row r="2938" spans="1:12" x14ac:dyDescent="0.2">
      <c r="A2938" t="s">
        <v>23</v>
      </c>
      <c r="B2938" t="s">
        <v>12</v>
      </c>
      <c r="C2938">
        <v>25.96</v>
      </c>
      <c r="D2938" t="s">
        <v>24</v>
      </c>
      <c r="E2938" t="s">
        <v>22</v>
      </c>
      <c r="F2938" t="s">
        <v>42</v>
      </c>
      <c r="G2938" t="s">
        <v>393</v>
      </c>
      <c r="H2938" t="s">
        <v>43</v>
      </c>
      <c r="I2938" t="s">
        <v>48</v>
      </c>
      <c r="J2938" t="s">
        <v>403</v>
      </c>
      <c r="K2938" s="1">
        <v>0.56959871527777772</v>
      </c>
      <c r="L2938">
        <f>YEAR(Coffe_sales[[#This Row],[Date]])</f>
        <v>2025</v>
      </c>
    </row>
    <row r="2939" spans="1:12" x14ac:dyDescent="0.2">
      <c r="A2939" t="s">
        <v>36</v>
      </c>
      <c r="B2939" t="s">
        <v>12</v>
      </c>
      <c r="C2939">
        <v>35.76</v>
      </c>
      <c r="D2939" t="s">
        <v>13</v>
      </c>
      <c r="E2939" t="s">
        <v>22</v>
      </c>
      <c r="F2939" t="s">
        <v>42</v>
      </c>
      <c r="G2939" t="s">
        <v>393</v>
      </c>
      <c r="H2939" t="s">
        <v>43</v>
      </c>
      <c r="I2939" t="s">
        <v>48</v>
      </c>
      <c r="J2939" t="s">
        <v>403</v>
      </c>
      <c r="K2939" s="1">
        <v>0.58463008101851854</v>
      </c>
      <c r="L2939">
        <f>YEAR(Coffe_sales[[#This Row],[Date]])</f>
        <v>2025</v>
      </c>
    </row>
    <row r="2940" spans="1:12" x14ac:dyDescent="0.2">
      <c r="A2940" t="s">
        <v>36</v>
      </c>
      <c r="B2940" t="s">
        <v>12</v>
      </c>
      <c r="C2940">
        <v>25.96</v>
      </c>
      <c r="D2940" t="s">
        <v>24</v>
      </c>
      <c r="E2940" t="s">
        <v>22</v>
      </c>
      <c r="F2940" t="s">
        <v>42</v>
      </c>
      <c r="G2940" t="s">
        <v>393</v>
      </c>
      <c r="H2940" t="s">
        <v>43</v>
      </c>
      <c r="I2940" t="s">
        <v>48</v>
      </c>
      <c r="J2940" t="s">
        <v>403</v>
      </c>
      <c r="K2940" s="1">
        <v>0.58867312500000002</v>
      </c>
      <c r="L2940">
        <f>YEAR(Coffe_sales[[#This Row],[Date]])</f>
        <v>2025</v>
      </c>
    </row>
    <row r="2941" spans="1:12" x14ac:dyDescent="0.2">
      <c r="A2941" t="s">
        <v>36</v>
      </c>
      <c r="B2941" t="s">
        <v>12</v>
      </c>
      <c r="C2941">
        <v>35.76</v>
      </c>
      <c r="D2941" t="s">
        <v>31</v>
      </c>
      <c r="E2941" t="s">
        <v>22</v>
      </c>
      <c r="F2941" t="s">
        <v>42</v>
      </c>
      <c r="G2941" t="s">
        <v>393</v>
      </c>
      <c r="H2941" t="s">
        <v>43</v>
      </c>
      <c r="I2941" t="s">
        <v>48</v>
      </c>
      <c r="J2941" t="s">
        <v>403</v>
      </c>
      <c r="K2941" s="1">
        <v>0.59151002314814816</v>
      </c>
      <c r="L2941">
        <f>YEAR(Coffe_sales[[#This Row],[Date]])</f>
        <v>2025</v>
      </c>
    </row>
    <row r="2942" spans="1:12" x14ac:dyDescent="0.2">
      <c r="A2942" t="s">
        <v>36</v>
      </c>
      <c r="B2942" t="s">
        <v>12</v>
      </c>
      <c r="C2942">
        <v>35.76</v>
      </c>
      <c r="D2942" t="s">
        <v>31</v>
      </c>
      <c r="E2942" t="s">
        <v>22</v>
      </c>
      <c r="F2942" t="s">
        <v>42</v>
      </c>
      <c r="G2942" t="s">
        <v>393</v>
      </c>
      <c r="H2942" t="s">
        <v>43</v>
      </c>
      <c r="I2942" t="s">
        <v>48</v>
      </c>
      <c r="J2942" t="s">
        <v>403</v>
      </c>
      <c r="K2942" s="1">
        <v>0.59426599537037039</v>
      </c>
      <c r="L2942">
        <f>YEAR(Coffe_sales[[#This Row],[Date]])</f>
        <v>2025</v>
      </c>
    </row>
    <row r="2943" spans="1:12" x14ac:dyDescent="0.2">
      <c r="A2943" t="s">
        <v>25</v>
      </c>
      <c r="B2943" t="s">
        <v>12</v>
      </c>
      <c r="C2943">
        <v>35.76</v>
      </c>
      <c r="D2943" t="s">
        <v>52</v>
      </c>
      <c r="E2943" t="s">
        <v>22</v>
      </c>
      <c r="F2943" t="s">
        <v>42</v>
      </c>
      <c r="G2943" t="s">
        <v>393</v>
      </c>
      <c r="H2943" t="s">
        <v>43</v>
      </c>
      <c r="I2943" t="s">
        <v>48</v>
      </c>
      <c r="J2943" t="s">
        <v>403</v>
      </c>
      <c r="K2943" s="1">
        <v>0.62633043981481484</v>
      </c>
      <c r="L2943">
        <f>YEAR(Coffe_sales[[#This Row],[Date]])</f>
        <v>2025</v>
      </c>
    </row>
    <row r="2944" spans="1:12" x14ac:dyDescent="0.2">
      <c r="A2944" t="s">
        <v>25</v>
      </c>
      <c r="B2944" t="s">
        <v>12</v>
      </c>
      <c r="C2944">
        <v>30.86</v>
      </c>
      <c r="D2944" t="s">
        <v>26</v>
      </c>
      <c r="E2944" t="s">
        <v>22</v>
      </c>
      <c r="F2944" t="s">
        <v>42</v>
      </c>
      <c r="G2944" t="s">
        <v>393</v>
      </c>
      <c r="H2944" t="s">
        <v>43</v>
      </c>
      <c r="I2944" t="s">
        <v>48</v>
      </c>
      <c r="J2944" t="s">
        <v>403</v>
      </c>
      <c r="K2944" s="1">
        <v>0.63473582175925924</v>
      </c>
      <c r="L2944">
        <f>YEAR(Coffe_sales[[#This Row],[Date]])</f>
        <v>2025</v>
      </c>
    </row>
    <row r="2945" spans="1:12" x14ac:dyDescent="0.2">
      <c r="A2945" t="s">
        <v>25</v>
      </c>
      <c r="B2945" t="s">
        <v>12</v>
      </c>
      <c r="C2945">
        <v>35.76</v>
      </c>
      <c r="D2945" t="s">
        <v>13</v>
      </c>
      <c r="E2945" t="s">
        <v>22</v>
      </c>
      <c r="F2945" t="s">
        <v>42</v>
      </c>
      <c r="G2945" t="s">
        <v>393</v>
      </c>
      <c r="H2945" t="s">
        <v>43</v>
      </c>
      <c r="I2945" t="s">
        <v>48</v>
      </c>
      <c r="J2945" t="s">
        <v>403</v>
      </c>
      <c r="K2945" s="1">
        <v>0.65697496527777777</v>
      </c>
      <c r="L2945">
        <f>YEAR(Coffe_sales[[#This Row],[Date]])</f>
        <v>2025</v>
      </c>
    </row>
    <row r="2946" spans="1:12" x14ac:dyDescent="0.2">
      <c r="A2946" t="s">
        <v>25</v>
      </c>
      <c r="B2946" t="s">
        <v>12</v>
      </c>
      <c r="C2946">
        <v>35.76</v>
      </c>
      <c r="D2946" t="s">
        <v>21</v>
      </c>
      <c r="E2946" t="s">
        <v>22</v>
      </c>
      <c r="F2946" t="s">
        <v>42</v>
      </c>
      <c r="G2946" t="s">
        <v>393</v>
      </c>
      <c r="H2946" t="s">
        <v>43</v>
      </c>
      <c r="I2946" t="s">
        <v>48</v>
      </c>
      <c r="J2946" t="s">
        <v>403</v>
      </c>
      <c r="K2946" s="1">
        <v>0.65814916666666667</v>
      </c>
      <c r="L2946">
        <f>YEAR(Coffe_sales[[#This Row],[Date]])</f>
        <v>2025</v>
      </c>
    </row>
    <row r="2947" spans="1:12" x14ac:dyDescent="0.2">
      <c r="A2947" t="s">
        <v>27</v>
      </c>
      <c r="B2947" t="s">
        <v>12</v>
      </c>
      <c r="C2947">
        <v>35.76</v>
      </c>
      <c r="D2947" t="s">
        <v>31</v>
      </c>
      <c r="E2947" t="s">
        <v>22</v>
      </c>
      <c r="F2947" t="s">
        <v>42</v>
      </c>
      <c r="G2947" t="s">
        <v>393</v>
      </c>
      <c r="H2947" t="s">
        <v>43</v>
      </c>
      <c r="I2947" t="s">
        <v>48</v>
      </c>
      <c r="J2947" t="s">
        <v>403</v>
      </c>
      <c r="K2947" s="1">
        <v>0.68119267361111113</v>
      </c>
      <c r="L2947">
        <f>YEAR(Coffe_sales[[#This Row],[Date]])</f>
        <v>2025</v>
      </c>
    </row>
    <row r="2948" spans="1:12" x14ac:dyDescent="0.2">
      <c r="A2948" t="s">
        <v>37</v>
      </c>
      <c r="B2948" t="s">
        <v>12</v>
      </c>
      <c r="C2948">
        <v>25.96</v>
      </c>
      <c r="D2948" t="s">
        <v>24</v>
      </c>
      <c r="E2948" t="s">
        <v>29</v>
      </c>
      <c r="F2948" t="s">
        <v>42</v>
      </c>
      <c r="G2948" t="s">
        <v>393</v>
      </c>
      <c r="H2948" t="s">
        <v>43</v>
      </c>
      <c r="I2948" t="s">
        <v>48</v>
      </c>
      <c r="J2948" t="s">
        <v>403</v>
      </c>
      <c r="K2948" s="1">
        <v>0.7166939351851852</v>
      </c>
      <c r="L2948">
        <f>YEAR(Coffe_sales[[#This Row],[Date]])</f>
        <v>2025</v>
      </c>
    </row>
    <row r="2949" spans="1:12" x14ac:dyDescent="0.2">
      <c r="A2949" t="s">
        <v>28</v>
      </c>
      <c r="B2949" t="s">
        <v>12</v>
      </c>
      <c r="C2949">
        <v>30.86</v>
      </c>
      <c r="D2949" t="s">
        <v>26</v>
      </c>
      <c r="E2949" t="s">
        <v>29</v>
      </c>
      <c r="F2949" t="s">
        <v>42</v>
      </c>
      <c r="G2949" t="s">
        <v>393</v>
      </c>
      <c r="H2949" t="s">
        <v>43</v>
      </c>
      <c r="I2949" t="s">
        <v>48</v>
      </c>
      <c r="J2949" t="s">
        <v>403</v>
      </c>
      <c r="K2949" s="1">
        <v>0.76891894675925931</v>
      </c>
      <c r="L2949">
        <f>YEAR(Coffe_sales[[#This Row],[Date]])</f>
        <v>2025</v>
      </c>
    </row>
    <row r="2950" spans="1:12" x14ac:dyDescent="0.2">
      <c r="A2950" t="s">
        <v>30</v>
      </c>
      <c r="B2950" t="s">
        <v>12</v>
      </c>
      <c r="C2950">
        <v>35.76</v>
      </c>
      <c r="D2950" t="s">
        <v>13</v>
      </c>
      <c r="E2950" t="s">
        <v>29</v>
      </c>
      <c r="F2950" t="s">
        <v>42</v>
      </c>
      <c r="G2950" t="s">
        <v>393</v>
      </c>
      <c r="H2950" t="s">
        <v>43</v>
      </c>
      <c r="I2950" t="s">
        <v>48</v>
      </c>
      <c r="J2950" t="s">
        <v>403</v>
      </c>
      <c r="K2950" s="1">
        <v>0.80140579861111116</v>
      </c>
      <c r="L2950">
        <f>YEAR(Coffe_sales[[#This Row],[Date]])</f>
        <v>2025</v>
      </c>
    </row>
    <row r="2951" spans="1:12" x14ac:dyDescent="0.2">
      <c r="A2951" t="s">
        <v>30</v>
      </c>
      <c r="B2951" t="s">
        <v>12</v>
      </c>
      <c r="C2951">
        <v>35.76</v>
      </c>
      <c r="D2951" t="s">
        <v>13</v>
      </c>
      <c r="E2951" t="s">
        <v>29</v>
      </c>
      <c r="F2951" t="s">
        <v>42</v>
      </c>
      <c r="G2951" t="s">
        <v>393</v>
      </c>
      <c r="H2951" t="s">
        <v>43</v>
      </c>
      <c r="I2951" t="s">
        <v>48</v>
      </c>
      <c r="J2951" t="s">
        <v>403</v>
      </c>
      <c r="K2951" s="1">
        <v>0.80200840277777774</v>
      </c>
      <c r="L2951">
        <f>YEAR(Coffe_sales[[#This Row],[Date]])</f>
        <v>2025</v>
      </c>
    </row>
    <row r="2952" spans="1:12" x14ac:dyDescent="0.2">
      <c r="A2952" t="s">
        <v>11</v>
      </c>
      <c r="B2952" t="s">
        <v>12</v>
      </c>
      <c r="C2952">
        <v>25.96</v>
      </c>
      <c r="D2952" t="s">
        <v>24</v>
      </c>
      <c r="E2952" t="s">
        <v>14</v>
      </c>
      <c r="F2952" t="s">
        <v>47</v>
      </c>
      <c r="G2952" t="s">
        <v>393</v>
      </c>
      <c r="H2952" t="s">
        <v>48</v>
      </c>
      <c r="I2952" t="s">
        <v>48</v>
      </c>
      <c r="J2952" t="s">
        <v>404</v>
      </c>
      <c r="K2952" s="1">
        <v>0.44335688657407407</v>
      </c>
      <c r="L2952">
        <f>YEAR(Coffe_sales[[#This Row],[Date]])</f>
        <v>2025</v>
      </c>
    </row>
    <row r="2953" spans="1:12" x14ac:dyDescent="0.2">
      <c r="A2953" t="s">
        <v>35</v>
      </c>
      <c r="B2953" t="s">
        <v>12</v>
      </c>
      <c r="C2953">
        <v>25.96</v>
      </c>
      <c r="D2953" t="s">
        <v>24</v>
      </c>
      <c r="E2953" t="s">
        <v>14</v>
      </c>
      <c r="F2953" t="s">
        <v>47</v>
      </c>
      <c r="G2953" t="s">
        <v>393</v>
      </c>
      <c r="H2953" t="s">
        <v>48</v>
      </c>
      <c r="I2953" t="s">
        <v>48</v>
      </c>
      <c r="J2953" t="s">
        <v>404</v>
      </c>
      <c r="K2953" s="1">
        <v>0.47170692129629632</v>
      </c>
      <c r="L2953">
        <f>YEAR(Coffe_sales[[#This Row],[Date]])</f>
        <v>2025</v>
      </c>
    </row>
    <row r="2954" spans="1:12" x14ac:dyDescent="0.2">
      <c r="A2954" t="s">
        <v>35</v>
      </c>
      <c r="B2954" t="s">
        <v>12</v>
      </c>
      <c r="C2954">
        <v>30.86</v>
      </c>
      <c r="D2954" t="s">
        <v>26</v>
      </c>
      <c r="E2954" t="s">
        <v>14</v>
      </c>
      <c r="F2954" t="s">
        <v>47</v>
      </c>
      <c r="G2954" t="s">
        <v>393</v>
      </c>
      <c r="H2954" t="s">
        <v>48</v>
      </c>
      <c r="I2954" t="s">
        <v>48</v>
      </c>
      <c r="J2954" t="s">
        <v>404</v>
      </c>
      <c r="K2954" s="1">
        <v>0.47236287037037039</v>
      </c>
      <c r="L2954">
        <f>YEAR(Coffe_sales[[#This Row],[Date]])</f>
        <v>2025</v>
      </c>
    </row>
    <row r="2955" spans="1:12" x14ac:dyDescent="0.2">
      <c r="A2955" t="s">
        <v>35</v>
      </c>
      <c r="B2955" t="s">
        <v>12</v>
      </c>
      <c r="C2955">
        <v>35.76</v>
      </c>
      <c r="D2955" t="s">
        <v>31</v>
      </c>
      <c r="E2955" t="s">
        <v>14</v>
      </c>
      <c r="F2955" t="s">
        <v>47</v>
      </c>
      <c r="G2955" t="s">
        <v>393</v>
      </c>
      <c r="H2955" t="s">
        <v>48</v>
      </c>
      <c r="I2955" t="s">
        <v>48</v>
      </c>
      <c r="J2955" t="s">
        <v>404</v>
      </c>
      <c r="K2955" s="1">
        <v>0.47300928240740742</v>
      </c>
      <c r="L2955">
        <f>YEAR(Coffe_sales[[#This Row],[Date]])</f>
        <v>2025</v>
      </c>
    </row>
    <row r="2956" spans="1:12" x14ac:dyDescent="0.2">
      <c r="A2956" t="s">
        <v>25</v>
      </c>
      <c r="B2956" t="s">
        <v>12</v>
      </c>
      <c r="C2956">
        <v>35.76</v>
      </c>
      <c r="D2956" t="s">
        <v>21</v>
      </c>
      <c r="E2956" t="s">
        <v>22</v>
      </c>
      <c r="F2956" t="s">
        <v>47</v>
      </c>
      <c r="G2956" t="s">
        <v>393</v>
      </c>
      <c r="H2956" t="s">
        <v>48</v>
      </c>
      <c r="I2956" t="s">
        <v>48</v>
      </c>
      <c r="J2956" t="s">
        <v>404</v>
      </c>
      <c r="K2956" s="1">
        <v>0.66446606481481485</v>
      </c>
      <c r="L2956">
        <f>YEAR(Coffe_sales[[#This Row],[Date]])</f>
        <v>2025</v>
      </c>
    </row>
    <row r="2957" spans="1:12" x14ac:dyDescent="0.2">
      <c r="A2957" t="s">
        <v>27</v>
      </c>
      <c r="B2957" t="s">
        <v>12</v>
      </c>
      <c r="C2957">
        <v>30.86</v>
      </c>
      <c r="D2957" t="s">
        <v>26</v>
      </c>
      <c r="E2957" t="s">
        <v>22</v>
      </c>
      <c r="F2957" t="s">
        <v>47</v>
      </c>
      <c r="G2957" t="s">
        <v>393</v>
      </c>
      <c r="H2957" t="s">
        <v>48</v>
      </c>
      <c r="I2957" t="s">
        <v>48</v>
      </c>
      <c r="J2957" t="s">
        <v>404</v>
      </c>
      <c r="K2957" s="1">
        <v>0.67301434027777773</v>
      </c>
      <c r="L2957">
        <f>YEAR(Coffe_sales[[#This Row],[Date]])</f>
        <v>2025</v>
      </c>
    </row>
    <row r="2958" spans="1:12" x14ac:dyDescent="0.2">
      <c r="A2958" t="s">
        <v>27</v>
      </c>
      <c r="B2958" t="s">
        <v>12</v>
      </c>
      <c r="C2958">
        <v>21.06</v>
      </c>
      <c r="D2958" t="s">
        <v>45</v>
      </c>
      <c r="E2958" t="s">
        <v>22</v>
      </c>
      <c r="F2958" t="s">
        <v>47</v>
      </c>
      <c r="G2958" t="s">
        <v>393</v>
      </c>
      <c r="H2958" t="s">
        <v>48</v>
      </c>
      <c r="I2958" t="s">
        <v>48</v>
      </c>
      <c r="J2958" t="s">
        <v>404</v>
      </c>
      <c r="K2958" s="1">
        <v>0.70116892361111116</v>
      </c>
      <c r="L2958">
        <f>YEAR(Coffe_sales[[#This Row],[Date]])</f>
        <v>2025</v>
      </c>
    </row>
    <row r="2959" spans="1:12" x14ac:dyDescent="0.2">
      <c r="A2959" t="s">
        <v>37</v>
      </c>
      <c r="B2959" t="s">
        <v>12</v>
      </c>
      <c r="C2959">
        <v>35.76</v>
      </c>
      <c r="D2959" t="s">
        <v>13</v>
      </c>
      <c r="E2959" t="s">
        <v>29</v>
      </c>
      <c r="F2959" t="s">
        <v>47</v>
      </c>
      <c r="G2959" t="s">
        <v>393</v>
      </c>
      <c r="H2959" t="s">
        <v>48</v>
      </c>
      <c r="I2959" t="s">
        <v>48</v>
      </c>
      <c r="J2959" t="s">
        <v>404</v>
      </c>
      <c r="K2959" s="1">
        <v>0.7330430555555556</v>
      </c>
      <c r="L2959">
        <f>YEAR(Coffe_sales[[#This Row],[Date]])</f>
        <v>2025</v>
      </c>
    </row>
    <row r="2960" spans="1:12" x14ac:dyDescent="0.2">
      <c r="A2960" t="s">
        <v>37</v>
      </c>
      <c r="B2960" t="s">
        <v>12</v>
      </c>
      <c r="C2960">
        <v>30.86</v>
      </c>
      <c r="D2960" t="s">
        <v>26</v>
      </c>
      <c r="E2960" t="s">
        <v>29</v>
      </c>
      <c r="F2960" t="s">
        <v>47</v>
      </c>
      <c r="G2960" t="s">
        <v>393</v>
      </c>
      <c r="H2960" t="s">
        <v>48</v>
      </c>
      <c r="I2960" t="s">
        <v>48</v>
      </c>
      <c r="J2960" t="s">
        <v>404</v>
      </c>
      <c r="K2960" s="1">
        <v>0.73382212962962967</v>
      </c>
      <c r="L2960">
        <f>YEAR(Coffe_sales[[#This Row],[Date]])</f>
        <v>2025</v>
      </c>
    </row>
    <row r="2961" spans="1:12" x14ac:dyDescent="0.2">
      <c r="A2961" t="s">
        <v>37</v>
      </c>
      <c r="B2961" t="s">
        <v>12</v>
      </c>
      <c r="C2961">
        <v>30.86</v>
      </c>
      <c r="D2961" t="s">
        <v>26</v>
      </c>
      <c r="E2961" t="s">
        <v>29</v>
      </c>
      <c r="F2961" t="s">
        <v>47</v>
      </c>
      <c r="G2961" t="s">
        <v>393</v>
      </c>
      <c r="H2961" t="s">
        <v>48</v>
      </c>
      <c r="I2961" t="s">
        <v>48</v>
      </c>
      <c r="J2961" t="s">
        <v>404</v>
      </c>
      <c r="K2961" s="1">
        <v>0.7390346527777778</v>
      </c>
      <c r="L2961">
        <f>YEAR(Coffe_sales[[#This Row],[Date]])</f>
        <v>2025</v>
      </c>
    </row>
    <row r="2962" spans="1:12" x14ac:dyDescent="0.2">
      <c r="A2962" t="s">
        <v>37</v>
      </c>
      <c r="B2962" t="s">
        <v>12</v>
      </c>
      <c r="C2962">
        <v>25.96</v>
      </c>
      <c r="D2962" t="s">
        <v>24</v>
      </c>
      <c r="E2962" t="s">
        <v>29</v>
      </c>
      <c r="F2962" t="s">
        <v>47</v>
      </c>
      <c r="G2962" t="s">
        <v>393</v>
      </c>
      <c r="H2962" t="s">
        <v>48</v>
      </c>
      <c r="I2962" t="s">
        <v>48</v>
      </c>
      <c r="J2962" t="s">
        <v>404</v>
      </c>
      <c r="K2962" s="1">
        <v>0.74352344907407408</v>
      </c>
      <c r="L2962">
        <f>YEAR(Coffe_sales[[#This Row],[Date]])</f>
        <v>2025</v>
      </c>
    </row>
    <row r="2963" spans="1:12" x14ac:dyDescent="0.2">
      <c r="A2963" t="s">
        <v>37</v>
      </c>
      <c r="B2963" t="s">
        <v>12</v>
      </c>
      <c r="C2963">
        <v>30.86</v>
      </c>
      <c r="D2963" t="s">
        <v>26</v>
      </c>
      <c r="E2963" t="s">
        <v>29</v>
      </c>
      <c r="F2963" t="s">
        <v>47</v>
      </c>
      <c r="G2963" t="s">
        <v>393</v>
      </c>
      <c r="H2963" t="s">
        <v>48</v>
      </c>
      <c r="I2963" t="s">
        <v>48</v>
      </c>
      <c r="J2963" t="s">
        <v>404</v>
      </c>
      <c r="K2963" s="1">
        <v>0.74627121527777773</v>
      </c>
      <c r="L2963">
        <f>YEAR(Coffe_sales[[#This Row],[Date]])</f>
        <v>2025</v>
      </c>
    </row>
    <row r="2964" spans="1:12" x14ac:dyDescent="0.2">
      <c r="A2964" t="s">
        <v>30</v>
      </c>
      <c r="B2964" t="s">
        <v>12</v>
      </c>
      <c r="C2964">
        <v>35.76</v>
      </c>
      <c r="D2964" t="s">
        <v>13</v>
      </c>
      <c r="E2964" t="s">
        <v>29</v>
      </c>
      <c r="F2964" t="s">
        <v>47</v>
      </c>
      <c r="G2964" t="s">
        <v>393</v>
      </c>
      <c r="H2964" t="s">
        <v>48</v>
      </c>
      <c r="I2964" t="s">
        <v>48</v>
      </c>
      <c r="J2964" t="s">
        <v>404</v>
      </c>
      <c r="K2964" s="1">
        <v>0.79457218750000003</v>
      </c>
      <c r="L2964">
        <f>YEAR(Coffe_sales[[#This Row],[Date]])</f>
        <v>2025</v>
      </c>
    </row>
    <row r="2965" spans="1:12" x14ac:dyDescent="0.2">
      <c r="A2965" t="s">
        <v>30</v>
      </c>
      <c r="B2965" t="s">
        <v>12</v>
      </c>
      <c r="C2965">
        <v>35.76</v>
      </c>
      <c r="D2965" t="s">
        <v>31</v>
      </c>
      <c r="E2965" t="s">
        <v>29</v>
      </c>
      <c r="F2965" t="s">
        <v>47</v>
      </c>
      <c r="G2965" t="s">
        <v>393</v>
      </c>
      <c r="H2965" t="s">
        <v>48</v>
      </c>
      <c r="I2965" t="s">
        <v>48</v>
      </c>
      <c r="J2965" t="s">
        <v>404</v>
      </c>
      <c r="K2965" s="1">
        <v>0.79518321759259258</v>
      </c>
      <c r="L2965">
        <f>YEAR(Coffe_sales[[#This Row],[Date]])</f>
        <v>2025</v>
      </c>
    </row>
    <row r="2966" spans="1:12" x14ac:dyDescent="0.2">
      <c r="A2966" t="s">
        <v>39</v>
      </c>
      <c r="B2966" t="s">
        <v>12</v>
      </c>
      <c r="C2966">
        <v>35.76</v>
      </c>
      <c r="D2966" t="s">
        <v>52</v>
      </c>
      <c r="E2966" t="s">
        <v>14</v>
      </c>
      <c r="F2966" t="s">
        <v>50</v>
      </c>
      <c r="G2966" t="s">
        <v>393</v>
      </c>
      <c r="H2966" t="s">
        <v>18</v>
      </c>
      <c r="I2966" t="s">
        <v>48</v>
      </c>
      <c r="J2966" t="s">
        <v>405</v>
      </c>
      <c r="K2966" s="1">
        <v>0.30343939814814813</v>
      </c>
      <c r="L2966">
        <f>YEAR(Coffe_sales[[#This Row],[Date]])</f>
        <v>2025</v>
      </c>
    </row>
    <row r="2967" spans="1:12" x14ac:dyDescent="0.2">
      <c r="A2967" t="s">
        <v>39</v>
      </c>
      <c r="B2967" t="s">
        <v>12</v>
      </c>
      <c r="C2967">
        <v>25.96</v>
      </c>
      <c r="D2967" t="s">
        <v>24</v>
      </c>
      <c r="E2967" t="s">
        <v>14</v>
      </c>
      <c r="F2967" t="s">
        <v>50</v>
      </c>
      <c r="G2967" t="s">
        <v>393</v>
      </c>
      <c r="H2967" t="s">
        <v>18</v>
      </c>
      <c r="I2967" t="s">
        <v>48</v>
      </c>
      <c r="J2967" t="s">
        <v>405</v>
      </c>
      <c r="K2967" s="1">
        <v>0.31640684027777777</v>
      </c>
      <c r="L2967">
        <f>YEAR(Coffe_sales[[#This Row],[Date]])</f>
        <v>2025</v>
      </c>
    </row>
    <row r="2968" spans="1:12" x14ac:dyDescent="0.2">
      <c r="A2968" t="s">
        <v>123</v>
      </c>
      <c r="B2968" t="s">
        <v>12</v>
      </c>
      <c r="C2968">
        <v>35.76</v>
      </c>
      <c r="D2968" t="s">
        <v>31</v>
      </c>
      <c r="E2968" t="s">
        <v>14</v>
      </c>
      <c r="F2968" t="s">
        <v>50</v>
      </c>
      <c r="G2968" t="s">
        <v>393</v>
      </c>
      <c r="H2968" t="s">
        <v>18</v>
      </c>
      <c r="I2968" t="s">
        <v>48</v>
      </c>
      <c r="J2968" t="s">
        <v>405</v>
      </c>
      <c r="K2968" s="1">
        <v>0.37124719907407405</v>
      </c>
      <c r="L2968">
        <f>YEAR(Coffe_sales[[#This Row],[Date]])</f>
        <v>2025</v>
      </c>
    </row>
    <row r="2969" spans="1:12" x14ac:dyDescent="0.2">
      <c r="A2969" t="s">
        <v>46</v>
      </c>
      <c r="B2969" t="s">
        <v>12</v>
      </c>
      <c r="C2969">
        <v>30.86</v>
      </c>
      <c r="D2969" t="s">
        <v>26</v>
      </c>
      <c r="E2969" t="s">
        <v>14</v>
      </c>
      <c r="F2969" t="s">
        <v>50</v>
      </c>
      <c r="G2969" t="s">
        <v>393</v>
      </c>
      <c r="H2969" t="s">
        <v>18</v>
      </c>
      <c r="I2969" t="s">
        <v>48</v>
      </c>
      <c r="J2969" t="s">
        <v>405</v>
      </c>
      <c r="K2969" s="1">
        <v>0.38872569444444444</v>
      </c>
      <c r="L2969">
        <f>YEAR(Coffe_sales[[#This Row],[Date]])</f>
        <v>2025</v>
      </c>
    </row>
    <row r="2970" spans="1:12" x14ac:dyDescent="0.2">
      <c r="A2970" t="s">
        <v>11</v>
      </c>
      <c r="B2970" t="s">
        <v>12</v>
      </c>
      <c r="C2970">
        <v>25.96</v>
      </c>
      <c r="D2970" t="s">
        <v>24</v>
      </c>
      <c r="E2970" t="s">
        <v>14</v>
      </c>
      <c r="F2970" t="s">
        <v>50</v>
      </c>
      <c r="G2970" t="s">
        <v>393</v>
      </c>
      <c r="H2970" t="s">
        <v>18</v>
      </c>
      <c r="I2970" t="s">
        <v>48</v>
      </c>
      <c r="J2970" t="s">
        <v>405</v>
      </c>
      <c r="K2970" s="1">
        <v>0.4466837384259259</v>
      </c>
      <c r="L2970">
        <f>YEAR(Coffe_sales[[#This Row],[Date]])</f>
        <v>2025</v>
      </c>
    </row>
    <row r="2971" spans="1:12" x14ac:dyDescent="0.2">
      <c r="A2971" t="s">
        <v>20</v>
      </c>
      <c r="B2971" t="s">
        <v>12</v>
      </c>
      <c r="C2971">
        <v>25.96</v>
      </c>
      <c r="D2971" t="s">
        <v>24</v>
      </c>
      <c r="E2971" t="s">
        <v>22</v>
      </c>
      <c r="F2971" t="s">
        <v>50</v>
      </c>
      <c r="G2971" t="s">
        <v>393</v>
      </c>
      <c r="H2971" t="s">
        <v>18</v>
      </c>
      <c r="I2971" t="s">
        <v>48</v>
      </c>
      <c r="J2971" t="s">
        <v>405</v>
      </c>
      <c r="K2971" s="1">
        <v>0.53019773148148153</v>
      </c>
      <c r="L2971">
        <f>YEAR(Coffe_sales[[#This Row],[Date]])</f>
        <v>2025</v>
      </c>
    </row>
    <row r="2972" spans="1:12" x14ac:dyDescent="0.2">
      <c r="A2972" t="s">
        <v>23</v>
      </c>
      <c r="B2972" t="s">
        <v>12</v>
      </c>
      <c r="C2972">
        <v>25.96</v>
      </c>
      <c r="D2972" t="s">
        <v>24</v>
      </c>
      <c r="E2972" t="s">
        <v>22</v>
      </c>
      <c r="F2972" t="s">
        <v>50</v>
      </c>
      <c r="G2972" t="s">
        <v>393</v>
      </c>
      <c r="H2972" t="s">
        <v>18</v>
      </c>
      <c r="I2972" t="s">
        <v>48</v>
      </c>
      <c r="J2972" t="s">
        <v>405</v>
      </c>
      <c r="K2972" s="1">
        <v>0.54733015046296296</v>
      </c>
      <c r="L2972">
        <f>YEAR(Coffe_sales[[#This Row],[Date]])</f>
        <v>2025</v>
      </c>
    </row>
    <row r="2973" spans="1:12" x14ac:dyDescent="0.2">
      <c r="A2973" t="s">
        <v>23</v>
      </c>
      <c r="B2973" t="s">
        <v>12</v>
      </c>
      <c r="C2973">
        <v>35.76</v>
      </c>
      <c r="D2973" t="s">
        <v>21</v>
      </c>
      <c r="E2973" t="s">
        <v>22</v>
      </c>
      <c r="F2973" t="s">
        <v>50</v>
      </c>
      <c r="G2973" t="s">
        <v>393</v>
      </c>
      <c r="H2973" t="s">
        <v>18</v>
      </c>
      <c r="I2973" t="s">
        <v>48</v>
      </c>
      <c r="J2973" t="s">
        <v>405</v>
      </c>
      <c r="K2973" s="1">
        <v>0.57059864583333331</v>
      </c>
      <c r="L2973">
        <f>YEAR(Coffe_sales[[#This Row],[Date]])</f>
        <v>2025</v>
      </c>
    </row>
    <row r="2974" spans="1:12" x14ac:dyDescent="0.2">
      <c r="A2974" t="s">
        <v>25</v>
      </c>
      <c r="B2974" t="s">
        <v>12</v>
      </c>
      <c r="C2974">
        <v>35.76</v>
      </c>
      <c r="D2974" t="s">
        <v>21</v>
      </c>
      <c r="E2974" t="s">
        <v>22</v>
      </c>
      <c r="F2974" t="s">
        <v>50</v>
      </c>
      <c r="G2974" t="s">
        <v>393</v>
      </c>
      <c r="H2974" t="s">
        <v>18</v>
      </c>
      <c r="I2974" t="s">
        <v>48</v>
      </c>
      <c r="J2974" t="s">
        <v>405</v>
      </c>
      <c r="K2974" s="1">
        <v>0.65375899305555552</v>
      </c>
      <c r="L2974">
        <f>YEAR(Coffe_sales[[#This Row],[Date]])</f>
        <v>2025</v>
      </c>
    </row>
    <row r="2975" spans="1:12" x14ac:dyDescent="0.2">
      <c r="A2975" t="s">
        <v>25</v>
      </c>
      <c r="B2975" t="s">
        <v>12</v>
      </c>
      <c r="C2975">
        <v>35.76</v>
      </c>
      <c r="D2975" t="s">
        <v>13</v>
      </c>
      <c r="E2975" t="s">
        <v>22</v>
      </c>
      <c r="F2975" t="s">
        <v>50</v>
      </c>
      <c r="G2975" t="s">
        <v>393</v>
      </c>
      <c r="H2975" t="s">
        <v>18</v>
      </c>
      <c r="I2975" t="s">
        <v>48</v>
      </c>
      <c r="J2975" t="s">
        <v>405</v>
      </c>
      <c r="K2975" s="1">
        <v>0.65435850694444442</v>
      </c>
      <c r="L2975">
        <f>YEAR(Coffe_sales[[#This Row],[Date]])</f>
        <v>2025</v>
      </c>
    </row>
    <row r="2976" spans="1:12" x14ac:dyDescent="0.2">
      <c r="A2976" t="s">
        <v>25</v>
      </c>
      <c r="B2976" t="s">
        <v>12</v>
      </c>
      <c r="C2976">
        <v>35.76</v>
      </c>
      <c r="D2976" t="s">
        <v>21</v>
      </c>
      <c r="E2976" t="s">
        <v>22</v>
      </c>
      <c r="F2976" t="s">
        <v>50</v>
      </c>
      <c r="G2976" t="s">
        <v>393</v>
      </c>
      <c r="H2976" t="s">
        <v>18</v>
      </c>
      <c r="I2976" t="s">
        <v>48</v>
      </c>
      <c r="J2976" t="s">
        <v>405</v>
      </c>
      <c r="K2976" s="1">
        <v>0.65526067129629628</v>
      </c>
      <c r="L2976">
        <f>YEAR(Coffe_sales[[#This Row],[Date]])</f>
        <v>2025</v>
      </c>
    </row>
    <row r="2977" spans="1:12" x14ac:dyDescent="0.2">
      <c r="A2977" t="s">
        <v>27</v>
      </c>
      <c r="B2977" t="s">
        <v>12</v>
      </c>
      <c r="C2977">
        <v>25.96</v>
      </c>
      <c r="D2977" t="s">
        <v>24</v>
      </c>
      <c r="E2977" t="s">
        <v>22</v>
      </c>
      <c r="F2977" t="s">
        <v>50</v>
      </c>
      <c r="G2977" t="s">
        <v>393</v>
      </c>
      <c r="H2977" t="s">
        <v>18</v>
      </c>
      <c r="I2977" t="s">
        <v>48</v>
      </c>
      <c r="J2977" t="s">
        <v>405</v>
      </c>
      <c r="K2977" s="1">
        <v>0.67567564814814818</v>
      </c>
      <c r="L2977">
        <f>YEAR(Coffe_sales[[#This Row],[Date]])</f>
        <v>2025</v>
      </c>
    </row>
    <row r="2978" spans="1:12" x14ac:dyDescent="0.2">
      <c r="A2978" t="s">
        <v>27</v>
      </c>
      <c r="B2978" t="s">
        <v>12</v>
      </c>
      <c r="C2978">
        <v>25.96</v>
      </c>
      <c r="D2978" t="s">
        <v>24</v>
      </c>
      <c r="E2978" t="s">
        <v>22</v>
      </c>
      <c r="F2978" t="s">
        <v>50</v>
      </c>
      <c r="G2978" t="s">
        <v>393</v>
      </c>
      <c r="H2978" t="s">
        <v>18</v>
      </c>
      <c r="I2978" t="s">
        <v>48</v>
      </c>
      <c r="J2978" t="s">
        <v>405</v>
      </c>
      <c r="K2978" s="1">
        <v>0.6848209837962963</v>
      </c>
      <c r="L2978">
        <f>YEAR(Coffe_sales[[#This Row],[Date]])</f>
        <v>2025</v>
      </c>
    </row>
    <row r="2979" spans="1:12" x14ac:dyDescent="0.2">
      <c r="A2979" t="s">
        <v>37</v>
      </c>
      <c r="B2979" t="s">
        <v>12</v>
      </c>
      <c r="C2979">
        <v>35.76</v>
      </c>
      <c r="D2979" t="s">
        <v>52</v>
      </c>
      <c r="E2979" t="s">
        <v>29</v>
      </c>
      <c r="F2979" t="s">
        <v>50</v>
      </c>
      <c r="G2979" t="s">
        <v>393</v>
      </c>
      <c r="H2979" t="s">
        <v>18</v>
      </c>
      <c r="I2979" t="s">
        <v>48</v>
      </c>
      <c r="J2979" t="s">
        <v>405</v>
      </c>
      <c r="K2979" s="1">
        <v>0.71217579861111113</v>
      </c>
      <c r="L2979">
        <f>YEAR(Coffe_sales[[#This Row],[Date]])</f>
        <v>2025</v>
      </c>
    </row>
    <row r="2980" spans="1:12" x14ac:dyDescent="0.2">
      <c r="A2980" t="s">
        <v>37</v>
      </c>
      <c r="B2980" t="s">
        <v>12</v>
      </c>
      <c r="C2980">
        <v>25.96</v>
      </c>
      <c r="D2980" t="s">
        <v>24</v>
      </c>
      <c r="E2980" t="s">
        <v>29</v>
      </c>
      <c r="F2980" t="s">
        <v>50</v>
      </c>
      <c r="G2980" t="s">
        <v>393</v>
      </c>
      <c r="H2980" t="s">
        <v>18</v>
      </c>
      <c r="I2980" t="s">
        <v>48</v>
      </c>
      <c r="J2980" t="s">
        <v>405</v>
      </c>
      <c r="K2980" s="1">
        <v>0.73809587962962964</v>
      </c>
      <c r="L2980">
        <f>YEAR(Coffe_sales[[#This Row],[Date]])</f>
        <v>2025</v>
      </c>
    </row>
    <row r="2981" spans="1:12" x14ac:dyDescent="0.2">
      <c r="A2981" t="s">
        <v>91</v>
      </c>
      <c r="B2981" t="s">
        <v>12</v>
      </c>
      <c r="C2981">
        <v>35.76</v>
      </c>
      <c r="D2981" t="s">
        <v>13</v>
      </c>
      <c r="E2981" t="s">
        <v>29</v>
      </c>
      <c r="F2981" t="s">
        <v>50</v>
      </c>
      <c r="G2981" t="s">
        <v>393</v>
      </c>
      <c r="H2981" t="s">
        <v>18</v>
      </c>
      <c r="I2981" t="s">
        <v>48</v>
      </c>
      <c r="J2981" t="s">
        <v>405</v>
      </c>
      <c r="K2981" s="1">
        <v>0.83727708333333328</v>
      </c>
      <c r="L2981">
        <f>YEAR(Coffe_sales[[#This Row],[Date]])</f>
        <v>2025</v>
      </c>
    </row>
    <row r="2982" spans="1:12" x14ac:dyDescent="0.2">
      <c r="A2982" t="s">
        <v>91</v>
      </c>
      <c r="B2982" t="s">
        <v>12</v>
      </c>
      <c r="C2982">
        <v>35.76</v>
      </c>
      <c r="D2982" t="s">
        <v>31</v>
      </c>
      <c r="E2982" t="s">
        <v>29</v>
      </c>
      <c r="F2982" t="s">
        <v>50</v>
      </c>
      <c r="G2982" t="s">
        <v>393</v>
      </c>
      <c r="H2982" t="s">
        <v>18</v>
      </c>
      <c r="I2982" t="s">
        <v>48</v>
      </c>
      <c r="J2982" t="s">
        <v>405</v>
      </c>
      <c r="K2982" s="1">
        <v>0.84946034722222219</v>
      </c>
      <c r="L2982">
        <f>YEAR(Coffe_sales[[#This Row],[Date]])</f>
        <v>2025</v>
      </c>
    </row>
    <row r="2983" spans="1:12" x14ac:dyDescent="0.2">
      <c r="A2983" t="s">
        <v>131</v>
      </c>
      <c r="B2983" t="s">
        <v>12</v>
      </c>
      <c r="C2983">
        <v>35.76</v>
      </c>
      <c r="D2983" t="s">
        <v>52</v>
      </c>
      <c r="E2983" t="s">
        <v>29</v>
      </c>
      <c r="F2983" t="s">
        <v>50</v>
      </c>
      <c r="G2983" t="s">
        <v>393</v>
      </c>
      <c r="H2983" t="s">
        <v>18</v>
      </c>
      <c r="I2983" t="s">
        <v>48</v>
      </c>
      <c r="J2983" t="s">
        <v>405</v>
      </c>
      <c r="K2983" s="1">
        <v>0.88685499999999995</v>
      </c>
      <c r="L2983">
        <f>YEAR(Coffe_sales[[#This Row],[Date]])</f>
        <v>2025</v>
      </c>
    </row>
    <row r="2984" spans="1:12" x14ac:dyDescent="0.2">
      <c r="A2984" t="s">
        <v>39</v>
      </c>
      <c r="B2984" t="s">
        <v>12</v>
      </c>
      <c r="C2984">
        <v>30.86</v>
      </c>
      <c r="D2984" t="s">
        <v>26</v>
      </c>
      <c r="E2984" t="s">
        <v>14</v>
      </c>
      <c r="F2984" t="s">
        <v>53</v>
      </c>
      <c r="G2984" t="s">
        <v>393</v>
      </c>
      <c r="H2984" t="s">
        <v>54</v>
      </c>
      <c r="I2984" t="s">
        <v>48</v>
      </c>
      <c r="J2984" t="s">
        <v>406</v>
      </c>
      <c r="K2984" s="1">
        <v>0.31861003472222221</v>
      </c>
      <c r="L2984">
        <f>YEAR(Coffe_sales[[#This Row],[Date]])</f>
        <v>2025</v>
      </c>
    </row>
    <row r="2985" spans="1:12" x14ac:dyDescent="0.2">
      <c r="A2985" t="s">
        <v>123</v>
      </c>
      <c r="B2985" t="s">
        <v>12</v>
      </c>
      <c r="C2985">
        <v>25.96</v>
      </c>
      <c r="D2985" t="s">
        <v>24</v>
      </c>
      <c r="E2985" t="s">
        <v>14</v>
      </c>
      <c r="F2985" t="s">
        <v>53</v>
      </c>
      <c r="G2985" t="s">
        <v>393</v>
      </c>
      <c r="H2985" t="s">
        <v>54</v>
      </c>
      <c r="I2985" t="s">
        <v>48</v>
      </c>
      <c r="J2985" t="s">
        <v>406</v>
      </c>
      <c r="K2985" s="1">
        <v>0.36524377314814815</v>
      </c>
      <c r="L2985">
        <f>YEAR(Coffe_sales[[#This Row],[Date]])</f>
        <v>2025</v>
      </c>
    </row>
    <row r="2986" spans="1:12" x14ac:dyDescent="0.2">
      <c r="A2986" t="s">
        <v>46</v>
      </c>
      <c r="B2986" t="s">
        <v>12</v>
      </c>
      <c r="C2986">
        <v>21.06</v>
      </c>
      <c r="D2986" t="s">
        <v>45</v>
      </c>
      <c r="E2986" t="s">
        <v>14</v>
      </c>
      <c r="F2986" t="s">
        <v>53</v>
      </c>
      <c r="G2986" t="s">
        <v>393</v>
      </c>
      <c r="H2986" t="s">
        <v>54</v>
      </c>
      <c r="I2986" t="s">
        <v>48</v>
      </c>
      <c r="J2986" t="s">
        <v>406</v>
      </c>
      <c r="K2986" s="1">
        <v>0.38704885416666668</v>
      </c>
      <c r="L2986">
        <f>YEAR(Coffe_sales[[#This Row],[Date]])</f>
        <v>2025</v>
      </c>
    </row>
    <row r="2987" spans="1:12" x14ac:dyDescent="0.2">
      <c r="A2987" t="s">
        <v>46</v>
      </c>
      <c r="B2987" t="s">
        <v>12</v>
      </c>
      <c r="C2987">
        <v>35.76</v>
      </c>
      <c r="D2987" t="s">
        <v>31</v>
      </c>
      <c r="E2987" t="s">
        <v>14</v>
      </c>
      <c r="F2987" t="s">
        <v>53</v>
      </c>
      <c r="G2987" t="s">
        <v>393</v>
      </c>
      <c r="H2987" t="s">
        <v>54</v>
      </c>
      <c r="I2987" t="s">
        <v>48</v>
      </c>
      <c r="J2987" t="s">
        <v>406</v>
      </c>
      <c r="K2987" s="1">
        <v>0.40005937499999999</v>
      </c>
      <c r="L2987">
        <f>YEAR(Coffe_sales[[#This Row],[Date]])</f>
        <v>2025</v>
      </c>
    </row>
    <row r="2988" spans="1:12" x14ac:dyDescent="0.2">
      <c r="A2988" t="s">
        <v>11</v>
      </c>
      <c r="B2988" t="s">
        <v>12</v>
      </c>
      <c r="C2988">
        <v>30.86</v>
      </c>
      <c r="D2988" t="s">
        <v>26</v>
      </c>
      <c r="E2988" t="s">
        <v>14</v>
      </c>
      <c r="F2988" t="s">
        <v>53</v>
      </c>
      <c r="G2988" t="s">
        <v>393</v>
      </c>
      <c r="H2988" t="s">
        <v>54</v>
      </c>
      <c r="I2988" t="s">
        <v>48</v>
      </c>
      <c r="J2988" t="s">
        <v>406</v>
      </c>
      <c r="K2988" s="1">
        <v>0.43718350694444447</v>
      </c>
      <c r="L2988">
        <f>YEAR(Coffe_sales[[#This Row],[Date]])</f>
        <v>2025</v>
      </c>
    </row>
    <row r="2989" spans="1:12" x14ac:dyDescent="0.2">
      <c r="A2989" t="s">
        <v>11</v>
      </c>
      <c r="B2989" t="s">
        <v>12</v>
      </c>
      <c r="C2989">
        <v>30.86</v>
      </c>
      <c r="D2989" t="s">
        <v>26</v>
      </c>
      <c r="E2989" t="s">
        <v>14</v>
      </c>
      <c r="F2989" t="s">
        <v>53</v>
      </c>
      <c r="G2989" t="s">
        <v>393</v>
      </c>
      <c r="H2989" t="s">
        <v>54</v>
      </c>
      <c r="I2989" t="s">
        <v>48</v>
      </c>
      <c r="J2989" t="s">
        <v>406</v>
      </c>
      <c r="K2989" s="1">
        <v>0.45795194444444443</v>
      </c>
      <c r="L2989">
        <f>YEAR(Coffe_sales[[#This Row],[Date]])</f>
        <v>2025</v>
      </c>
    </row>
    <row r="2990" spans="1:12" x14ac:dyDescent="0.2">
      <c r="A2990" t="s">
        <v>27</v>
      </c>
      <c r="B2990" t="s">
        <v>12</v>
      </c>
      <c r="C2990">
        <v>25.96</v>
      </c>
      <c r="D2990" t="s">
        <v>24</v>
      </c>
      <c r="E2990" t="s">
        <v>22</v>
      </c>
      <c r="F2990" t="s">
        <v>53</v>
      </c>
      <c r="G2990" t="s">
        <v>393</v>
      </c>
      <c r="H2990" t="s">
        <v>54</v>
      </c>
      <c r="I2990" t="s">
        <v>48</v>
      </c>
      <c r="J2990" t="s">
        <v>406</v>
      </c>
      <c r="K2990" s="1">
        <v>0.68795424768518521</v>
      </c>
      <c r="L2990">
        <f>YEAR(Coffe_sales[[#This Row],[Date]])</f>
        <v>2025</v>
      </c>
    </row>
    <row r="2991" spans="1:12" x14ac:dyDescent="0.2">
      <c r="A2991" t="s">
        <v>27</v>
      </c>
      <c r="B2991" t="s">
        <v>12</v>
      </c>
      <c r="C2991">
        <v>25.96</v>
      </c>
      <c r="D2991" t="s">
        <v>24</v>
      </c>
      <c r="E2991" t="s">
        <v>22</v>
      </c>
      <c r="F2991" t="s">
        <v>53</v>
      </c>
      <c r="G2991" t="s">
        <v>393</v>
      </c>
      <c r="H2991" t="s">
        <v>54</v>
      </c>
      <c r="I2991" t="s">
        <v>48</v>
      </c>
      <c r="J2991" t="s">
        <v>406</v>
      </c>
      <c r="K2991" s="1">
        <v>0.6885847453703704</v>
      </c>
      <c r="L2991">
        <f>YEAR(Coffe_sales[[#This Row],[Date]])</f>
        <v>2025</v>
      </c>
    </row>
    <row r="2992" spans="1:12" x14ac:dyDescent="0.2">
      <c r="A2992" t="s">
        <v>37</v>
      </c>
      <c r="B2992" t="s">
        <v>12</v>
      </c>
      <c r="C2992">
        <v>30.86</v>
      </c>
      <c r="D2992" t="s">
        <v>26</v>
      </c>
      <c r="E2992" t="s">
        <v>29</v>
      </c>
      <c r="F2992" t="s">
        <v>53</v>
      </c>
      <c r="G2992" t="s">
        <v>393</v>
      </c>
      <c r="H2992" t="s">
        <v>54</v>
      </c>
      <c r="I2992" t="s">
        <v>48</v>
      </c>
      <c r="J2992" t="s">
        <v>406</v>
      </c>
      <c r="K2992" s="1">
        <v>0.71957905092592589</v>
      </c>
      <c r="L2992">
        <f>YEAR(Coffe_sales[[#This Row],[Date]])</f>
        <v>2025</v>
      </c>
    </row>
    <row r="2993" spans="1:12" x14ac:dyDescent="0.2">
      <c r="A2993" t="s">
        <v>37</v>
      </c>
      <c r="B2993" t="s">
        <v>12</v>
      </c>
      <c r="C2993">
        <v>30.86</v>
      </c>
      <c r="D2993" t="s">
        <v>26</v>
      </c>
      <c r="E2993" t="s">
        <v>29</v>
      </c>
      <c r="F2993" t="s">
        <v>53</v>
      </c>
      <c r="G2993" t="s">
        <v>393</v>
      </c>
      <c r="H2993" t="s">
        <v>54</v>
      </c>
      <c r="I2993" t="s">
        <v>48</v>
      </c>
      <c r="J2993" t="s">
        <v>406</v>
      </c>
      <c r="K2993" s="1">
        <v>0.72037265046296295</v>
      </c>
      <c r="L2993">
        <f>YEAR(Coffe_sales[[#This Row],[Date]])</f>
        <v>2025</v>
      </c>
    </row>
    <row r="2994" spans="1:12" x14ac:dyDescent="0.2">
      <c r="A2994" t="s">
        <v>28</v>
      </c>
      <c r="B2994" t="s">
        <v>12</v>
      </c>
      <c r="C2994">
        <v>35.76</v>
      </c>
      <c r="D2994" t="s">
        <v>13</v>
      </c>
      <c r="E2994" t="s">
        <v>29</v>
      </c>
      <c r="F2994" t="s">
        <v>53</v>
      </c>
      <c r="G2994" t="s">
        <v>393</v>
      </c>
      <c r="H2994" t="s">
        <v>54</v>
      </c>
      <c r="I2994" t="s">
        <v>48</v>
      </c>
      <c r="J2994" t="s">
        <v>406</v>
      </c>
      <c r="K2994" s="1">
        <v>0.75110479166666666</v>
      </c>
      <c r="L2994">
        <f>YEAR(Coffe_sales[[#This Row],[Date]])</f>
        <v>2025</v>
      </c>
    </row>
    <row r="2995" spans="1:12" x14ac:dyDescent="0.2">
      <c r="A2995" t="s">
        <v>28</v>
      </c>
      <c r="B2995" t="s">
        <v>12</v>
      </c>
      <c r="C2995">
        <v>35.76</v>
      </c>
      <c r="D2995" t="s">
        <v>52</v>
      </c>
      <c r="E2995" t="s">
        <v>29</v>
      </c>
      <c r="F2995" t="s">
        <v>53</v>
      </c>
      <c r="G2995" t="s">
        <v>393</v>
      </c>
      <c r="H2995" t="s">
        <v>54</v>
      </c>
      <c r="I2995" t="s">
        <v>48</v>
      </c>
      <c r="J2995" t="s">
        <v>406</v>
      </c>
      <c r="K2995" s="1">
        <v>0.76051562500000003</v>
      </c>
      <c r="L2995">
        <f>YEAR(Coffe_sales[[#This Row],[Date]])</f>
        <v>2025</v>
      </c>
    </row>
    <row r="2996" spans="1:12" x14ac:dyDescent="0.2">
      <c r="A2996" t="s">
        <v>30</v>
      </c>
      <c r="B2996" t="s">
        <v>12</v>
      </c>
      <c r="C2996">
        <v>35.76</v>
      </c>
      <c r="D2996" t="s">
        <v>13</v>
      </c>
      <c r="E2996" t="s">
        <v>29</v>
      </c>
      <c r="F2996" t="s">
        <v>53</v>
      </c>
      <c r="G2996" t="s">
        <v>393</v>
      </c>
      <c r="H2996" t="s">
        <v>54</v>
      </c>
      <c r="I2996" t="s">
        <v>48</v>
      </c>
      <c r="J2996" t="s">
        <v>406</v>
      </c>
      <c r="K2996" s="1">
        <v>0.79618487268518523</v>
      </c>
      <c r="L2996">
        <f>YEAR(Coffe_sales[[#This Row],[Date]])</f>
        <v>2025</v>
      </c>
    </row>
    <row r="2997" spans="1:12" x14ac:dyDescent="0.2">
      <c r="A2997" t="s">
        <v>35</v>
      </c>
      <c r="B2997" t="s">
        <v>12</v>
      </c>
      <c r="C2997">
        <v>25.96</v>
      </c>
      <c r="D2997" t="s">
        <v>24</v>
      </c>
      <c r="E2997" t="s">
        <v>14</v>
      </c>
      <c r="F2997" t="s">
        <v>15</v>
      </c>
      <c r="G2997" t="s">
        <v>393</v>
      </c>
      <c r="H2997" t="s">
        <v>17</v>
      </c>
      <c r="I2997" t="s">
        <v>48</v>
      </c>
      <c r="J2997" t="s">
        <v>407</v>
      </c>
      <c r="K2997" s="1">
        <v>0.48536695601851854</v>
      </c>
      <c r="L2997">
        <f>YEAR(Coffe_sales[[#This Row],[Date]])</f>
        <v>2025</v>
      </c>
    </row>
    <row r="2998" spans="1:12" x14ac:dyDescent="0.2">
      <c r="A2998" t="s">
        <v>36</v>
      </c>
      <c r="B2998" t="s">
        <v>12</v>
      </c>
      <c r="C2998">
        <v>35.76</v>
      </c>
      <c r="D2998" t="s">
        <v>21</v>
      </c>
      <c r="E2998" t="s">
        <v>22</v>
      </c>
      <c r="F2998" t="s">
        <v>15</v>
      </c>
      <c r="G2998" t="s">
        <v>393</v>
      </c>
      <c r="H2998" t="s">
        <v>17</v>
      </c>
      <c r="I2998" t="s">
        <v>48</v>
      </c>
      <c r="J2998" t="s">
        <v>407</v>
      </c>
      <c r="K2998" s="1">
        <v>0.58830246527777774</v>
      </c>
      <c r="L2998">
        <f>YEAR(Coffe_sales[[#This Row],[Date]])</f>
        <v>2025</v>
      </c>
    </row>
    <row r="2999" spans="1:12" x14ac:dyDescent="0.2">
      <c r="A2999" t="s">
        <v>36</v>
      </c>
      <c r="B2999" t="s">
        <v>12</v>
      </c>
      <c r="C2999">
        <v>25.96</v>
      </c>
      <c r="D2999" t="s">
        <v>24</v>
      </c>
      <c r="E2999" t="s">
        <v>22</v>
      </c>
      <c r="F2999" t="s">
        <v>15</v>
      </c>
      <c r="G2999" t="s">
        <v>393</v>
      </c>
      <c r="H2999" t="s">
        <v>17</v>
      </c>
      <c r="I2999" t="s">
        <v>48</v>
      </c>
      <c r="J2999" t="s">
        <v>407</v>
      </c>
      <c r="K2999" s="1">
        <v>0.6152755324074074</v>
      </c>
      <c r="L2999">
        <f>YEAR(Coffe_sales[[#This Row],[Date]])</f>
        <v>2025</v>
      </c>
    </row>
    <row r="3000" spans="1:12" x14ac:dyDescent="0.2">
      <c r="A3000" t="s">
        <v>36</v>
      </c>
      <c r="B3000" t="s">
        <v>12</v>
      </c>
      <c r="C3000">
        <v>21.06</v>
      </c>
      <c r="D3000" t="s">
        <v>45</v>
      </c>
      <c r="E3000" t="s">
        <v>22</v>
      </c>
      <c r="F3000" t="s">
        <v>15</v>
      </c>
      <c r="G3000" t="s">
        <v>393</v>
      </c>
      <c r="H3000" t="s">
        <v>17</v>
      </c>
      <c r="I3000" t="s">
        <v>48</v>
      </c>
      <c r="J3000" t="s">
        <v>407</v>
      </c>
      <c r="K3000" s="1">
        <v>0.61579986111111107</v>
      </c>
      <c r="L3000">
        <f>YEAR(Coffe_sales[[#This Row],[Date]])</f>
        <v>2025</v>
      </c>
    </row>
    <row r="3001" spans="1:12" x14ac:dyDescent="0.2">
      <c r="A3001" t="s">
        <v>36</v>
      </c>
      <c r="B3001" t="s">
        <v>12</v>
      </c>
      <c r="C3001">
        <v>30.86</v>
      </c>
      <c r="D3001" t="s">
        <v>26</v>
      </c>
      <c r="E3001" t="s">
        <v>22</v>
      </c>
      <c r="F3001" t="s">
        <v>15</v>
      </c>
      <c r="G3001" t="s">
        <v>393</v>
      </c>
      <c r="H3001" t="s">
        <v>17</v>
      </c>
      <c r="I3001" t="s">
        <v>48</v>
      </c>
      <c r="J3001" t="s">
        <v>407</v>
      </c>
      <c r="K3001" s="1">
        <v>0.62375285879629627</v>
      </c>
      <c r="L3001">
        <f>YEAR(Coffe_sales[[#This Row],[Date]])</f>
        <v>2025</v>
      </c>
    </row>
    <row r="3002" spans="1:12" x14ac:dyDescent="0.2">
      <c r="A3002" t="s">
        <v>25</v>
      </c>
      <c r="B3002" t="s">
        <v>12</v>
      </c>
      <c r="C3002">
        <v>35.76</v>
      </c>
      <c r="D3002" t="s">
        <v>52</v>
      </c>
      <c r="E3002" t="s">
        <v>22</v>
      </c>
      <c r="F3002" t="s">
        <v>15</v>
      </c>
      <c r="G3002" t="s">
        <v>393</v>
      </c>
      <c r="H3002" t="s">
        <v>17</v>
      </c>
      <c r="I3002" t="s">
        <v>48</v>
      </c>
      <c r="J3002" t="s">
        <v>407</v>
      </c>
      <c r="K3002" s="1">
        <v>0.6251937847222222</v>
      </c>
      <c r="L3002">
        <f>YEAR(Coffe_sales[[#This Row],[Date]])</f>
        <v>2025</v>
      </c>
    </row>
    <row r="3003" spans="1:12" x14ac:dyDescent="0.2">
      <c r="A3003" t="s">
        <v>25</v>
      </c>
      <c r="B3003" t="s">
        <v>12</v>
      </c>
      <c r="C3003">
        <v>35.76</v>
      </c>
      <c r="D3003" t="s">
        <v>52</v>
      </c>
      <c r="E3003" t="s">
        <v>22</v>
      </c>
      <c r="F3003" t="s">
        <v>15</v>
      </c>
      <c r="G3003" t="s">
        <v>393</v>
      </c>
      <c r="H3003" t="s">
        <v>17</v>
      </c>
      <c r="I3003" t="s">
        <v>48</v>
      </c>
      <c r="J3003" t="s">
        <v>407</v>
      </c>
      <c r="K3003" s="1">
        <v>0.65047288194444441</v>
      </c>
      <c r="L3003">
        <f>YEAR(Coffe_sales[[#This Row],[Date]])</f>
        <v>2025</v>
      </c>
    </row>
    <row r="3004" spans="1:12" x14ac:dyDescent="0.2">
      <c r="A3004" t="s">
        <v>25</v>
      </c>
      <c r="B3004" t="s">
        <v>12</v>
      </c>
      <c r="C3004">
        <v>35.76</v>
      </c>
      <c r="D3004" t="s">
        <v>13</v>
      </c>
      <c r="E3004" t="s">
        <v>22</v>
      </c>
      <c r="F3004" t="s">
        <v>15</v>
      </c>
      <c r="G3004" t="s">
        <v>393</v>
      </c>
      <c r="H3004" t="s">
        <v>17</v>
      </c>
      <c r="I3004" t="s">
        <v>48</v>
      </c>
      <c r="J3004" t="s">
        <v>407</v>
      </c>
      <c r="K3004" s="1">
        <v>0.65193840277777781</v>
      </c>
      <c r="L3004">
        <f>YEAR(Coffe_sales[[#This Row],[Date]])</f>
        <v>2025</v>
      </c>
    </row>
    <row r="3005" spans="1:12" x14ac:dyDescent="0.2">
      <c r="A3005" t="s">
        <v>25</v>
      </c>
      <c r="B3005" t="s">
        <v>12</v>
      </c>
      <c r="C3005">
        <v>35.76</v>
      </c>
      <c r="D3005" t="s">
        <v>21</v>
      </c>
      <c r="E3005" t="s">
        <v>22</v>
      </c>
      <c r="F3005" t="s">
        <v>15</v>
      </c>
      <c r="G3005" t="s">
        <v>393</v>
      </c>
      <c r="H3005" t="s">
        <v>17</v>
      </c>
      <c r="I3005" t="s">
        <v>48</v>
      </c>
      <c r="J3005" t="s">
        <v>407</v>
      </c>
      <c r="K3005" s="1">
        <v>0.66245910879629633</v>
      </c>
      <c r="L3005">
        <f>YEAR(Coffe_sales[[#This Row],[Date]])</f>
        <v>2025</v>
      </c>
    </row>
    <row r="3006" spans="1:12" x14ac:dyDescent="0.2">
      <c r="A3006" t="s">
        <v>25</v>
      </c>
      <c r="B3006" t="s">
        <v>12</v>
      </c>
      <c r="C3006">
        <v>35.76</v>
      </c>
      <c r="D3006" t="s">
        <v>52</v>
      </c>
      <c r="E3006" t="s">
        <v>22</v>
      </c>
      <c r="F3006" t="s">
        <v>15</v>
      </c>
      <c r="G3006" t="s">
        <v>393</v>
      </c>
      <c r="H3006" t="s">
        <v>17</v>
      </c>
      <c r="I3006" t="s">
        <v>48</v>
      </c>
      <c r="J3006" t="s">
        <v>407</v>
      </c>
      <c r="K3006" s="1">
        <v>0.66316226851851856</v>
      </c>
      <c r="L3006">
        <f>YEAR(Coffe_sales[[#This Row],[Date]])</f>
        <v>2025</v>
      </c>
    </row>
    <row r="3007" spans="1:12" x14ac:dyDescent="0.2">
      <c r="A3007" t="s">
        <v>37</v>
      </c>
      <c r="B3007" t="s">
        <v>12</v>
      </c>
      <c r="C3007">
        <v>25.96</v>
      </c>
      <c r="D3007" t="s">
        <v>24</v>
      </c>
      <c r="E3007" t="s">
        <v>29</v>
      </c>
      <c r="F3007" t="s">
        <v>15</v>
      </c>
      <c r="G3007" t="s">
        <v>393</v>
      </c>
      <c r="H3007" t="s">
        <v>17</v>
      </c>
      <c r="I3007" t="s">
        <v>48</v>
      </c>
      <c r="J3007" t="s">
        <v>407</v>
      </c>
      <c r="K3007" s="1">
        <v>0.71060263888888886</v>
      </c>
      <c r="L3007">
        <f>YEAR(Coffe_sales[[#This Row],[Date]])</f>
        <v>2025</v>
      </c>
    </row>
    <row r="3008" spans="1:12" x14ac:dyDescent="0.2">
      <c r="A3008" t="s">
        <v>37</v>
      </c>
      <c r="B3008" t="s">
        <v>12</v>
      </c>
      <c r="C3008">
        <v>35.76</v>
      </c>
      <c r="D3008" t="s">
        <v>31</v>
      </c>
      <c r="E3008" t="s">
        <v>29</v>
      </c>
      <c r="F3008" t="s">
        <v>15</v>
      </c>
      <c r="G3008" t="s">
        <v>393</v>
      </c>
      <c r="H3008" t="s">
        <v>17</v>
      </c>
      <c r="I3008" t="s">
        <v>48</v>
      </c>
      <c r="J3008" t="s">
        <v>407</v>
      </c>
      <c r="K3008" s="1">
        <v>0.71145265046296291</v>
      </c>
      <c r="L3008">
        <f>YEAR(Coffe_sales[[#This Row],[Date]])</f>
        <v>2025</v>
      </c>
    </row>
    <row r="3009" spans="1:12" x14ac:dyDescent="0.2">
      <c r="A3009" t="s">
        <v>37</v>
      </c>
      <c r="B3009" t="s">
        <v>12</v>
      </c>
      <c r="C3009">
        <v>21.06</v>
      </c>
      <c r="D3009" t="s">
        <v>45</v>
      </c>
      <c r="E3009" t="s">
        <v>29</v>
      </c>
      <c r="F3009" t="s">
        <v>15</v>
      </c>
      <c r="G3009" t="s">
        <v>393</v>
      </c>
      <c r="H3009" t="s">
        <v>17</v>
      </c>
      <c r="I3009" t="s">
        <v>48</v>
      </c>
      <c r="J3009" t="s">
        <v>407</v>
      </c>
      <c r="K3009" s="1">
        <v>0.71467182870370372</v>
      </c>
      <c r="L3009">
        <f>YEAR(Coffe_sales[[#This Row],[Date]])</f>
        <v>2025</v>
      </c>
    </row>
    <row r="3010" spans="1:12" x14ac:dyDescent="0.2">
      <c r="A3010" t="s">
        <v>37</v>
      </c>
      <c r="B3010" t="s">
        <v>12</v>
      </c>
      <c r="C3010">
        <v>30.86</v>
      </c>
      <c r="D3010" t="s">
        <v>26</v>
      </c>
      <c r="E3010" t="s">
        <v>29</v>
      </c>
      <c r="F3010" t="s">
        <v>15</v>
      </c>
      <c r="G3010" t="s">
        <v>393</v>
      </c>
      <c r="H3010" t="s">
        <v>17</v>
      </c>
      <c r="I3010" t="s">
        <v>48</v>
      </c>
      <c r="J3010" t="s">
        <v>407</v>
      </c>
      <c r="K3010" s="1">
        <v>0.72598230324074076</v>
      </c>
      <c r="L3010">
        <f>YEAR(Coffe_sales[[#This Row],[Date]])</f>
        <v>2025</v>
      </c>
    </row>
    <row r="3011" spans="1:12" x14ac:dyDescent="0.2">
      <c r="A3011" t="s">
        <v>131</v>
      </c>
      <c r="B3011" t="s">
        <v>12</v>
      </c>
      <c r="C3011">
        <v>25.96</v>
      </c>
      <c r="D3011" t="s">
        <v>24</v>
      </c>
      <c r="E3011" t="s">
        <v>29</v>
      </c>
      <c r="F3011" t="s">
        <v>15</v>
      </c>
      <c r="G3011" t="s">
        <v>393</v>
      </c>
      <c r="H3011" t="s">
        <v>17</v>
      </c>
      <c r="I3011" t="s">
        <v>48</v>
      </c>
      <c r="J3011" t="s">
        <v>407</v>
      </c>
      <c r="K3011" s="1">
        <v>0.88784671296296291</v>
      </c>
      <c r="L3011">
        <f>YEAR(Coffe_sales[[#This Row],[Date]])</f>
        <v>2025</v>
      </c>
    </row>
    <row r="3012" spans="1:12" x14ac:dyDescent="0.2">
      <c r="A3012" t="s">
        <v>46</v>
      </c>
      <c r="B3012" t="s">
        <v>12</v>
      </c>
      <c r="C3012">
        <v>35.76</v>
      </c>
      <c r="D3012" t="s">
        <v>52</v>
      </c>
      <c r="E3012" t="s">
        <v>14</v>
      </c>
      <c r="F3012" t="s">
        <v>32</v>
      </c>
      <c r="G3012" t="s">
        <v>393</v>
      </c>
      <c r="H3012" t="s">
        <v>33</v>
      </c>
      <c r="I3012" t="s">
        <v>48</v>
      </c>
      <c r="J3012" t="s">
        <v>408</v>
      </c>
      <c r="K3012" s="1">
        <v>0.39087881944444447</v>
      </c>
      <c r="L3012">
        <f>YEAR(Coffe_sales[[#This Row],[Date]])</f>
        <v>2025</v>
      </c>
    </row>
    <row r="3013" spans="1:12" x14ac:dyDescent="0.2">
      <c r="A3013" t="s">
        <v>20</v>
      </c>
      <c r="B3013" t="s">
        <v>12</v>
      </c>
      <c r="C3013">
        <v>35.76</v>
      </c>
      <c r="D3013" t="s">
        <v>52</v>
      </c>
      <c r="E3013" t="s">
        <v>22</v>
      </c>
      <c r="F3013" t="s">
        <v>32</v>
      </c>
      <c r="G3013" t="s">
        <v>393</v>
      </c>
      <c r="H3013" t="s">
        <v>33</v>
      </c>
      <c r="I3013" t="s">
        <v>48</v>
      </c>
      <c r="J3013" t="s">
        <v>408</v>
      </c>
      <c r="K3013" s="1">
        <v>0.52909525462962959</v>
      </c>
      <c r="L3013">
        <f>YEAR(Coffe_sales[[#This Row],[Date]])</f>
        <v>2025</v>
      </c>
    </row>
    <row r="3014" spans="1:12" x14ac:dyDescent="0.2">
      <c r="A3014" t="s">
        <v>20</v>
      </c>
      <c r="B3014" t="s">
        <v>12</v>
      </c>
      <c r="C3014">
        <v>25.96</v>
      </c>
      <c r="D3014" t="s">
        <v>24</v>
      </c>
      <c r="E3014" t="s">
        <v>22</v>
      </c>
      <c r="F3014" t="s">
        <v>32</v>
      </c>
      <c r="G3014" t="s">
        <v>393</v>
      </c>
      <c r="H3014" t="s">
        <v>33</v>
      </c>
      <c r="I3014" t="s">
        <v>48</v>
      </c>
      <c r="J3014" t="s">
        <v>408</v>
      </c>
      <c r="K3014" s="1">
        <v>0.53086309027777778</v>
      </c>
      <c r="L3014">
        <f>YEAR(Coffe_sales[[#This Row],[Date]])</f>
        <v>2025</v>
      </c>
    </row>
    <row r="3015" spans="1:12" x14ac:dyDescent="0.2">
      <c r="A3015" t="s">
        <v>23</v>
      </c>
      <c r="B3015" t="s">
        <v>12</v>
      </c>
      <c r="C3015">
        <v>30.86</v>
      </c>
      <c r="D3015" t="s">
        <v>26</v>
      </c>
      <c r="E3015" t="s">
        <v>22</v>
      </c>
      <c r="F3015" t="s">
        <v>32</v>
      </c>
      <c r="G3015" t="s">
        <v>393</v>
      </c>
      <c r="H3015" t="s">
        <v>33</v>
      </c>
      <c r="I3015" t="s">
        <v>48</v>
      </c>
      <c r="J3015" t="s">
        <v>408</v>
      </c>
      <c r="K3015" s="1">
        <v>0.54328549768518519</v>
      </c>
      <c r="L3015">
        <f>YEAR(Coffe_sales[[#This Row],[Date]])</f>
        <v>2025</v>
      </c>
    </row>
    <row r="3016" spans="1:12" x14ac:dyDescent="0.2">
      <c r="A3016" t="s">
        <v>23</v>
      </c>
      <c r="B3016" t="s">
        <v>12</v>
      </c>
      <c r="C3016">
        <v>30.86</v>
      </c>
      <c r="D3016" t="s">
        <v>26</v>
      </c>
      <c r="E3016" t="s">
        <v>22</v>
      </c>
      <c r="F3016" t="s">
        <v>32</v>
      </c>
      <c r="G3016" t="s">
        <v>393</v>
      </c>
      <c r="H3016" t="s">
        <v>33</v>
      </c>
      <c r="I3016" t="s">
        <v>48</v>
      </c>
      <c r="J3016" t="s">
        <v>408</v>
      </c>
      <c r="K3016" s="1">
        <v>0.56395525462962959</v>
      </c>
      <c r="L3016">
        <f>YEAR(Coffe_sales[[#This Row],[Date]])</f>
        <v>2025</v>
      </c>
    </row>
    <row r="3017" spans="1:12" x14ac:dyDescent="0.2">
      <c r="A3017" t="s">
        <v>36</v>
      </c>
      <c r="B3017" t="s">
        <v>12</v>
      </c>
      <c r="C3017">
        <v>35.76</v>
      </c>
      <c r="D3017" t="s">
        <v>52</v>
      </c>
      <c r="E3017" t="s">
        <v>22</v>
      </c>
      <c r="F3017" t="s">
        <v>32</v>
      </c>
      <c r="G3017" t="s">
        <v>393</v>
      </c>
      <c r="H3017" t="s">
        <v>33</v>
      </c>
      <c r="I3017" t="s">
        <v>48</v>
      </c>
      <c r="J3017" t="s">
        <v>408</v>
      </c>
      <c r="K3017" s="1">
        <v>0.58462069444444442</v>
      </c>
      <c r="L3017">
        <f>YEAR(Coffe_sales[[#This Row],[Date]])</f>
        <v>2025</v>
      </c>
    </row>
    <row r="3018" spans="1:12" x14ac:dyDescent="0.2">
      <c r="A3018" t="s">
        <v>36</v>
      </c>
      <c r="B3018" t="s">
        <v>12</v>
      </c>
      <c r="C3018">
        <v>25.96</v>
      </c>
      <c r="D3018" t="s">
        <v>24</v>
      </c>
      <c r="E3018" t="s">
        <v>22</v>
      </c>
      <c r="F3018" t="s">
        <v>32</v>
      </c>
      <c r="G3018" t="s">
        <v>393</v>
      </c>
      <c r="H3018" t="s">
        <v>33</v>
      </c>
      <c r="I3018" t="s">
        <v>48</v>
      </c>
      <c r="J3018" t="s">
        <v>408</v>
      </c>
      <c r="K3018" s="1">
        <v>0.59159631944444446</v>
      </c>
      <c r="L3018">
        <f>YEAR(Coffe_sales[[#This Row],[Date]])</f>
        <v>2025</v>
      </c>
    </row>
    <row r="3019" spans="1:12" x14ac:dyDescent="0.2">
      <c r="A3019" t="s">
        <v>25</v>
      </c>
      <c r="B3019" t="s">
        <v>12</v>
      </c>
      <c r="C3019">
        <v>35.76</v>
      </c>
      <c r="D3019" t="s">
        <v>21</v>
      </c>
      <c r="E3019" t="s">
        <v>22</v>
      </c>
      <c r="F3019" t="s">
        <v>32</v>
      </c>
      <c r="G3019" t="s">
        <v>393</v>
      </c>
      <c r="H3019" t="s">
        <v>33</v>
      </c>
      <c r="I3019" t="s">
        <v>48</v>
      </c>
      <c r="J3019" t="s">
        <v>408</v>
      </c>
      <c r="K3019" s="1">
        <v>0.65286651620370373</v>
      </c>
      <c r="L3019">
        <f>YEAR(Coffe_sales[[#This Row],[Date]])</f>
        <v>2025</v>
      </c>
    </row>
    <row r="3020" spans="1:12" x14ac:dyDescent="0.2">
      <c r="A3020" t="s">
        <v>25</v>
      </c>
      <c r="B3020" t="s">
        <v>12</v>
      </c>
      <c r="C3020">
        <v>35.76</v>
      </c>
      <c r="D3020" t="s">
        <v>21</v>
      </c>
      <c r="E3020" t="s">
        <v>22</v>
      </c>
      <c r="F3020" t="s">
        <v>32</v>
      </c>
      <c r="G3020" t="s">
        <v>393</v>
      </c>
      <c r="H3020" t="s">
        <v>33</v>
      </c>
      <c r="I3020" t="s">
        <v>48</v>
      </c>
      <c r="J3020" t="s">
        <v>408</v>
      </c>
      <c r="K3020" s="1">
        <v>0.65346577546296292</v>
      </c>
      <c r="L3020">
        <f>YEAR(Coffe_sales[[#This Row],[Date]])</f>
        <v>2025</v>
      </c>
    </row>
    <row r="3021" spans="1:12" x14ac:dyDescent="0.2">
      <c r="A3021" t="s">
        <v>11</v>
      </c>
      <c r="B3021" t="s">
        <v>12</v>
      </c>
      <c r="C3021">
        <v>25.96</v>
      </c>
      <c r="D3021" t="s">
        <v>24</v>
      </c>
      <c r="E3021" t="s">
        <v>14</v>
      </c>
      <c r="F3021" t="s">
        <v>38</v>
      </c>
      <c r="G3021" t="s">
        <v>393</v>
      </c>
      <c r="H3021" t="s">
        <v>39</v>
      </c>
      <c r="I3021" t="s">
        <v>48</v>
      </c>
      <c r="J3021" t="s">
        <v>409</v>
      </c>
      <c r="K3021" s="1">
        <v>0.44911137731481482</v>
      </c>
      <c r="L3021">
        <f>YEAR(Coffe_sales[[#This Row],[Date]])</f>
        <v>2025</v>
      </c>
    </row>
    <row r="3022" spans="1:12" x14ac:dyDescent="0.2">
      <c r="A3022" t="s">
        <v>11</v>
      </c>
      <c r="B3022" t="s">
        <v>12</v>
      </c>
      <c r="C3022">
        <v>25.96</v>
      </c>
      <c r="D3022" t="s">
        <v>24</v>
      </c>
      <c r="E3022" t="s">
        <v>14</v>
      </c>
      <c r="F3022" t="s">
        <v>38</v>
      </c>
      <c r="G3022" t="s">
        <v>393</v>
      </c>
      <c r="H3022" t="s">
        <v>39</v>
      </c>
      <c r="I3022" t="s">
        <v>48</v>
      </c>
      <c r="J3022" t="s">
        <v>409</v>
      </c>
      <c r="K3022" s="1">
        <v>0.45139601851851852</v>
      </c>
      <c r="L3022">
        <f>YEAR(Coffe_sales[[#This Row],[Date]])</f>
        <v>2025</v>
      </c>
    </row>
    <row r="3023" spans="1:12" x14ac:dyDescent="0.2">
      <c r="A3023" t="s">
        <v>11</v>
      </c>
      <c r="B3023" t="s">
        <v>12</v>
      </c>
      <c r="C3023">
        <v>30.86</v>
      </c>
      <c r="D3023" t="s">
        <v>26</v>
      </c>
      <c r="E3023" t="s">
        <v>14</v>
      </c>
      <c r="F3023" t="s">
        <v>38</v>
      </c>
      <c r="G3023" t="s">
        <v>393</v>
      </c>
      <c r="H3023" t="s">
        <v>39</v>
      </c>
      <c r="I3023" t="s">
        <v>48</v>
      </c>
      <c r="J3023" t="s">
        <v>409</v>
      </c>
      <c r="K3023" s="1">
        <v>0.4521292476851852</v>
      </c>
      <c r="L3023">
        <f>YEAR(Coffe_sales[[#This Row],[Date]])</f>
        <v>2025</v>
      </c>
    </row>
    <row r="3024" spans="1:12" x14ac:dyDescent="0.2">
      <c r="A3024" t="s">
        <v>35</v>
      </c>
      <c r="B3024" t="s">
        <v>12</v>
      </c>
      <c r="C3024">
        <v>35.76</v>
      </c>
      <c r="D3024" t="s">
        <v>21</v>
      </c>
      <c r="E3024" t="s">
        <v>14</v>
      </c>
      <c r="F3024" t="s">
        <v>38</v>
      </c>
      <c r="G3024" t="s">
        <v>393</v>
      </c>
      <c r="H3024" t="s">
        <v>39</v>
      </c>
      <c r="I3024" t="s">
        <v>48</v>
      </c>
      <c r="J3024" t="s">
        <v>409</v>
      </c>
      <c r="K3024" s="1">
        <v>0.46166543981481484</v>
      </c>
      <c r="L3024">
        <f>YEAR(Coffe_sales[[#This Row],[Date]])</f>
        <v>2025</v>
      </c>
    </row>
    <row r="3025" spans="1:12" x14ac:dyDescent="0.2">
      <c r="A3025" t="s">
        <v>35</v>
      </c>
      <c r="B3025" t="s">
        <v>12</v>
      </c>
      <c r="C3025">
        <v>25.96</v>
      </c>
      <c r="D3025" t="s">
        <v>24</v>
      </c>
      <c r="E3025" t="s">
        <v>14</v>
      </c>
      <c r="F3025" t="s">
        <v>38</v>
      </c>
      <c r="G3025" t="s">
        <v>393</v>
      </c>
      <c r="H3025" t="s">
        <v>39</v>
      </c>
      <c r="I3025" t="s">
        <v>48</v>
      </c>
      <c r="J3025" t="s">
        <v>409</v>
      </c>
      <c r="K3025" s="1">
        <v>0.48089184027777776</v>
      </c>
      <c r="L3025">
        <f>YEAR(Coffe_sales[[#This Row],[Date]])</f>
        <v>2025</v>
      </c>
    </row>
    <row r="3026" spans="1:12" x14ac:dyDescent="0.2">
      <c r="A3026" t="s">
        <v>36</v>
      </c>
      <c r="B3026" t="s">
        <v>12</v>
      </c>
      <c r="C3026">
        <v>35.76</v>
      </c>
      <c r="D3026" t="s">
        <v>21</v>
      </c>
      <c r="E3026" t="s">
        <v>22</v>
      </c>
      <c r="F3026" t="s">
        <v>38</v>
      </c>
      <c r="G3026" t="s">
        <v>393</v>
      </c>
      <c r="H3026" t="s">
        <v>39</v>
      </c>
      <c r="I3026" t="s">
        <v>48</v>
      </c>
      <c r="J3026" t="s">
        <v>409</v>
      </c>
      <c r="K3026" s="1">
        <v>0.59417880787037036</v>
      </c>
      <c r="L3026">
        <f>YEAR(Coffe_sales[[#This Row],[Date]])</f>
        <v>2025</v>
      </c>
    </row>
    <row r="3027" spans="1:12" x14ac:dyDescent="0.2">
      <c r="A3027" t="s">
        <v>36</v>
      </c>
      <c r="B3027" t="s">
        <v>12</v>
      </c>
      <c r="C3027">
        <v>35.76</v>
      </c>
      <c r="D3027" t="s">
        <v>13</v>
      </c>
      <c r="E3027" t="s">
        <v>22</v>
      </c>
      <c r="F3027" t="s">
        <v>38</v>
      </c>
      <c r="G3027" t="s">
        <v>393</v>
      </c>
      <c r="H3027" t="s">
        <v>39</v>
      </c>
      <c r="I3027" t="s">
        <v>48</v>
      </c>
      <c r="J3027" t="s">
        <v>409</v>
      </c>
      <c r="K3027" s="1">
        <v>0.59492041666666662</v>
      </c>
      <c r="L3027">
        <f>YEAR(Coffe_sales[[#This Row],[Date]])</f>
        <v>2025</v>
      </c>
    </row>
    <row r="3028" spans="1:12" x14ac:dyDescent="0.2">
      <c r="A3028" t="s">
        <v>37</v>
      </c>
      <c r="B3028" t="s">
        <v>12</v>
      </c>
      <c r="C3028">
        <v>35.76</v>
      </c>
      <c r="D3028" t="s">
        <v>21</v>
      </c>
      <c r="E3028" t="s">
        <v>29</v>
      </c>
      <c r="F3028" t="s">
        <v>38</v>
      </c>
      <c r="G3028" t="s">
        <v>393</v>
      </c>
      <c r="H3028" t="s">
        <v>39</v>
      </c>
      <c r="I3028" t="s">
        <v>48</v>
      </c>
      <c r="J3028" t="s">
        <v>409</v>
      </c>
      <c r="K3028" s="1">
        <v>0.71698381944444445</v>
      </c>
      <c r="L3028">
        <f>YEAR(Coffe_sales[[#This Row],[Date]])</f>
        <v>2025</v>
      </c>
    </row>
    <row r="3029" spans="1:12" x14ac:dyDescent="0.2">
      <c r="A3029" t="s">
        <v>37</v>
      </c>
      <c r="B3029" t="s">
        <v>12</v>
      </c>
      <c r="C3029">
        <v>30.86</v>
      </c>
      <c r="D3029" t="s">
        <v>26</v>
      </c>
      <c r="E3029" t="s">
        <v>29</v>
      </c>
      <c r="F3029" t="s">
        <v>38</v>
      </c>
      <c r="G3029" t="s">
        <v>393</v>
      </c>
      <c r="H3029" t="s">
        <v>39</v>
      </c>
      <c r="I3029" t="s">
        <v>48</v>
      </c>
      <c r="J3029" t="s">
        <v>409</v>
      </c>
      <c r="K3029" s="1">
        <v>0.71774274305555552</v>
      </c>
      <c r="L3029">
        <f>YEAR(Coffe_sales[[#This Row],[Date]])</f>
        <v>2025</v>
      </c>
    </row>
    <row r="3030" spans="1:12" x14ac:dyDescent="0.2">
      <c r="A3030" t="s">
        <v>37</v>
      </c>
      <c r="B3030" t="s">
        <v>12</v>
      </c>
      <c r="C3030">
        <v>30.86</v>
      </c>
      <c r="D3030" t="s">
        <v>26</v>
      </c>
      <c r="E3030" t="s">
        <v>29</v>
      </c>
      <c r="F3030" t="s">
        <v>38</v>
      </c>
      <c r="G3030" t="s">
        <v>393</v>
      </c>
      <c r="H3030" t="s">
        <v>39</v>
      </c>
      <c r="I3030" t="s">
        <v>48</v>
      </c>
      <c r="J3030" t="s">
        <v>409</v>
      </c>
      <c r="K3030" s="1">
        <v>0.7392682986111111</v>
      </c>
      <c r="L3030">
        <f>YEAR(Coffe_sales[[#This Row],[Date]])</f>
        <v>2025</v>
      </c>
    </row>
    <row r="3031" spans="1:12" x14ac:dyDescent="0.2">
      <c r="A3031" t="s">
        <v>33</v>
      </c>
      <c r="B3031" t="s">
        <v>12</v>
      </c>
      <c r="C3031">
        <v>35.76</v>
      </c>
      <c r="D3031" t="s">
        <v>52</v>
      </c>
      <c r="E3031" t="s">
        <v>14</v>
      </c>
      <c r="F3031" t="s">
        <v>42</v>
      </c>
      <c r="G3031" t="s">
        <v>393</v>
      </c>
      <c r="H3031" t="s">
        <v>43</v>
      </c>
      <c r="I3031" t="s">
        <v>48</v>
      </c>
      <c r="J3031" t="s">
        <v>410</v>
      </c>
      <c r="K3031" s="1">
        <v>0.2847737847222222</v>
      </c>
      <c r="L3031">
        <f>YEAR(Coffe_sales[[#This Row],[Date]])</f>
        <v>2025</v>
      </c>
    </row>
    <row r="3032" spans="1:12" x14ac:dyDescent="0.2">
      <c r="A3032" t="s">
        <v>123</v>
      </c>
      <c r="B3032" t="s">
        <v>12</v>
      </c>
      <c r="C3032">
        <v>25.96</v>
      </c>
      <c r="D3032" t="s">
        <v>24</v>
      </c>
      <c r="E3032" t="s">
        <v>14</v>
      </c>
      <c r="F3032" t="s">
        <v>42</v>
      </c>
      <c r="G3032" t="s">
        <v>393</v>
      </c>
      <c r="H3032" t="s">
        <v>43</v>
      </c>
      <c r="I3032" t="s">
        <v>48</v>
      </c>
      <c r="J3032" t="s">
        <v>410</v>
      </c>
      <c r="K3032" s="1">
        <v>0.37029870370370371</v>
      </c>
      <c r="L3032">
        <f>YEAR(Coffe_sales[[#This Row],[Date]])</f>
        <v>2025</v>
      </c>
    </row>
    <row r="3033" spans="1:12" x14ac:dyDescent="0.2">
      <c r="A3033" t="s">
        <v>46</v>
      </c>
      <c r="B3033" t="s">
        <v>12</v>
      </c>
      <c r="C3033">
        <v>25.96</v>
      </c>
      <c r="D3033" t="s">
        <v>24</v>
      </c>
      <c r="E3033" t="s">
        <v>14</v>
      </c>
      <c r="F3033" t="s">
        <v>42</v>
      </c>
      <c r="G3033" t="s">
        <v>393</v>
      </c>
      <c r="H3033" t="s">
        <v>43</v>
      </c>
      <c r="I3033" t="s">
        <v>48</v>
      </c>
      <c r="J3033" t="s">
        <v>410</v>
      </c>
      <c r="K3033" s="1">
        <v>0.37563827546296297</v>
      </c>
      <c r="L3033">
        <f>YEAR(Coffe_sales[[#This Row],[Date]])</f>
        <v>2025</v>
      </c>
    </row>
    <row r="3034" spans="1:12" x14ac:dyDescent="0.2">
      <c r="A3034" t="s">
        <v>46</v>
      </c>
      <c r="B3034" t="s">
        <v>12</v>
      </c>
      <c r="C3034">
        <v>30.86</v>
      </c>
      <c r="D3034" t="s">
        <v>26</v>
      </c>
      <c r="E3034" t="s">
        <v>14</v>
      </c>
      <c r="F3034" t="s">
        <v>42</v>
      </c>
      <c r="G3034" t="s">
        <v>393</v>
      </c>
      <c r="H3034" t="s">
        <v>43</v>
      </c>
      <c r="I3034" t="s">
        <v>48</v>
      </c>
      <c r="J3034" t="s">
        <v>410</v>
      </c>
      <c r="K3034" s="1">
        <v>0.39452062500000001</v>
      </c>
      <c r="L3034">
        <f>YEAR(Coffe_sales[[#This Row],[Date]])</f>
        <v>2025</v>
      </c>
    </row>
    <row r="3035" spans="1:12" x14ac:dyDescent="0.2">
      <c r="A3035" t="s">
        <v>46</v>
      </c>
      <c r="B3035" t="s">
        <v>12</v>
      </c>
      <c r="C3035">
        <v>35.76</v>
      </c>
      <c r="D3035" t="s">
        <v>21</v>
      </c>
      <c r="E3035" t="s">
        <v>14</v>
      </c>
      <c r="F3035" t="s">
        <v>42</v>
      </c>
      <c r="G3035" t="s">
        <v>393</v>
      </c>
      <c r="H3035" t="s">
        <v>43</v>
      </c>
      <c r="I3035" t="s">
        <v>48</v>
      </c>
      <c r="J3035" t="s">
        <v>410</v>
      </c>
      <c r="K3035" s="1">
        <v>0.41457421296296298</v>
      </c>
      <c r="L3035">
        <f>YEAR(Coffe_sales[[#This Row],[Date]])</f>
        <v>2025</v>
      </c>
    </row>
    <row r="3036" spans="1:12" x14ac:dyDescent="0.2">
      <c r="A3036" t="s">
        <v>11</v>
      </c>
      <c r="B3036" t="s">
        <v>12</v>
      </c>
      <c r="C3036">
        <v>30.86</v>
      </c>
      <c r="D3036" t="s">
        <v>26</v>
      </c>
      <c r="E3036" t="s">
        <v>14</v>
      </c>
      <c r="F3036" t="s">
        <v>42</v>
      </c>
      <c r="G3036" t="s">
        <v>393</v>
      </c>
      <c r="H3036" t="s">
        <v>43</v>
      </c>
      <c r="I3036" t="s">
        <v>48</v>
      </c>
      <c r="J3036" t="s">
        <v>410</v>
      </c>
      <c r="K3036" s="1">
        <v>0.43069519675925927</v>
      </c>
      <c r="L3036">
        <f>YEAR(Coffe_sales[[#This Row],[Date]])</f>
        <v>2025</v>
      </c>
    </row>
    <row r="3037" spans="1:12" x14ac:dyDescent="0.2">
      <c r="A3037" t="s">
        <v>11</v>
      </c>
      <c r="B3037" t="s">
        <v>12</v>
      </c>
      <c r="C3037">
        <v>25.96</v>
      </c>
      <c r="D3037" t="s">
        <v>24</v>
      </c>
      <c r="E3037" t="s">
        <v>14</v>
      </c>
      <c r="F3037" t="s">
        <v>42</v>
      </c>
      <c r="G3037" t="s">
        <v>393</v>
      </c>
      <c r="H3037" t="s">
        <v>43</v>
      </c>
      <c r="I3037" t="s">
        <v>48</v>
      </c>
      <c r="J3037" t="s">
        <v>410</v>
      </c>
      <c r="K3037" s="1">
        <v>0.44777783564814816</v>
      </c>
      <c r="L3037">
        <f>YEAR(Coffe_sales[[#This Row],[Date]])</f>
        <v>2025</v>
      </c>
    </row>
    <row r="3038" spans="1:12" x14ac:dyDescent="0.2">
      <c r="A3038" t="s">
        <v>35</v>
      </c>
      <c r="B3038" t="s">
        <v>12</v>
      </c>
      <c r="C3038">
        <v>30.86</v>
      </c>
      <c r="D3038" t="s">
        <v>26</v>
      </c>
      <c r="E3038" t="s">
        <v>14</v>
      </c>
      <c r="F3038" t="s">
        <v>42</v>
      </c>
      <c r="G3038" t="s">
        <v>393</v>
      </c>
      <c r="H3038" t="s">
        <v>43</v>
      </c>
      <c r="I3038" t="s">
        <v>48</v>
      </c>
      <c r="J3038" t="s">
        <v>410</v>
      </c>
      <c r="K3038" s="1">
        <v>0.49581725694444445</v>
      </c>
      <c r="L3038">
        <f>YEAR(Coffe_sales[[#This Row],[Date]])</f>
        <v>2025</v>
      </c>
    </row>
    <row r="3039" spans="1:12" x14ac:dyDescent="0.2">
      <c r="A3039" t="s">
        <v>35</v>
      </c>
      <c r="B3039" t="s">
        <v>12</v>
      </c>
      <c r="C3039">
        <v>21.06</v>
      </c>
      <c r="D3039" t="s">
        <v>45</v>
      </c>
      <c r="E3039" t="s">
        <v>14</v>
      </c>
      <c r="F3039" t="s">
        <v>42</v>
      </c>
      <c r="G3039" t="s">
        <v>393</v>
      </c>
      <c r="H3039" t="s">
        <v>43</v>
      </c>
      <c r="I3039" t="s">
        <v>48</v>
      </c>
      <c r="J3039" t="s">
        <v>410</v>
      </c>
      <c r="K3039" s="1">
        <v>0.49655327546296296</v>
      </c>
      <c r="L3039">
        <f>YEAR(Coffe_sales[[#This Row],[Date]])</f>
        <v>2025</v>
      </c>
    </row>
    <row r="3040" spans="1:12" x14ac:dyDescent="0.2">
      <c r="A3040" t="s">
        <v>20</v>
      </c>
      <c r="B3040" t="s">
        <v>12</v>
      </c>
      <c r="C3040">
        <v>35.76</v>
      </c>
      <c r="D3040" t="s">
        <v>52</v>
      </c>
      <c r="E3040" t="s">
        <v>22</v>
      </c>
      <c r="F3040" t="s">
        <v>42</v>
      </c>
      <c r="G3040" t="s">
        <v>393</v>
      </c>
      <c r="H3040" t="s">
        <v>43</v>
      </c>
      <c r="I3040" t="s">
        <v>48</v>
      </c>
      <c r="J3040" t="s">
        <v>410</v>
      </c>
      <c r="K3040" s="1">
        <v>0.53400834490740745</v>
      </c>
      <c r="L3040">
        <f>YEAR(Coffe_sales[[#This Row],[Date]])</f>
        <v>2025</v>
      </c>
    </row>
    <row r="3041" spans="1:12" x14ac:dyDescent="0.2">
      <c r="A3041" t="s">
        <v>36</v>
      </c>
      <c r="B3041" t="s">
        <v>12</v>
      </c>
      <c r="C3041">
        <v>35.76</v>
      </c>
      <c r="D3041" t="s">
        <v>13</v>
      </c>
      <c r="E3041" t="s">
        <v>22</v>
      </c>
      <c r="F3041" t="s">
        <v>42</v>
      </c>
      <c r="G3041" t="s">
        <v>393</v>
      </c>
      <c r="H3041" t="s">
        <v>43</v>
      </c>
      <c r="I3041" t="s">
        <v>48</v>
      </c>
      <c r="J3041" t="s">
        <v>410</v>
      </c>
      <c r="K3041" s="1">
        <v>0.59932760416666664</v>
      </c>
      <c r="L3041">
        <f>YEAR(Coffe_sales[[#This Row],[Date]])</f>
        <v>2025</v>
      </c>
    </row>
    <row r="3042" spans="1:12" x14ac:dyDescent="0.2">
      <c r="A3042" t="s">
        <v>25</v>
      </c>
      <c r="B3042" t="s">
        <v>12</v>
      </c>
      <c r="C3042">
        <v>30.86</v>
      </c>
      <c r="D3042" t="s">
        <v>26</v>
      </c>
      <c r="E3042" t="s">
        <v>22</v>
      </c>
      <c r="F3042" t="s">
        <v>42</v>
      </c>
      <c r="G3042" t="s">
        <v>393</v>
      </c>
      <c r="H3042" t="s">
        <v>43</v>
      </c>
      <c r="I3042" t="s">
        <v>48</v>
      </c>
      <c r="J3042" t="s">
        <v>410</v>
      </c>
      <c r="K3042" s="1">
        <v>0.62895482638888889</v>
      </c>
      <c r="L3042">
        <f>YEAR(Coffe_sales[[#This Row],[Date]])</f>
        <v>2025</v>
      </c>
    </row>
    <row r="3043" spans="1:12" x14ac:dyDescent="0.2">
      <c r="A3043" t="s">
        <v>25</v>
      </c>
      <c r="B3043" t="s">
        <v>12</v>
      </c>
      <c r="C3043">
        <v>35.76</v>
      </c>
      <c r="D3043" t="s">
        <v>13</v>
      </c>
      <c r="E3043" t="s">
        <v>22</v>
      </c>
      <c r="F3043" t="s">
        <v>42</v>
      </c>
      <c r="G3043" t="s">
        <v>393</v>
      </c>
      <c r="H3043" t="s">
        <v>43</v>
      </c>
      <c r="I3043" t="s">
        <v>48</v>
      </c>
      <c r="J3043" t="s">
        <v>410</v>
      </c>
      <c r="K3043" s="1">
        <v>0.64814313657407407</v>
      </c>
      <c r="L3043">
        <f>YEAR(Coffe_sales[[#This Row],[Date]])</f>
        <v>2025</v>
      </c>
    </row>
    <row r="3044" spans="1:12" x14ac:dyDescent="0.2">
      <c r="A3044" t="s">
        <v>27</v>
      </c>
      <c r="B3044" t="s">
        <v>12</v>
      </c>
      <c r="C3044">
        <v>21.06</v>
      </c>
      <c r="D3044" t="s">
        <v>45</v>
      </c>
      <c r="E3044" t="s">
        <v>22</v>
      </c>
      <c r="F3044" t="s">
        <v>42</v>
      </c>
      <c r="G3044" t="s">
        <v>393</v>
      </c>
      <c r="H3044" t="s">
        <v>43</v>
      </c>
      <c r="I3044" t="s">
        <v>48</v>
      </c>
      <c r="J3044" t="s">
        <v>410</v>
      </c>
      <c r="K3044" s="1">
        <v>0.67993516203703708</v>
      </c>
      <c r="L3044">
        <f>YEAR(Coffe_sales[[#This Row],[Date]])</f>
        <v>2025</v>
      </c>
    </row>
    <row r="3045" spans="1:12" x14ac:dyDescent="0.2">
      <c r="A3045" t="s">
        <v>27</v>
      </c>
      <c r="B3045" t="s">
        <v>12</v>
      </c>
      <c r="C3045">
        <v>25.96</v>
      </c>
      <c r="D3045" t="s">
        <v>24</v>
      </c>
      <c r="E3045" t="s">
        <v>22</v>
      </c>
      <c r="F3045" t="s">
        <v>42</v>
      </c>
      <c r="G3045" t="s">
        <v>393</v>
      </c>
      <c r="H3045" t="s">
        <v>43</v>
      </c>
      <c r="I3045" t="s">
        <v>48</v>
      </c>
      <c r="J3045" t="s">
        <v>410</v>
      </c>
      <c r="K3045" s="1">
        <v>0.68243056712962968</v>
      </c>
      <c r="L3045">
        <f>YEAR(Coffe_sales[[#This Row],[Date]])</f>
        <v>2025</v>
      </c>
    </row>
    <row r="3046" spans="1:12" x14ac:dyDescent="0.2">
      <c r="A3046" t="s">
        <v>37</v>
      </c>
      <c r="B3046" t="s">
        <v>12</v>
      </c>
      <c r="C3046">
        <v>30.86</v>
      </c>
      <c r="D3046" t="s">
        <v>26</v>
      </c>
      <c r="E3046" t="s">
        <v>29</v>
      </c>
      <c r="F3046" t="s">
        <v>42</v>
      </c>
      <c r="G3046" t="s">
        <v>393</v>
      </c>
      <c r="H3046" t="s">
        <v>43</v>
      </c>
      <c r="I3046" t="s">
        <v>48</v>
      </c>
      <c r="J3046" t="s">
        <v>410</v>
      </c>
      <c r="K3046" s="1">
        <v>0.73002443287037033</v>
      </c>
      <c r="L3046">
        <f>YEAR(Coffe_sales[[#This Row],[Date]])</f>
        <v>2025</v>
      </c>
    </row>
    <row r="3047" spans="1:12" x14ac:dyDescent="0.2">
      <c r="A3047" t="s">
        <v>28</v>
      </c>
      <c r="B3047" t="s">
        <v>12</v>
      </c>
      <c r="C3047">
        <v>25.96</v>
      </c>
      <c r="D3047" t="s">
        <v>24</v>
      </c>
      <c r="E3047" t="s">
        <v>29</v>
      </c>
      <c r="F3047" t="s">
        <v>42</v>
      </c>
      <c r="G3047" t="s">
        <v>393</v>
      </c>
      <c r="H3047" t="s">
        <v>43</v>
      </c>
      <c r="I3047" t="s">
        <v>48</v>
      </c>
      <c r="J3047" t="s">
        <v>410</v>
      </c>
      <c r="K3047" s="1">
        <v>0.76658145833333335</v>
      </c>
      <c r="L3047">
        <f>YEAR(Coffe_sales[[#This Row],[Date]])</f>
        <v>2025</v>
      </c>
    </row>
    <row r="3048" spans="1:12" x14ac:dyDescent="0.2">
      <c r="A3048" t="s">
        <v>30</v>
      </c>
      <c r="B3048" t="s">
        <v>12</v>
      </c>
      <c r="C3048">
        <v>25.96</v>
      </c>
      <c r="D3048" t="s">
        <v>24</v>
      </c>
      <c r="E3048" t="s">
        <v>29</v>
      </c>
      <c r="F3048" t="s">
        <v>42</v>
      </c>
      <c r="G3048" t="s">
        <v>393</v>
      </c>
      <c r="H3048" t="s">
        <v>43</v>
      </c>
      <c r="I3048" t="s">
        <v>48</v>
      </c>
      <c r="J3048" t="s">
        <v>410</v>
      </c>
      <c r="K3048" s="1">
        <v>0.80129442129629624</v>
      </c>
      <c r="L3048">
        <f>YEAR(Coffe_sales[[#This Row],[Date]])</f>
        <v>2025</v>
      </c>
    </row>
    <row r="3049" spans="1:12" x14ac:dyDescent="0.2">
      <c r="A3049" t="s">
        <v>30</v>
      </c>
      <c r="B3049" t="s">
        <v>12</v>
      </c>
      <c r="C3049">
        <v>25.96</v>
      </c>
      <c r="D3049" t="s">
        <v>24</v>
      </c>
      <c r="E3049" t="s">
        <v>29</v>
      </c>
      <c r="F3049" t="s">
        <v>42</v>
      </c>
      <c r="G3049" t="s">
        <v>393</v>
      </c>
      <c r="H3049" t="s">
        <v>43</v>
      </c>
      <c r="I3049" t="s">
        <v>48</v>
      </c>
      <c r="J3049" t="s">
        <v>410</v>
      </c>
      <c r="K3049" s="1">
        <v>0.8020934837962963</v>
      </c>
      <c r="L3049">
        <f>YEAR(Coffe_sales[[#This Row],[Date]])</f>
        <v>2025</v>
      </c>
    </row>
    <row r="3050" spans="1:12" x14ac:dyDescent="0.2">
      <c r="A3050" t="s">
        <v>91</v>
      </c>
      <c r="B3050" t="s">
        <v>12</v>
      </c>
      <c r="C3050">
        <v>35.76</v>
      </c>
      <c r="D3050" t="s">
        <v>13</v>
      </c>
      <c r="E3050" t="s">
        <v>29</v>
      </c>
      <c r="F3050" t="s">
        <v>42</v>
      </c>
      <c r="G3050" t="s">
        <v>393</v>
      </c>
      <c r="H3050" t="s">
        <v>43</v>
      </c>
      <c r="I3050" t="s">
        <v>48</v>
      </c>
      <c r="J3050" t="s">
        <v>410</v>
      </c>
      <c r="K3050" s="1">
        <v>0.8460358564814815</v>
      </c>
      <c r="L3050">
        <f>YEAR(Coffe_sales[[#This Row],[Date]])</f>
        <v>2025</v>
      </c>
    </row>
    <row r="3051" spans="1:12" x14ac:dyDescent="0.2">
      <c r="A3051" t="s">
        <v>123</v>
      </c>
      <c r="B3051" t="s">
        <v>12</v>
      </c>
      <c r="C3051">
        <v>25.96</v>
      </c>
      <c r="D3051" t="s">
        <v>24</v>
      </c>
      <c r="E3051" t="s">
        <v>14</v>
      </c>
      <c r="F3051" t="s">
        <v>47</v>
      </c>
      <c r="G3051" t="s">
        <v>393</v>
      </c>
      <c r="H3051" t="s">
        <v>48</v>
      </c>
      <c r="I3051" t="s">
        <v>48</v>
      </c>
      <c r="J3051" t="s">
        <v>411</v>
      </c>
      <c r="K3051" s="1">
        <v>0.37024008101851852</v>
      </c>
      <c r="L3051">
        <f>YEAR(Coffe_sales[[#This Row],[Date]])</f>
        <v>2025</v>
      </c>
    </row>
    <row r="3052" spans="1:12" x14ac:dyDescent="0.2">
      <c r="A3052" t="s">
        <v>123</v>
      </c>
      <c r="B3052" t="s">
        <v>12</v>
      </c>
      <c r="C3052">
        <v>25.96</v>
      </c>
      <c r="D3052" t="s">
        <v>24</v>
      </c>
      <c r="E3052" t="s">
        <v>14</v>
      </c>
      <c r="F3052" t="s">
        <v>47</v>
      </c>
      <c r="G3052" t="s">
        <v>393</v>
      </c>
      <c r="H3052" t="s">
        <v>48</v>
      </c>
      <c r="I3052" t="s">
        <v>48</v>
      </c>
      <c r="J3052" t="s">
        <v>411</v>
      </c>
      <c r="K3052" s="1">
        <v>0.37100107638888891</v>
      </c>
      <c r="L3052">
        <f>YEAR(Coffe_sales[[#This Row],[Date]])</f>
        <v>2025</v>
      </c>
    </row>
    <row r="3053" spans="1:12" x14ac:dyDescent="0.2">
      <c r="A3053" t="s">
        <v>35</v>
      </c>
      <c r="B3053" t="s">
        <v>12</v>
      </c>
      <c r="C3053">
        <v>25.96</v>
      </c>
      <c r="D3053" t="s">
        <v>24</v>
      </c>
      <c r="E3053" t="s">
        <v>14</v>
      </c>
      <c r="F3053" t="s">
        <v>47</v>
      </c>
      <c r="G3053" t="s">
        <v>393</v>
      </c>
      <c r="H3053" t="s">
        <v>48</v>
      </c>
      <c r="I3053" t="s">
        <v>48</v>
      </c>
      <c r="J3053" t="s">
        <v>411</v>
      </c>
      <c r="K3053" s="1">
        <v>0.46360325231481481</v>
      </c>
      <c r="L3053">
        <f>YEAR(Coffe_sales[[#This Row],[Date]])</f>
        <v>2025</v>
      </c>
    </row>
    <row r="3054" spans="1:12" x14ac:dyDescent="0.2">
      <c r="A3054" t="s">
        <v>35</v>
      </c>
      <c r="B3054" t="s">
        <v>12</v>
      </c>
      <c r="C3054">
        <v>25.96</v>
      </c>
      <c r="D3054" t="s">
        <v>24</v>
      </c>
      <c r="E3054" t="s">
        <v>14</v>
      </c>
      <c r="F3054" t="s">
        <v>47</v>
      </c>
      <c r="G3054" t="s">
        <v>393</v>
      </c>
      <c r="H3054" t="s">
        <v>48</v>
      </c>
      <c r="I3054" t="s">
        <v>48</v>
      </c>
      <c r="J3054" t="s">
        <v>411</v>
      </c>
      <c r="K3054" s="1">
        <v>0.47923791666666665</v>
      </c>
      <c r="L3054">
        <f>YEAR(Coffe_sales[[#This Row],[Date]])</f>
        <v>2025</v>
      </c>
    </row>
    <row r="3055" spans="1:12" x14ac:dyDescent="0.2">
      <c r="A3055" t="s">
        <v>35</v>
      </c>
      <c r="B3055" t="s">
        <v>12</v>
      </c>
      <c r="C3055">
        <v>30.86</v>
      </c>
      <c r="D3055" t="s">
        <v>26</v>
      </c>
      <c r="E3055" t="s">
        <v>14</v>
      </c>
      <c r="F3055" t="s">
        <v>47</v>
      </c>
      <c r="G3055" t="s">
        <v>393</v>
      </c>
      <c r="H3055" t="s">
        <v>48</v>
      </c>
      <c r="I3055" t="s">
        <v>48</v>
      </c>
      <c r="J3055" t="s">
        <v>411</v>
      </c>
      <c r="K3055" s="1">
        <v>0.48499475694444444</v>
      </c>
      <c r="L3055">
        <f>YEAR(Coffe_sales[[#This Row],[Date]])</f>
        <v>2025</v>
      </c>
    </row>
    <row r="3056" spans="1:12" x14ac:dyDescent="0.2">
      <c r="A3056" t="s">
        <v>20</v>
      </c>
      <c r="B3056" t="s">
        <v>12</v>
      </c>
      <c r="C3056">
        <v>30.86</v>
      </c>
      <c r="D3056" t="s">
        <v>26</v>
      </c>
      <c r="E3056" t="s">
        <v>22</v>
      </c>
      <c r="F3056" t="s">
        <v>47</v>
      </c>
      <c r="G3056" t="s">
        <v>393</v>
      </c>
      <c r="H3056" t="s">
        <v>48</v>
      </c>
      <c r="I3056" t="s">
        <v>48</v>
      </c>
      <c r="J3056" t="s">
        <v>411</v>
      </c>
      <c r="K3056" s="1">
        <v>0.51072424768518521</v>
      </c>
      <c r="L3056">
        <f>YEAR(Coffe_sales[[#This Row],[Date]])</f>
        <v>2025</v>
      </c>
    </row>
    <row r="3057" spans="1:12" x14ac:dyDescent="0.2">
      <c r="A3057" t="s">
        <v>23</v>
      </c>
      <c r="B3057" t="s">
        <v>12</v>
      </c>
      <c r="C3057">
        <v>35.76</v>
      </c>
      <c r="D3057" t="s">
        <v>31</v>
      </c>
      <c r="E3057" t="s">
        <v>22</v>
      </c>
      <c r="F3057" t="s">
        <v>47</v>
      </c>
      <c r="G3057" t="s">
        <v>393</v>
      </c>
      <c r="H3057" t="s">
        <v>48</v>
      </c>
      <c r="I3057" t="s">
        <v>48</v>
      </c>
      <c r="J3057" t="s">
        <v>411</v>
      </c>
      <c r="K3057" s="1">
        <v>0.54475982638888887</v>
      </c>
      <c r="L3057">
        <f>YEAR(Coffe_sales[[#This Row],[Date]])</f>
        <v>2025</v>
      </c>
    </row>
    <row r="3058" spans="1:12" x14ac:dyDescent="0.2">
      <c r="A3058" t="s">
        <v>23</v>
      </c>
      <c r="B3058" t="s">
        <v>12</v>
      </c>
      <c r="C3058">
        <v>25.96</v>
      </c>
      <c r="D3058" t="s">
        <v>24</v>
      </c>
      <c r="E3058" t="s">
        <v>22</v>
      </c>
      <c r="F3058" t="s">
        <v>47</v>
      </c>
      <c r="G3058" t="s">
        <v>393</v>
      </c>
      <c r="H3058" t="s">
        <v>48</v>
      </c>
      <c r="I3058" t="s">
        <v>48</v>
      </c>
      <c r="J3058" t="s">
        <v>411</v>
      </c>
      <c r="K3058" s="1">
        <v>0.55954986111111116</v>
      </c>
      <c r="L3058">
        <f>YEAR(Coffe_sales[[#This Row],[Date]])</f>
        <v>2025</v>
      </c>
    </row>
    <row r="3059" spans="1:12" x14ac:dyDescent="0.2">
      <c r="A3059" t="s">
        <v>23</v>
      </c>
      <c r="B3059" t="s">
        <v>12</v>
      </c>
      <c r="C3059">
        <v>30.86</v>
      </c>
      <c r="D3059" t="s">
        <v>26</v>
      </c>
      <c r="E3059" t="s">
        <v>22</v>
      </c>
      <c r="F3059" t="s">
        <v>47</v>
      </c>
      <c r="G3059" t="s">
        <v>393</v>
      </c>
      <c r="H3059" t="s">
        <v>48</v>
      </c>
      <c r="I3059" t="s">
        <v>48</v>
      </c>
      <c r="J3059" t="s">
        <v>411</v>
      </c>
      <c r="K3059" s="1">
        <v>0.56047812500000005</v>
      </c>
      <c r="L3059">
        <f>YEAR(Coffe_sales[[#This Row],[Date]])</f>
        <v>2025</v>
      </c>
    </row>
    <row r="3060" spans="1:12" x14ac:dyDescent="0.2">
      <c r="A3060" t="s">
        <v>37</v>
      </c>
      <c r="B3060" t="s">
        <v>12</v>
      </c>
      <c r="C3060">
        <v>35.76</v>
      </c>
      <c r="D3060" t="s">
        <v>21</v>
      </c>
      <c r="E3060" t="s">
        <v>29</v>
      </c>
      <c r="F3060" t="s">
        <v>47</v>
      </c>
      <c r="G3060" t="s">
        <v>393</v>
      </c>
      <c r="H3060" t="s">
        <v>48</v>
      </c>
      <c r="I3060" t="s">
        <v>48</v>
      </c>
      <c r="J3060" t="s">
        <v>411</v>
      </c>
      <c r="K3060" s="1">
        <v>0.71213018518518523</v>
      </c>
      <c r="L3060">
        <f>YEAR(Coffe_sales[[#This Row],[Date]])</f>
        <v>2025</v>
      </c>
    </row>
    <row r="3061" spans="1:12" x14ac:dyDescent="0.2">
      <c r="A3061" t="s">
        <v>37</v>
      </c>
      <c r="B3061" t="s">
        <v>12</v>
      </c>
      <c r="C3061">
        <v>30.86</v>
      </c>
      <c r="D3061" t="s">
        <v>26</v>
      </c>
      <c r="E3061" t="s">
        <v>29</v>
      </c>
      <c r="F3061" t="s">
        <v>47</v>
      </c>
      <c r="G3061" t="s">
        <v>393</v>
      </c>
      <c r="H3061" t="s">
        <v>48</v>
      </c>
      <c r="I3061" t="s">
        <v>48</v>
      </c>
      <c r="J3061" t="s">
        <v>411</v>
      </c>
      <c r="K3061" s="1">
        <v>0.71411236111111109</v>
      </c>
      <c r="L3061">
        <f>YEAR(Coffe_sales[[#This Row],[Date]])</f>
        <v>2025</v>
      </c>
    </row>
    <row r="3062" spans="1:12" x14ac:dyDescent="0.2">
      <c r="A3062" t="s">
        <v>37</v>
      </c>
      <c r="B3062" t="s">
        <v>12</v>
      </c>
      <c r="C3062">
        <v>21.06</v>
      </c>
      <c r="D3062" t="s">
        <v>45</v>
      </c>
      <c r="E3062" t="s">
        <v>29</v>
      </c>
      <c r="F3062" t="s">
        <v>47</v>
      </c>
      <c r="G3062" t="s">
        <v>393</v>
      </c>
      <c r="H3062" t="s">
        <v>48</v>
      </c>
      <c r="I3062" t="s">
        <v>48</v>
      </c>
      <c r="J3062" t="s">
        <v>411</v>
      </c>
      <c r="K3062" s="1">
        <v>0.71478311342592593</v>
      </c>
      <c r="L3062">
        <f>YEAR(Coffe_sales[[#This Row],[Date]])</f>
        <v>2025</v>
      </c>
    </row>
    <row r="3063" spans="1:12" x14ac:dyDescent="0.2">
      <c r="A3063" t="s">
        <v>37</v>
      </c>
      <c r="B3063" t="s">
        <v>12</v>
      </c>
      <c r="C3063">
        <v>35.76</v>
      </c>
      <c r="D3063" t="s">
        <v>31</v>
      </c>
      <c r="E3063" t="s">
        <v>29</v>
      </c>
      <c r="F3063" t="s">
        <v>47</v>
      </c>
      <c r="G3063" t="s">
        <v>393</v>
      </c>
      <c r="H3063" t="s">
        <v>48</v>
      </c>
      <c r="I3063" t="s">
        <v>48</v>
      </c>
      <c r="J3063" t="s">
        <v>411</v>
      </c>
      <c r="K3063" s="1">
        <v>0.71554246527777776</v>
      </c>
      <c r="L3063">
        <f>YEAR(Coffe_sales[[#This Row],[Date]])</f>
        <v>2025</v>
      </c>
    </row>
    <row r="3064" spans="1:12" x14ac:dyDescent="0.2">
      <c r="A3064" t="s">
        <v>37</v>
      </c>
      <c r="B3064" t="s">
        <v>12</v>
      </c>
      <c r="C3064">
        <v>35.76</v>
      </c>
      <c r="D3064" t="s">
        <v>31</v>
      </c>
      <c r="E3064" t="s">
        <v>29</v>
      </c>
      <c r="F3064" t="s">
        <v>47</v>
      </c>
      <c r="G3064" t="s">
        <v>393</v>
      </c>
      <c r="H3064" t="s">
        <v>48</v>
      </c>
      <c r="I3064" t="s">
        <v>48</v>
      </c>
      <c r="J3064" t="s">
        <v>411</v>
      </c>
      <c r="K3064" s="1">
        <v>0.71638552083333329</v>
      </c>
      <c r="L3064">
        <f>YEAR(Coffe_sales[[#This Row],[Date]])</f>
        <v>2025</v>
      </c>
    </row>
    <row r="3065" spans="1:12" x14ac:dyDescent="0.2">
      <c r="A3065" t="s">
        <v>30</v>
      </c>
      <c r="B3065" t="s">
        <v>12</v>
      </c>
      <c r="C3065">
        <v>35.76</v>
      </c>
      <c r="D3065" t="s">
        <v>31</v>
      </c>
      <c r="E3065" t="s">
        <v>29</v>
      </c>
      <c r="F3065" t="s">
        <v>47</v>
      </c>
      <c r="G3065" t="s">
        <v>393</v>
      </c>
      <c r="H3065" t="s">
        <v>48</v>
      </c>
      <c r="I3065" t="s">
        <v>48</v>
      </c>
      <c r="J3065" t="s">
        <v>411</v>
      </c>
      <c r="K3065" s="1">
        <v>0.81698283564814811</v>
      </c>
      <c r="L3065">
        <f>YEAR(Coffe_sales[[#This Row],[Date]])</f>
        <v>2025</v>
      </c>
    </row>
    <row r="3066" spans="1:12" x14ac:dyDescent="0.2">
      <c r="A3066" t="s">
        <v>91</v>
      </c>
      <c r="B3066" t="s">
        <v>12</v>
      </c>
      <c r="C3066">
        <v>35.76</v>
      </c>
      <c r="D3066" t="s">
        <v>31</v>
      </c>
      <c r="E3066" t="s">
        <v>29</v>
      </c>
      <c r="F3066" t="s">
        <v>47</v>
      </c>
      <c r="G3066" t="s">
        <v>393</v>
      </c>
      <c r="H3066" t="s">
        <v>48</v>
      </c>
      <c r="I3066" t="s">
        <v>48</v>
      </c>
      <c r="J3066" t="s">
        <v>411</v>
      </c>
      <c r="K3066" s="1">
        <v>0.83815041666666668</v>
      </c>
      <c r="L3066">
        <f>YEAR(Coffe_sales[[#This Row],[Date]])</f>
        <v>2025</v>
      </c>
    </row>
    <row r="3067" spans="1:12" x14ac:dyDescent="0.2">
      <c r="A3067" t="s">
        <v>91</v>
      </c>
      <c r="B3067" t="s">
        <v>12</v>
      </c>
      <c r="C3067">
        <v>35.76</v>
      </c>
      <c r="D3067" t="s">
        <v>21</v>
      </c>
      <c r="E3067" t="s">
        <v>29</v>
      </c>
      <c r="F3067" t="s">
        <v>47</v>
      </c>
      <c r="G3067" t="s">
        <v>393</v>
      </c>
      <c r="H3067" t="s">
        <v>48</v>
      </c>
      <c r="I3067" t="s">
        <v>48</v>
      </c>
      <c r="J3067" t="s">
        <v>411</v>
      </c>
      <c r="K3067" s="1">
        <v>0.87375693287037037</v>
      </c>
      <c r="L3067">
        <f>YEAR(Coffe_sales[[#This Row],[Date]])</f>
        <v>2025</v>
      </c>
    </row>
    <row r="3068" spans="1:12" x14ac:dyDescent="0.2">
      <c r="A3068" t="s">
        <v>131</v>
      </c>
      <c r="B3068" t="s">
        <v>12</v>
      </c>
      <c r="C3068">
        <v>30.86</v>
      </c>
      <c r="D3068" t="s">
        <v>26</v>
      </c>
      <c r="E3068" t="s">
        <v>29</v>
      </c>
      <c r="F3068" t="s">
        <v>47</v>
      </c>
      <c r="G3068" t="s">
        <v>393</v>
      </c>
      <c r="H3068" t="s">
        <v>48</v>
      </c>
      <c r="I3068" t="s">
        <v>48</v>
      </c>
      <c r="J3068" t="s">
        <v>411</v>
      </c>
      <c r="K3068" s="1">
        <v>0.87638459490740739</v>
      </c>
      <c r="L3068">
        <f>YEAR(Coffe_sales[[#This Row],[Date]])</f>
        <v>2025</v>
      </c>
    </row>
    <row r="3069" spans="1:12" x14ac:dyDescent="0.2">
      <c r="A3069" t="s">
        <v>123</v>
      </c>
      <c r="B3069" t="s">
        <v>12</v>
      </c>
      <c r="C3069">
        <v>35.76</v>
      </c>
      <c r="D3069" t="s">
        <v>52</v>
      </c>
      <c r="E3069" t="s">
        <v>14</v>
      </c>
      <c r="F3069" t="s">
        <v>50</v>
      </c>
      <c r="G3069" t="s">
        <v>393</v>
      </c>
      <c r="H3069" t="s">
        <v>18</v>
      </c>
      <c r="I3069" t="s">
        <v>48</v>
      </c>
      <c r="J3069" t="s">
        <v>412</v>
      </c>
      <c r="K3069" s="1">
        <v>0.33950174768518521</v>
      </c>
      <c r="L3069">
        <f>YEAR(Coffe_sales[[#This Row],[Date]])</f>
        <v>2025</v>
      </c>
    </row>
    <row r="3070" spans="1:12" x14ac:dyDescent="0.2">
      <c r="A3070" t="s">
        <v>123</v>
      </c>
      <c r="B3070" t="s">
        <v>12</v>
      </c>
      <c r="C3070">
        <v>25.96</v>
      </c>
      <c r="D3070" t="s">
        <v>24</v>
      </c>
      <c r="E3070" t="s">
        <v>14</v>
      </c>
      <c r="F3070" t="s">
        <v>50</v>
      </c>
      <c r="G3070" t="s">
        <v>393</v>
      </c>
      <c r="H3070" t="s">
        <v>18</v>
      </c>
      <c r="I3070" t="s">
        <v>48</v>
      </c>
      <c r="J3070" t="s">
        <v>412</v>
      </c>
      <c r="K3070" s="1">
        <v>0.34020927083333335</v>
      </c>
      <c r="L3070">
        <f>YEAR(Coffe_sales[[#This Row],[Date]])</f>
        <v>2025</v>
      </c>
    </row>
    <row r="3071" spans="1:12" x14ac:dyDescent="0.2">
      <c r="A3071" t="s">
        <v>123</v>
      </c>
      <c r="B3071" t="s">
        <v>12</v>
      </c>
      <c r="C3071">
        <v>25.96</v>
      </c>
      <c r="D3071" t="s">
        <v>24</v>
      </c>
      <c r="E3071" t="s">
        <v>14</v>
      </c>
      <c r="F3071" t="s">
        <v>50</v>
      </c>
      <c r="G3071" t="s">
        <v>393</v>
      </c>
      <c r="H3071" t="s">
        <v>18</v>
      </c>
      <c r="I3071" t="s">
        <v>48</v>
      </c>
      <c r="J3071" t="s">
        <v>412</v>
      </c>
      <c r="K3071" s="1">
        <v>0.36635167824074072</v>
      </c>
      <c r="L3071">
        <f>YEAR(Coffe_sales[[#This Row],[Date]])</f>
        <v>2025</v>
      </c>
    </row>
    <row r="3072" spans="1:12" x14ac:dyDescent="0.2">
      <c r="A3072" t="s">
        <v>46</v>
      </c>
      <c r="B3072" t="s">
        <v>12</v>
      </c>
      <c r="C3072">
        <v>35.76</v>
      </c>
      <c r="D3072" t="s">
        <v>52</v>
      </c>
      <c r="E3072" t="s">
        <v>14</v>
      </c>
      <c r="F3072" t="s">
        <v>50</v>
      </c>
      <c r="G3072" t="s">
        <v>393</v>
      </c>
      <c r="H3072" t="s">
        <v>18</v>
      </c>
      <c r="I3072" t="s">
        <v>48</v>
      </c>
      <c r="J3072" t="s">
        <v>412</v>
      </c>
      <c r="K3072" s="1">
        <v>0.39203677083333333</v>
      </c>
      <c r="L3072">
        <f>YEAR(Coffe_sales[[#This Row],[Date]])</f>
        <v>2025</v>
      </c>
    </row>
    <row r="3073" spans="1:12" x14ac:dyDescent="0.2">
      <c r="A3073" t="s">
        <v>11</v>
      </c>
      <c r="B3073" t="s">
        <v>12</v>
      </c>
      <c r="C3073">
        <v>25.96</v>
      </c>
      <c r="D3073" t="s">
        <v>24</v>
      </c>
      <c r="E3073" t="s">
        <v>14</v>
      </c>
      <c r="F3073" t="s">
        <v>50</v>
      </c>
      <c r="G3073" t="s">
        <v>393</v>
      </c>
      <c r="H3073" t="s">
        <v>18</v>
      </c>
      <c r="I3073" t="s">
        <v>48</v>
      </c>
      <c r="J3073" t="s">
        <v>412</v>
      </c>
      <c r="K3073" s="1">
        <v>0.42350695601851851</v>
      </c>
      <c r="L3073">
        <f>YEAR(Coffe_sales[[#This Row],[Date]])</f>
        <v>2025</v>
      </c>
    </row>
    <row r="3074" spans="1:12" x14ac:dyDescent="0.2">
      <c r="A3074" t="s">
        <v>11</v>
      </c>
      <c r="B3074" t="s">
        <v>12</v>
      </c>
      <c r="C3074">
        <v>35.76</v>
      </c>
      <c r="D3074" t="s">
        <v>21</v>
      </c>
      <c r="E3074" t="s">
        <v>14</v>
      </c>
      <c r="F3074" t="s">
        <v>50</v>
      </c>
      <c r="G3074" t="s">
        <v>393</v>
      </c>
      <c r="H3074" t="s">
        <v>18</v>
      </c>
      <c r="I3074" t="s">
        <v>48</v>
      </c>
      <c r="J3074" t="s">
        <v>412</v>
      </c>
      <c r="K3074" s="1">
        <v>0.42987587962962964</v>
      </c>
      <c r="L3074">
        <f>YEAR(Coffe_sales[[#This Row],[Date]])</f>
        <v>2025</v>
      </c>
    </row>
    <row r="3075" spans="1:12" x14ac:dyDescent="0.2">
      <c r="A3075" t="s">
        <v>11</v>
      </c>
      <c r="B3075" t="s">
        <v>12</v>
      </c>
      <c r="C3075">
        <v>30.86</v>
      </c>
      <c r="D3075" t="s">
        <v>26</v>
      </c>
      <c r="E3075" t="s">
        <v>14</v>
      </c>
      <c r="F3075" t="s">
        <v>50</v>
      </c>
      <c r="G3075" t="s">
        <v>393</v>
      </c>
      <c r="H3075" t="s">
        <v>18</v>
      </c>
      <c r="I3075" t="s">
        <v>48</v>
      </c>
      <c r="J3075" t="s">
        <v>412</v>
      </c>
      <c r="K3075" s="1">
        <v>0.4450415509259259</v>
      </c>
      <c r="L3075">
        <f>YEAR(Coffe_sales[[#This Row],[Date]])</f>
        <v>2025</v>
      </c>
    </row>
    <row r="3076" spans="1:12" x14ac:dyDescent="0.2">
      <c r="A3076" t="s">
        <v>20</v>
      </c>
      <c r="B3076" t="s">
        <v>12</v>
      </c>
      <c r="C3076">
        <v>25.96</v>
      </c>
      <c r="D3076" t="s">
        <v>24</v>
      </c>
      <c r="E3076" t="s">
        <v>22</v>
      </c>
      <c r="F3076" t="s">
        <v>50</v>
      </c>
      <c r="G3076" t="s">
        <v>393</v>
      </c>
      <c r="H3076" t="s">
        <v>18</v>
      </c>
      <c r="I3076" t="s">
        <v>48</v>
      </c>
      <c r="J3076" t="s">
        <v>412</v>
      </c>
      <c r="K3076" s="1">
        <v>0.53132027777777779</v>
      </c>
      <c r="L3076">
        <f>YEAR(Coffe_sales[[#This Row],[Date]])</f>
        <v>2025</v>
      </c>
    </row>
    <row r="3077" spans="1:12" x14ac:dyDescent="0.2">
      <c r="A3077" t="s">
        <v>20</v>
      </c>
      <c r="B3077" t="s">
        <v>12</v>
      </c>
      <c r="C3077">
        <v>35.76</v>
      </c>
      <c r="D3077" t="s">
        <v>31</v>
      </c>
      <c r="E3077" t="s">
        <v>22</v>
      </c>
      <c r="F3077" t="s">
        <v>50</v>
      </c>
      <c r="G3077" t="s">
        <v>393</v>
      </c>
      <c r="H3077" t="s">
        <v>18</v>
      </c>
      <c r="I3077" t="s">
        <v>48</v>
      </c>
      <c r="J3077" t="s">
        <v>412</v>
      </c>
      <c r="K3077" s="1">
        <v>0.53199032407407409</v>
      </c>
      <c r="L3077">
        <f>YEAR(Coffe_sales[[#This Row],[Date]])</f>
        <v>2025</v>
      </c>
    </row>
    <row r="3078" spans="1:12" x14ac:dyDescent="0.2">
      <c r="A3078" t="s">
        <v>23</v>
      </c>
      <c r="B3078" t="s">
        <v>12</v>
      </c>
      <c r="C3078">
        <v>25.96</v>
      </c>
      <c r="D3078" t="s">
        <v>24</v>
      </c>
      <c r="E3078" t="s">
        <v>22</v>
      </c>
      <c r="F3078" t="s">
        <v>50</v>
      </c>
      <c r="G3078" t="s">
        <v>393</v>
      </c>
      <c r="H3078" t="s">
        <v>18</v>
      </c>
      <c r="I3078" t="s">
        <v>48</v>
      </c>
      <c r="J3078" t="s">
        <v>412</v>
      </c>
      <c r="K3078" s="1">
        <v>0.54646275462962968</v>
      </c>
      <c r="L3078">
        <f>YEAR(Coffe_sales[[#This Row],[Date]])</f>
        <v>2025</v>
      </c>
    </row>
    <row r="3079" spans="1:12" x14ac:dyDescent="0.2">
      <c r="A3079" t="s">
        <v>25</v>
      </c>
      <c r="B3079" t="s">
        <v>12</v>
      </c>
      <c r="C3079">
        <v>35.76</v>
      </c>
      <c r="D3079" t="s">
        <v>52</v>
      </c>
      <c r="E3079" t="s">
        <v>22</v>
      </c>
      <c r="F3079" t="s">
        <v>50</v>
      </c>
      <c r="G3079" t="s">
        <v>393</v>
      </c>
      <c r="H3079" t="s">
        <v>18</v>
      </c>
      <c r="I3079" t="s">
        <v>48</v>
      </c>
      <c r="J3079" t="s">
        <v>412</v>
      </c>
      <c r="K3079" s="1">
        <v>0.66021776620370365</v>
      </c>
      <c r="L3079">
        <f>YEAR(Coffe_sales[[#This Row],[Date]])</f>
        <v>2025</v>
      </c>
    </row>
    <row r="3080" spans="1:12" x14ac:dyDescent="0.2">
      <c r="A3080" t="s">
        <v>37</v>
      </c>
      <c r="B3080" t="s">
        <v>12</v>
      </c>
      <c r="C3080">
        <v>25.96</v>
      </c>
      <c r="D3080" t="s">
        <v>24</v>
      </c>
      <c r="E3080" t="s">
        <v>29</v>
      </c>
      <c r="F3080" t="s">
        <v>50</v>
      </c>
      <c r="G3080" t="s">
        <v>393</v>
      </c>
      <c r="H3080" t="s">
        <v>18</v>
      </c>
      <c r="I3080" t="s">
        <v>48</v>
      </c>
      <c r="J3080" t="s">
        <v>412</v>
      </c>
      <c r="K3080" s="1">
        <v>0.71111409722222219</v>
      </c>
      <c r="L3080">
        <f>YEAR(Coffe_sales[[#This Row],[Date]])</f>
        <v>2025</v>
      </c>
    </row>
    <row r="3081" spans="1:12" x14ac:dyDescent="0.2">
      <c r="A3081" t="s">
        <v>37</v>
      </c>
      <c r="B3081" t="s">
        <v>12</v>
      </c>
      <c r="C3081">
        <v>35.76</v>
      </c>
      <c r="D3081" t="s">
        <v>52</v>
      </c>
      <c r="E3081" t="s">
        <v>29</v>
      </c>
      <c r="F3081" t="s">
        <v>50</v>
      </c>
      <c r="G3081" t="s">
        <v>393</v>
      </c>
      <c r="H3081" t="s">
        <v>18</v>
      </c>
      <c r="I3081" t="s">
        <v>48</v>
      </c>
      <c r="J3081" t="s">
        <v>412</v>
      </c>
      <c r="K3081" s="1">
        <v>0.7325126851851852</v>
      </c>
      <c r="L3081">
        <f>YEAR(Coffe_sales[[#This Row],[Date]])</f>
        <v>2025</v>
      </c>
    </row>
    <row r="3082" spans="1:12" x14ac:dyDescent="0.2">
      <c r="A3082" t="s">
        <v>37</v>
      </c>
      <c r="B3082" t="s">
        <v>12</v>
      </c>
      <c r="C3082">
        <v>30.86</v>
      </c>
      <c r="D3082" t="s">
        <v>26</v>
      </c>
      <c r="E3082" t="s">
        <v>29</v>
      </c>
      <c r="F3082" t="s">
        <v>50</v>
      </c>
      <c r="G3082" t="s">
        <v>393</v>
      </c>
      <c r="H3082" t="s">
        <v>18</v>
      </c>
      <c r="I3082" t="s">
        <v>48</v>
      </c>
      <c r="J3082" t="s">
        <v>412</v>
      </c>
      <c r="K3082" s="1">
        <v>0.74851892361111116</v>
      </c>
      <c r="L3082">
        <f>YEAR(Coffe_sales[[#This Row],[Date]])</f>
        <v>2025</v>
      </c>
    </row>
    <row r="3083" spans="1:12" x14ac:dyDescent="0.2">
      <c r="A3083" t="s">
        <v>28</v>
      </c>
      <c r="B3083" t="s">
        <v>12</v>
      </c>
      <c r="C3083">
        <v>35.76</v>
      </c>
      <c r="D3083" t="s">
        <v>52</v>
      </c>
      <c r="E3083" t="s">
        <v>29</v>
      </c>
      <c r="F3083" t="s">
        <v>50</v>
      </c>
      <c r="G3083" t="s">
        <v>393</v>
      </c>
      <c r="H3083" t="s">
        <v>18</v>
      </c>
      <c r="I3083" t="s">
        <v>48</v>
      </c>
      <c r="J3083" t="s">
        <v>412</v>
      </c>
      <c r="K3083" s="1">
        <v>0.77475494212962959</v>
      </c>
      <c r="L3083">
        <f>YEAR(Coffe_sales[[#This Row],[Date]])</f>
        <v>2025</v>
      </c>
    </row>
    <row r="3084" spans="1:12" x14ac:dyDescent="0.2">
      <c r="A3084" t="s">
        <v>30</v>
      </c>
      <c r="B3084" t="s">
        <v>12</v>
      </c>
      <c r="C3084">
        <v>35.76</v>
      </c>
      <c r="D3084" t="s">
        <v>13</v>
      </c>
      <c r="E3084" t="s">
        <v>29</v>
      </c>
      <c r="F3084" t="s">
        <v>50</v>
      </c>
      <c r="G3084" t="s">
        <v>393</v>
      </c>
      <c r="H3084" t="s">
        <v>18</v>
      </c>
      <c r="I3084" t="s">
        <v>48</v>
      </c>
      <c r="J3084" t="s">
        <v>412</v>
      </c>
      <c r="K3084" s="1">
        <v>0.7927440740740741</v>
      </c>
      <c r="L3084">
        <f>YEAR(Coffe_sales[[#This Row],[Date]])</f>
        <v>2025</v>
      </c>
    </row>
    <row r="3085" spans="1:12" x14ac:dyDescent="0.2">
      <c r="A3085" t="s">
        <v>30</v>
      </c>
      <c r="B3085" t="s">
        <v>12</v>
      </c>
      <c r="C3085">
        <v>35.76</v>
      </c>
      <c r="D3085" t="s">
        <v>31</v>
      </c>
      <c r="E3085" t="s">
        <v>29</v>
      </c>
      <c r="F3085" t="s">
        <v>50</v>
      </c>
      <c r="G3085" t="s">
        <v>393</v>
      </c>
      <c r="H3085" t="s">
        <v>18</v>
      </c>
      <c r="I3085" t="s">
        <v>48</v>
      </c>
      <c r="J3085" t="s">
        <v>412</v>
      </c>
      <c r="K3085" s="1">
        <v>0.79988414351851855</v>
      </c>
      <c r="L3085">
        <f>YEAR(Coffe_sales[[#This Row],[Date]])</f>
        <v>2025</v>
      </c>
    </row>
    <row r="3086" spans="1:12" x14ac:dyDescent="0.2">
      <c r="A3086" t="s">
        <v>30</v>
      </c>
      <c r="B3086" t="s">
        <v>12</v>
      </c>
      <c r="C3086">
        <v>35.76</v>
      </c>
      <c r="D3086" t="s">
        <v>21</v>
      </c>
      <c r="E3086" t="s">
        <v>29</v>
      </c>
      <c r="F3086" t="s">
        <v>50</v>
      </c>
      <c r="G3086" t="s">
        <v>393</v>
      </c>
      <c r="H3086" t="s">
        <v>18</v>
      </c>
      <c r="I3086" t="s">
        <v>48</v>
      </c>
      <c r="J3086" t="s">
        <v>412</v>
      </c>
      <c r="K3086" s="1">
        <v>0.80049511574074073</v>
      </c>
      <c r="L3086">
        <f>YEAR(Coffe_sales[[#This Row],[Date]])</f>
        <v>2025</v>
      </c>
    </row>
    <row r="3087" spans="1:12" x14ac:dyDescent="0.2">
      <c r="A3087" t="s">
        <v>30</v>
      </c>
      <c r="B3087" t="s">
        <v>12</v>
      </c>
      <c r="C3087">
        <v>35.76</v>
      </c>
      <c r="D3087" t="s">
        <v>13</v>
      </c>
      <c r="E3087" t="s">
        <v>29</v>
      </c>
      <c r="F3087" t="s">
        <v>50</v>
      </c>
      <c r="G3087" t="s">
        <v>393</v>
      </c>
      <c r="H3087" t="s">
        <v>18</v>
      </c>
      <c r="I3087" t="s">
        <v>48</v>
      </c>
      <c r="J3087" t="s">
        <v>412</v>
      </c>
      <c r="K3087" s="1">
        <v>0.80998803240740735</v>
      </c>
      <c r="L3087">
        <f>YEAR(Coffe_sales[[#This Row],[Date]])</f>
        <v>2025</v>
      </c>
    </row>
    <row r="3088" spans="1:12" x14ac:dyDescent="0.2">
      <c r="A3088" t="s">
        <v>91</v>
      </c>
      <c r="B3088" t="s">
        <v>12</v>
      </c>
      <c r="C3088">
        <v>35.76</v>
      </c>
      <c r="D3088" t="s">
        <v>31</v>
      </c>
      <c r="E3088" t="s">
        <v>29</v>
      </c>
      <c r="F3088" t="s">
        <v>50</v>
      </c>
      <c r="G3088" t="s">
        <v>393</v>
      </c>
      <c r="H3088" t="s">
        <v>18</v>
      </c>
      <c r="I3088" t="s">
        <v>48</v>
      </c>
      <c r="J3088" t="s">
        <v>412</v>
      </c>
      <c r="K3088" s="1">
        <v>0.8371339351851852</v>
      </c>
      <c r="L3088">
        <f>YEAR(Coffe_sales[[#This Row],[Date]])</f>
        <v>2025</v>
      </c>
    </row>
    <row r="3089" spans="1:12" x14ac:dyDescent="0.2">
      <c r="A3089" t="s">
        <v>39</v>
      </c>
      <c r="B3089" t="s">
        <v>12</v>
      </c>
      <c r="C3089">
        <v>35.76</v>
      </c>
      <c r="D3089" t="s">
        <v>52</v>
      </c>
      <c r="E3089" t="s">
        <v>14</v>
      </c>
      <c r="F3089" t="s">
        <v>53</v>
      </c>
      <c r="G3089" t="s">
        <v>393</v>
      </c>
      <c r="H3089" t="s">
        <v>54</v>
      </c>
      <c r="I3089" t="s">
        <v>48</v>
      </c>
      <c r="J3089" t="s">
        <v>413</v>
      </c>
      <c r="K3089" s="1">
        <v>0.33083998842592593</v>
      </c>
      <c r="L3089">
        <f>YEAR(Coffe_sales[[#This Row],[Date]])</f>
        <v>2025</v>
      </c>
    </row>
    <row r="3090" spans="1:12" x14ac:dyDescent="0.2">
      <c r="A3090" t="s">
        <v>46</v>
      </c>
      <c r="B3090" t="s">
        <v>12</v>
      </c>
      <c r="C3090">
        <v>25.96</v>
      </c>
      <c r="D3090" t="s">
        <v>24</v>
      </c>
      <c r="E3090" t="s">
        <v>14</v>
      </c>
      <c r="F3090" t="s">
        <v>53</v>
      </c>
      <c r="G3090" t="s">
        <v>393</v>
      </c>
      <c r="H3090" t="s">
        <v>54</v>
      </c>
      <c r="I3090" t="s">
        <v>48</v>
      </c>
      <c r="J3090" t="s">
        <v>413</v>
      </c>
      <c r="K3090" s="1">
        <v>0.38742258101851851</v>
      </c>
      <c r="L3090">
        <f>YEAR(Coffe_sales[[#This Row],[Date]])</f>
        <v>2025</v>
      </c>
    </row>
    <row r="3091" spans="1:12" x14ac:dyDescent="0.2">
      <c r="A3091" t="s">
        <v>11</v>
      </c>
      <c r="B3091" t="s">
        <v>12</v>
      </c>
      <c r="C3091">
        <v>35.76</v>
      </c>
      <c r="D3091" t="s">
        <v>52</v>
      </c>
      <c r="E3091" t="s">
        <v>14</v>
      </c>
      <c r="F3091" t="s">
        <v>53</v>
      </c>
      <c r="G3091" t="s">
        <v>393</v>
      </c>
      <c r="H3091" t="s">
        <v>54</v>
      </c>
      <c r="I3091" t="s">
        <v>48</v>
      </c>
      <c r="J3091" t="s">
        <v>413</v>
      </c>
      <c r="K3091" s="1">
        <v>0.42824564814814814</v>
      </c>
      <c r="L3091">
        <f>YEAR(Coffe_sales[[#This Row],[Date]])</f>
        <v>2025</v>
      </c>
    </row>
    <row r="3092" spans="1:12" x14ac:dyDescent="0.2">
      <c r="A3092" t="s">
        <v>11</v>
      </c>
      <c r="B3092" t="s">
        <v>12</v>
      </c>
      <c r="C3092">
        <v>25.96</v>
      </c>
      <c r="D3092" t="s">
        <v>24</v>
      </c>
      <c r="E3092" t="s">
        <v>14</v>
      </c>
      <c r="F3092" t="s">
        <v>53</v>
      </c>
      <c r="G3092" t="s">
        <v>393</v>
      </c>
      <c r="H3092" t="s">
        <v>54</v>
      </c>
      <c r="I3092" t="s">
        <v>48</v>
      </c>
      <c r="J3092" t="s">
        <v>413</v>
      </c>
      <c r="K3092" s="1">
        <v>0.42891980324074075</v>
      </c>
      <c r="L3092">
        <f>YEAR(Coffe_sales[[#This Row],[Date]])</f>
        <v>2025</v>
      </c>
    </row>
    <row r="3093" spans="1:12" x14ac:dyDescent="0.2">
      <c r="A3093" t="s">
        <v>11</v>
      </c>
      <c r="B3093" t="s">
        <v>12</v>
      </c>
      <c r="C3093">
        <v>25.96</v>
      </c>
      <c r="D3093" t="s">
        <v>24</v>
      </c>
      <c r="E3093" t="s">
        <v>14</v>
      </c>
      <c r="F3093" t="s">
        <v>53</v>
      </c>
      <c r="G3093" t="s">
        <v>393</v>
      </c>
      <c r="H3093" t="s">
        <v>54</v>
      </c>
      <c r="I3093" t="s">
        <v>48</v>
      </c>
      <c r="J3093" t="s">
        <v>413</v>
      </c>
      <c r="K3093" s="1">
        <v>0.43084428240740741</v>
      </c>
      <c r="L3093">
        <f>YEAR(Coffe_sales[[#This Row],[Date]])</f>
        <v>2025</v>
      </c>
    </row>
    <row r="3094" spans="1:12" x14ac:dyDescent="0.2">
      <c r="A3094" t="s">
        <v>11</v>
      </c>
      <c r="B3094" t="s">
        <v>12</v>
      </c>
      <c r="C3094">
        <v>25.96</v>
      </c>
      <c r="D3094" t="s">
        <v>24</v>
      </c>
      <c r="E3094" t="s">
        <v>14</v>
      </c>
      <c r="F3094" t="s">
        <v>53</v>
      </c>
      <c r="G3094" t="s">
        <v>393</v>
      </c>
      <c r="H3094" t="s">
        <v>54</v>
      </c>
      <c r="I3094" t="s">
        <v>48</v>
      </c>
      <c r="J3094" t="s">
        <v>413</v>
      </c>
      <c r="K3094" s="1">
        <v>0.43360586805555557</v>
      </c>
      <c r="L3094">
        <f>YEAR(Coffe_sales[[#This Row],[Date]])</f>
        <v>2025</v>
      </c>
    </row>
    <row r="3095" spans="1:12" x14ac:dyDescent="0.2">
      <c r="A3095" t="s">
        <v>23</v>
      </c>
      <c r="B3095" t="s">
        <v>12</v>
      </c>
      <c r="C3095">
        <v>30.86</v>
      </c>
      <c r="D3095" t="s">
        <v>26</v>
      </c>
      <c r="E3095" t="s">
        <v>22</v>
      </c>
      <c r="F3095" t="s">
        <v>53</v>
      </c>
      <c r="G3095" t="s">
        <v>393</v>
      </c>
      <c r="H3095" t="s">
        <v>54</v>
      </c>
      <c r="I3095" t="s">
        <v>48</v>
      </c>
      <c r="J3095" t="s">
        <v>413</v>
      </c>
      <c r="K3095" s="1">
        <v>0.5432852777777778</v>
      </c>
      <c r="L3095">
        <f>YEAR(Coffe_sales[[#This Row],[Date]])</f>
        <v>2025</v>
      </c>
    </row>
    <row r="3096" spans="1:12" x14ac:dyDescent="0.2">
      <c r="A3096" t="s">
        <v>36</v>
      </c>
      <c r="B3096" t="s">
        <v>12</v>
      </c>
      <c r="C3096">
        <v>35.76</v>
      </c>
      <c r="D3096" t="s">
        <v>13</v>
      </c>
      <c r="E3096" t="s">
        <v>22</v>
      </c>
      <c r="F3096" t="s">
        <v>53</v>
      </c>
      <c r="G3096" t="s">
        <v>393</v>
      </c>
      <c r="H3096" t="s">
        <v>54</v>
      </c>
      <c r="I3096" t="s">
        <v>48</v>
      </c>
      <c r="J3096" t="s">
        <v>413</v>
      </c>
      <c r="K3096" s="1">
        <v>0.59760531250000004</v>
      </c>
      <c r="L3096">
        <f>YEAR(Coffe_sales[[#This Row],[Date]])</f>
        <v>2025</v>
      </c>
    </row>
    <row r="3097" spans="1:12" x14ac:dyDescent="0.2">
      <c r="A3097" t="s">
        <v>36</v>
      </c>
      <c r="B3097" t="s">
        <v>12</v>
      </c>
      <c r="C3097">
        <v>25.96</v>
      </c>
      <c r="D3097" t="s">
        <v>24</v>
      </c>
      <c r="E3097" t="s">
        <v>22</v>
      </c>
      <c r="F3097" t="s">
        <v>53</v>
      </c>
      <c r="G3097" t="s">
        <v>393</v>
      </c>
      <c r="H3097" t="s">
        <v>54</v>
      </c>
      <c r="I3097" t="s">
        <v>48</v>
      </c>
      <c r="J3097" t="s">
        <v>413</v>
      </c>
      <c r="K3097" s="1">
        <v>0.60971968750000005</v>
      </c>
      <c r="L3097">
        <f>YEAR(Coffe_sales[[#This Row],[Date]])</f>
        <v>2025</v>
      </c>
    </row>
    <row r="3098" spans="1:12" x14ac:dyDescent="0.2">
      <c r="A3098" t="s">
        <v>36</v>
      </c>
      <c r="B3098" t="s">
        <v>12</v>
      </c>
      <c r="C3098">
        <v>25.96</v>
      </c>
      <c r="D3098" t="s">
        <v>24</v>
      </c>
      <c r="E3098" t="s">
        <v>22</v>
      </c>
      <c r="F3098" t="s">
        <v>53</v>
      </c>
      <c r="G3098" t="s">
        <v>393</v>
      </c>
      <c r="H3098" t="s">
        <v>54</v>
      </c>
      <c r="I3098" t="s">
        <v>48</v>
      </c>
      <c r="J3098" t="s">
        <v>413</v>
      </c>
      <c r="K3098" s="1">
        <v>0.61029304398148143</v>
      </c>
      <c r="L3098">
        <f>YEAR(Coffe_sales[[#This Row],[Date]])</f>
        <v>2025</v>
      </c>
    </row>
    <row r="3099" spans="1:12" x14ac:dyDescent="0.2">
      <c r="A3099" t="s">
        <v>25</v>
      </c>
      <c r="B3099" t="s">
        <v>12</v>
      </c>
      <c r="C3099">
        <v>21.06</v>
      </c>
      <c r="D3099" t="s">
        <v>45</v>
      </c>
      <c r="E3099" t="s">
        <v>22</v>
      </c>
      <c r="F3099" t="s">
        <v>53</v>
      </c>
      <c r="G3099" t="s">
        <v>393</v>
      </c>
      <c r="H3099" t="s">
        <v>54</v>
      </c>
      <c r="I3099" t="s">
        <v>48</v>
      </c>
      <c r="J3099" t="s">
        <v>413</v>
      </c>
      <c r="K3099" s="1">
        <v>0.63872170138888884</v>
      </c>
      <c r="L3099">
        <f>YEAR(Coffe_sales[[#This Row],[Date]])</f>
        <v>2025</v>
      </c>
    </row>
    <row r="3100" spans="1:12" x14ac:dyDescent="0.2">
      <c r="A3100" t="s">
        <v>27</v>
      </c>
      <c r="B3100" t="s">
        <v>12</v>
      </c>
      <c r="C3100">
        <v>35.76</v>
      </c>
      <c r="D3100" t="s">
        <v>52</v>
      </c>
      <c r="E3100" t="s">
        <v>22</v>
      </c>
      <c r="F3100" t="s">
        <v>53</v>
      </c>
      <c r="G3100" t="s">
        <v>393</v>
      </c>
      <c r="H3100" t="s">
        <v>54</v>
      </c>
      <c r="I3100" t="s">
        <v>48</v>
      </c>
      <c r="J3100" t="s">
        <v>413</v>
      </c>
      <c r="K3100" s="1">
        <v>0.67071196759259255</v>
      </c>
      <c r="L3100">
        <f>YEAR(Coffe_sales[[#This Row],[Date]])</f>
        <v>2025</v>
      </c>
    </row>
    <row r="3101" spans="1:12" x14ac:dyDescent="0.2">
      <c r="A3101" t="s">
        <v>27</v>
      </c>
      <c r="B3101" t="s">
        <v>12</v>
      </c>
      <c r="C3101">
        <v>35.76</v>
      </c>
      <c r="D3101" t="s">
        <v>52</v>
      </c>
      <c r="E3101" t="s">
        <v>22</v>
      </c>
      <c r="F3101" t="s">
        <v>53</v>
      </c>
      <c r="G3101" t="s">
        <v>393</v>
      </c>
      <c r="H3101" t="s">
        <v>54</v>
      </c>
      <c r="I3101" t="s">
        <v>48</v>
      </c>
      <c r="J3101" t="s">
        <v>413</v>
      </c>
      <c r="K3101" s="1">
        <v>0.70771560185185189</v>
      </c>
      <c r="L3101">
        <f>YEAR(Coffe_sales[[#This Row],[Date]])</f>
        <v>2025</v>
      </c>
    </row>
    <row r="3102" spans="1:12" x14ac:dyDescent="0.2">
      <c r="A3102" t="s">
        <v>37</v>
      </c>
      <c r="B3102" t="s">
        <v>12</v>
      </c>
      <c r="C3102">
        <v>35.76</v>
      </c>
      <c r="D3102" t="s">
        <v>21</v>
      </c>
      <c r="E3102" t="s">
        <v>29</v>
      </c>
      <c r="F3102" t="s">
        <v>53</v>
      </c>
      <c r="G3102" t="s">
        <v>393</v>
      </c>
      <c r="H3102" t="s">
        <v>54</v>
      </c>
      <c r="I3102" t="s">
        <v>48</v>
      </c>
      <c r="J3102" t="s">
        <v>413</v>
      </c>
      <c r="K3102" s="1">
        <v>0.70876090277777781</v>
      </c>
      <c r="L3102">
        <f>YEAR(Coffe_sales[[#This Row],[Date]])</f>
        <v>2025</v>
      </c>
    </row>
    <row r="3103" spans="1:12" x14ac:dyDescent="0.2">
      <c r="A3103" t="s">
        <v>37</v>
      </c>
      <c r="B3103" t="s">
        <v>12</v>
      </c>
      <c r="C3103">
        <v>25.96</v>
      </c>
      <c r="D3103" t="s">
        <v>24</v>
      </c>
      <c r="E3103" t="s">
        <v>29</v>
      </c>
      <c r="F3103" t="s">
        <v>53</v>
      </c>
      <c r="G3103" t="s">
        <v>393</v>
      </c>
      <c r="H3103" t="s">
        <v>54</v>
      </c>
      <c r="I3103" t="s">
        <v>48</v>
      </c>
      <c r="J3103" t="s">
        <v>413</v>
      </c>
      <c r="K3103" s="1">
        <v>0.71351835648148143</v>
      </c>
      <c r="L3103">
        <f>YEAR(Coffe_sales[[#This Row],[Date]])</f>
        <v>2025</v>
      </c>
    </row>
    <row r="3104" spans="1:12" x14ac:dyDescent="0.2">
      <c r="A3104" t="s">
        <v>28</v>
      </c>
      <c r="B3104" t="s">
        <v>12</v>
      </c>
      <c r="C3104">
        <v>25.96</v>
      </c>
      <c r="D3104" t="s">
        <v>24</v>
      </c>
      <c r="E3104" t="s">
        <v>29</v>
      </c>
      <c r="F3104" t="s">
        <v>53</v>
      </c>
      <c r="G3104" t="s">
        <v>393</v>
      </c>
      <c r="H3104" t="s">
        <v>54</v>
      </c>
      <c r="I3104" t="s">
        <v>48</v>
      </c>
      <c r="J3104" t="s">
        <v>413</v>
      </c>
      <c r="K3104" s="1">
        <v>0.78998413194444439</v>
      </c>
      <c r="L3104">
        <f>YEAR(Coffe_sales[[#This Row],[Date]])</f>
        <v>2025</v>
      </c>
    </row>
    <row r="3105" spans="1:12" x14ac:dyDescent="0.2">
      <c r="A3105" t="s">
        <v>30</v>
      </c>
      <c r="B3105" t="s">
        <v>12</v>
      </c>
      <c r="C3105">
        <v>35.76</v>
      </c>
      <c r="D3105" t="s">
        <v>21</v>
      </c>
      <c r="E3105" t="s">
        <v>29</v>
      </c>
      <c r="F3105" t="s">
        <v>53</v>
      </c>
      <c r="G3105" t="s">
        <v>393</v>
      </c>
      <c r="H3105" t="s">
        <v>54</v>
      </c>
      <c r="I3105" t="s">
        <v>48</v>
      </c>
      <c r="J3105" t="s">
        <v>413</v>
      </c>
      <c r="K3105" s="1">
        <v>0.79295458333333335</v>
      </c>
      <c r="L3105">
        <f>YEAR(Coffe_sales[[#This Row],[Date]])</f>
        <v>2025</v>
      </c>
    </row>
    <row r="3106" spans="1:12" x14ac:dyDescent="0.2">
      <c r="A3106" t="s">
        <v>30</v>
      </c>
      <c r="B3106" t="s">
        <v>12</v>
      </c>
      <c r="C3106">
        <v>35.76</v>
      </c>
      <c r="D3106" t="s">
        <v>31</v>
      </c>
      <c r="E3106" t="s">
        <v>29</v>
      </c>
      <c r="F3106" t="s">
        <v>53</v>
      </c>
      <c r="G3106" t="s">
        <v>393</v>
      </c>
      <c r="H3106" t="s">
        <v>54</v>
      </c>
      <c r="I3106" t="s">
        <v>48</v>
      </c>
      <c r="J3106" t="s">
        <v>413</v>
      </c>
      <c r="K3106" s="1">
        <v>0.7968237037037037</v>
      </c>
      <c r="L3106">
        <f>YEAR(Coffe_sales[[#This Row],[Date]])</f>
        <v>2025</v>
      </c>
    </row>
    <row r="3107" spans="1:12" x14ac:dyDescent="0.2">
      <c r="A3107" t="s">
        <v>91</v>
      </c>
      <c r="B3107" t="s">
        <v>12</v>
      </c>
      <c r="C3107">
        <v>35.76</v>
      </c>
      <c r="D3107" t="s">
        <v>13</v>
      </c>
      <c r="E3107" t="s">
        <v>29</v>
      </c>
      <c r="F3107" t="s">
        <v>53</v>
      </c>
      <c r="G3107" t="s">
        <v>393</v>
      </c>
      <c r="H3107" t="s">
        <v>54</v>
      </c>
      <c r="I3107" t="s">
        <v>48</v>
      </c>
      <c r="J3107" t="s">
        <v>413</v>
      </c>
      <c r="K3107" s="1">
        <v>0.83823608796296301</v>
      </c>
      <c r="L3107">
        <f>YEAR(Coffe_sales[[#This Row],[Date]])</f>
        <v>2025</v>
      </c>
    </row>
    <row r="3108" spans="1:12" x14ac:dyDescent="0.2">
      <c r="A3108" t="s">
        <v>33</v>
      </c>
      <c r="B3108" t="s">
        <v>12</v>
      </c>
      <c r="C3108">
        <v>25.96</v>
      </c>
      <c r="D3108" t="s">
        <v>24</v>
      </c>
      <c r="E3108" t="s">
        <v>14</v>
      </c>
      <c r="F3108" t="s">
        <v>15</v>
      </c>
      <c r="G3108" t="s">
        <v>393</v>
      </c>
      <c r="H3108" t="s">
        <v>17</v>
      </c>
      <c r="I3108" t="s">
        <v>48</v>
      </c>
      <c r="J3108" t="s">
        <v>414</v>
      </c>
      <c r="K3108" s="1">
        <v>0.29106953703703703</v>
      </c>
      <c r="L3108">
        <f>YEAR(Coffe_sales[[#This Row],[Date]])</f>
        <v>2025</v>
      </c>
    </row>
    <row r="3109" spans="1:12" x14ac:dyDescent="0.2">
      <c r="A3109" t="s">
        <v>46</v>
      </c>
      <c r="B3109" t="s">
        <v>12</v>
      </c>
      <c r="C3109">
        <v>35.76</v>
      </c>
      <c r="D3109" t="s">
        <v>13</v>
      </c>
      <c r="E3109" t="s">
        <v>14</v>
      </c>
      <c r="F3109" t="s">
        <v>15</v>
      </c>
      <c r="G3109" t="s">
        <v>393</v>
      </c>
      <c r="H3109" t="s">
        <v>17</v>
      </c>
      <c r="I3109" t="s">
        <v>48</v>
      </c>
      <c r="J3109" t="s">
        <v>414</v>
      </c>
      <c r="K3109" s="1">
        <v>0.40381491898148147</v>
      </c>
      <c r="L3109">
        <f>YEAR(Coffe_sales[[#This Row],[Date]])</f>
        <v>2025</v>
      </c>
    </row>
    <row r="3110" spans="1:12" x14ac:dyDescent="0.2">
      <c r="A3110" t="s">
        <v>46</v>
      </c>
      <c r="B3110" t="s">
        <v>12</v>
      </c>
      <c r="C3110">
        <v>35.76</v>
      </c>
      <c r="D3110" t="s">
        <v>52</v>
      </c>
      <c r="E3110" t="s">
        <v>14</v>
      </c>
      <c r="F3110" t="s">
        <v>15</v>
      </c>
      <c r="G3110" t="s">
        <v>393</v>
      </c>
      <c r="H3110" t="s">
        <v>17</v>
      </c>
      <c r="I3110" t="s">
        <v>48</v>
      </c>
      <c r="J3110" t="s">
        <v>414</v>
      </c>
      <c r="K3110" s="1">
        <v>0.40926988425925925</v>
      </c>
      <c r="L3110">
        <f>YEAR(Coffe_sales[[#This Row],[Date]])</f>
        <v>2025</v>
      </c>
    </row>
    <row r="3111" spans="1:12" x14ac:dyDescent="0.2">
      <c r="A3111" t="s">
        <v>46</v>
      </c>
      <c r="B3111" t="s">
        <v>12</v>
      </c>
      <c r="C3111">
        <v>21.06</v>
      </c>
      <c r="D3111" t="s">
        <v>45</v>
      </c>
      <c r="E3111" t="s">
        <v>14</v>
      </c>
      <c r="F3111" t="s">
        <v>15</v>
      </c>
      <c r="G3111" t="s">
        <v>393</v>
      </c>
      <c r="H3111" t="s">
        <v>17</v>
      </c>
      <c r="I3111" t="s">
        <v>48</v>
      </c>
      <c r="J3111" t="s">
        <v>414</v>
      </c>
      <c r="K3111" s="1">
        <v>0.41056255787037038</v>
      </c>
      <c r="L3111">
        <f>YEAR(Coffe_sales[[#This Row],[Date]])</f>
        <v>2025</v>
      </c>
    </row>
    <row r="3112" spans="1:12" x14ac:dyDescent="0.2">
      <c r="A3112" t="s">
        <v>11</v>
      </c>
      <c r="B3112" t="s">
        <v>12</v>
      </c>
      <c r="C3112">
        <v>25.96</v>
      </c>
      <c r="D3112" t="s">
        <v>24</v>
      </c>
      <c r="E3112" t="s">
        <v>14</v>
      </c>
      <c r="F3112" t="s">
        <v>15</v>
      </c>
      <c r="G3112" t="s">
        <v>393</v>
      </c>
      <c r="H3112" t="s">
        <v>17</v>
      </c>
      <c r="I3112" t="s">
        <v>48</v>
      </c>
      <c r="J3112" t="s">
        <v>414</v>
      </c>
      <c r="K3112" s="1">
        <v>0.42929372685185185</v>
      </c>
      <c r="L3112">
        <f>YEAR(Coffe_sales[[#This Row],[Date]])</f>
        <v>2025</v>
      </c>
    </row>
    <row r="3113" spans="1:12" x14ac:dyDescent="0.2">
      <c r="A3113" t="s">
        <v>35</v>
      </c>
      <c r="B3113" t="s">
        <v>12</v>
      </c>
      <c r="C3113">
        <v>30.86</v>
      </c>
      <c r="D3113" t="s">
        <v>26</v>
      </c>
      <c r="E3113" t="s">
        <v>14</v>
      </c>
      <c r="F3113" t="s">
        <v>15</v>
      </c>
      <c r="G3113" t="s">
        <v>393</v>
      </c>
      <c r="H3113" t="s">
        <v>17</v>
      </c>
      <c r="I3113" t="s">
        <v>48</v>
      </c>
      <c r="J3113" t="s">
        <v>414</v>
      </c>
      <c r="K3113" s="1">
        <v>0.46536491898148147</v>
      </c>
      <c r="L3113">
        <f>YEAR(Coffe_sales[[#This Row],[Date]])</f>
        <v>2025</v>
      </c>
    </row>
    <row r="3114" spans="1:12" x14ac:dyDescent="0.2">
      <c r="A3114" t="s">
        <v>20</v>
      </c>
      <c r="B3114" t="s">
        <v>12</v>
      </c>
      <c r="C3114">
        <v>25.96</v>
      </c>
      <c r="D3114" t="s">
        <v>24</v>
      </c>
      <c r="E3114" t="s">
        <v>22</v>
      </c>
      <c r="F3114" t="s">
        <v>15</v>
      </c>
      <c r="G3114" t="s">
        <v>393</v>
      </c>
      <c r="H3114" t="s">
        <v>17</v>
      </c>
      <c r="I3114" t="s">
        <v>48</v>
      </c>
      <c r="J3114" t="s">
        <v>414</v>
      </c>
      <c r="K3114" s="1">
        <v>0.50334759259259254</v>
      </c>
      <c r="L3114">
        <f>YEAR(Coffe_sales[[#This Row],[Date]])</f>
        <v>2025</v>
      </c>
    </row>
    <row r="3115" spans="1:12" x14ac:dyDescent="0.2">
      <c r="A3115" t="s">
        <v>20</v>
      </c>
      <c r="B3115" t="s">
        <v>12</v>
      </c>
      <c r="C3115">
        <v>25.96</v>
      </c>
      <c r="D3115" t="s">
        <v>24</v>
      </c>
      <c r="E3115" t="s">
        <v>22</v>
      </c>
      <c r="F3115" t="s">
        <v>15</v>
      </c>
      <c r="G3115" t="s">
        <v>393</v>
      </c>
      <c r="H3115" t="s">
        <v>17</v>
      </c>
      <c r="I3115" t="s">
        <v>48</v>
      </c>
      <c r="J3115" t="s">
        <v>414</v>
      </c>
      <c r="K3115" s="1">
        <v>0.50535608796296294</v>
      </c>
      <c r="L3115">
        <f>YEAR(Coffe_sales[[#This Row],[Date]])</f>
        <v>2025</v>
      </c>
    </row>
    <row r="3116" spans="1:12" x14ac:dyDescent="0.2">
      <c r="A3116" t="s">
        <v>20</v>
      </c>
      <c r="B3116" t="s">
        <v>12</v>
      </c>
      <c r="C3116">
        <v>25.96</v>
      </c>
      <c r="D3116" t="s">
        <v>24</v>
      </c>
      <c r="E3116" t="s">
        <v>22</v>
      </c>
      <c r="F3116" t="s">
        <v>15</v>
      </c>
      <c r="G3116" t="s">
        <v>393</v>
      </c>
      <c r="H3116" t="s">
        <v>17</v>
      </c>
      <c r="I3116" t="s">
        <v>48</v>
      </c>
      <c r="J3116" t="s">
        <v>414</v>
      </c>
      <c r="K3116" s="1">
        <v>0.53909719907407405</v>
      </c>
      <c r="L3116">
        <f>YEAR(Coffe_sales[[#This Row],[Date]])</f>
        <v>2025</v>
      </c>
    </row>
    <row r="3117" spans="1:12" x14ac:dyDescent="0.2">
      <c r="A3117" t="s">
        <v>20</v>
      </c>
      <c r="B3117" t="s">
        <v>12</v>
      </c>
      <c r="C3117">
        <v>25.96</v>
      </c>
      <c r="D3117" t="s">
        <v>24</v>
      </c>
      <c r="E3117" t="s">
        <v>22</v>
      </c>
      <c r="F3117" t="s">
        <v>15</v>
      </c>
      <c r="G3117" t="s">
        <v>393</v>
      </c>
      <c r="H3117" t="s">
        <v>17</v>
      </c>
      <c r="I3117" t="s">
        <v>48</v>
      </c>
      <c r="J3117" t="s">
        <v>414</v>
      </c>
      <c r="K3117" s="1">
        <v>0.53961643518518521</v>
      </c>
      <c r="L3117">
        <f>YEAR(Coffe_sales[[#This Row],[Date]])</f>
        <v>2025</v>
      </c>
    </row>
    <row r="3118" spans="1:12" x14ac:dyDescent="0.2">
      <c r="A3118" t="s">
        <v>23</v>
      </c>
      <c r="B3118" t="s">
        <v>12</v>
      </c>
      <c r="C3118">
        <v>25.96</v>
      </c>
      <c r="D3118" t="s">
        <v>24</v>
      </c>
      <c r="E3118" t="s">
        <v>22</v>
      </c>
      <c r="F3118" t="s">
        <v>15</v>
      </c>
      <c r="G3118" t="s">
        <v>393</v>
      </c>
      <c r="H3118" t="s">
        <v>17</v>
      </c>
      <c r="I3118" t="s">
        <v>48</v>
      </c>
      <c r="J3118" t="s">
        <v>414</v>
      </c>
      <c r="K3118" s="1">
        <v>0.54633017361111114</v>
      </c>
      <c r="L3118">
        <f>YEAR(Coffe_sales[[#This Row],[Date]])</f>
        <v>2025</v>
      </c>
    </row>
    <row r="3119" spans="1:12" x14ac:dyDescent="0.2">
      <c r="A3119" t="s">
        <v>36</v>
      </c>
      <c r="B3119" t="s">
        <v>12</v>
      </c>
      <c r="C3119">
        <v>25.96</v>
      </c>
      <c r="D3119" t="s">
        <v>24</v>
      </c>
      <c r="E3119" t="s">
        <v>22</v>
      </c>
      <c r="F3119" t="s">
        <v>15</v>
      </c>
      <c r="G3119" t="s">
        <v>393</v>
      </c>
      <c r="H3119" t="s">
        <v>17</v>
      </c>
      <c r="I3119" t="s">
        <v>48</v>
      </c>
      <c r="J3119" t="s">
        <v>414</v>
      </c>
      <c r="K3119" s="1">
        <v>0.5957731828703704</v>
      </c>
      <c r="L3119">
        <f>YEAR(Coffe_sales[[#This Row],[Date]])</f>
        <v>2025</v>
      </c>
    </row>
    <row r="3120" spans="1:12" x14ac:dyDescent="0.2">
      <c r="A3120" t="s">
        <v>25</v>
      </c>
      <c r="B3120" t="s">
        <v>12</v>
      </c>
      <c r="C3120">
        <v>35.76</v>
      </c>
      <c r="D3120" t="s">
        <v>52</v>
      </c>
      <c r="E3120" t="s">
        <v>22</v>
      </c>
      <c r="F3120" t="s">
        <v>15</v>
      </c>
      <c r="G3120" t="s">
        <v>393</v>
      </c>
      <c r="H3120" t="s">
        <v>17</v>
      </c>
      <c r="I3120" t="s">
        <v>48</v>
      </c>
      <c r="J3120" t="s">
        <v>414</v>
      </c>
      <c r="K3120" s="1">
        <v>0.63786188657407406</v>
      </c>
      <c r="L3120">
        <f>YEAR(Coffe_sales[[#This Row],[Date]])</f>
        <v>2025</v>
      </c>
    </row>
    <row r="3121" spans="1:12" x14ac:dyDescent="0.2">
      <c r="A3121" t="s">
        <v>25</v>
      </c>
      <c r="B3121" t="s">
        <v>12</v>
      </c>
      <c r="C3121">
        <v>25.96</v>
      </c>
      <c r="D3121" t="s">
        <v>24</v>
      </c>
      <c r="E3121" t="s">
        <v>22</v>
      </c>
      <c r="F3121" t="s">
        <v>15</v>
      </c>
      <c r="G3121" t="s">
        <v>393</v>
      </c>
      <c r="H3121" t="s">
        <v>17</v>
      </c>
      <c r="I3121" t="s">
        <v>48</v>
      </c>
      <c r="J3121" t="s">
        <v>414</v>
      </c>
      <c r="K3121" s="1">
        <v>0.6568777199074074</v>
      </c>
      <c r="L3121">
        <f>YEAR(Coffe_sales[[#This Row],[Date]])</f>
        <v>2025</v>
      </c>
    </row>
    <row r="3122" spans="1:12" x14ac:dyDescent="0.2">
      <c r="A3122" t="s">
        <v>25</v>
      </c>
      <c r="B3122" t="s">
        <v>12</v>
      </c>
      <c r="C3122">
        <v>25.96</v>
      </c>
      <c r="D3122" t="s">
        <v>24</v>
      </c>
      <c r="E3122" t="s">
        <v>22</v>
      </c>
      <c r="F3122" t="s">
        <v>15</v>
      </c>
      <c r="G3122" t="s">
        <v>393</v>
      </c>
      <c r="H3122" t="s">
        <v>17</v>
      </c>
      <c r="I3122" t="s">
        <v>48</v>
      </c>
      <c r="J3122" t="s">
        <v>414</v>
      </c>
      <c r="K3122" s="1">
        <v>0.65750387731481486</v>
      </c>
      <c r="L3122">
        <f>YEAR(Coffe_sales[[#This Row],[Date]])</f>
        <v>2025</v>
      </c>
    </row>
    <row r="3123" spans="1:12" x14ac:dyDescent="0.2">
      <c r="A3123" t="s">
        <v>25</v>
      </c>
      <c r="B3123" t="s">
        <v>12</v>
      </c>
      <c r="C3123">
        <v>25.96</v>
      </c>
      <c r="D3123" t="s">
        <v>24</v>
      </c>
      <c r="E3123" t="s">
        <v>22</v>
      </c>
      <c r="F3123" t="s">
        <v>15</v>
      </c>
      <c r="G3123" t="s">
        <v>393</v>
      </c>
      <c r="H3123" t="s">
        <v>17</v>
      </c>
      <c r="I3123" t="s">
        <v>48</v>
      </c>
      <c r="J3123" t="s">
        <v>414</v>
      </c>
      <c r="K3123" s="1">
        <v>0.66166689814814816</v>
      </c>
      <c r="L3123">
        <f>YEAR(Coffe_sales[[#This Row],[Date]])</f>
        <v>2025</v>
      </c>
    </row>
    <row r="3124" spans="1:12" x14ac:dyDescent="0.2">
      <c r="A3124" t="s">
        <v>27</v>
      </c>
      <c r="B3124" t="s">
        <v>12</v>
      </c>
      <c r="C3124">
        <v>35.76</v>
      </c>
      <c r="D3124" t="s">
        <v>31</v>
      </c>
      <c r="E3124" t="s">
        <v>22</v>
      </c>
      <c r="F3124" t="s">
        <v>15</v>
      </c>
      <c r="G3124" t="s">
        <v>393</v>
      </c>
      <c r="H3124" t="s">
        <v>17</v>
      </c>
      <c r="I3124" t="s">
        <v>48</v>
      </c>
      <c r="J3124" t="s">
        <v>414</v>
      </c>
      <c r="K3124" s="1">
        <v>0.67368200231481479</v>
      </c>
      <c r="L3124">
        <f>YEAR(Coffe_sales[[#This Row],[Date]])</f>
        <v>2025</v>
      </c>
    </row>
    <row r="3125" spans="1:12" x14ac:dyDescent="0.2">
      <c r="A3125" t="s">
        <v>27</v>
      </c>
      <c r="B3125" t="s">
        <v>12</v>
      </c>
      <c r="C3125">
        <v>35.76</v>
      </c>
      <c r="D3125" t="s">
        <v>13</v>
      </c>
      <c r="E3125" t="s">
        <v>22</v>
      </c>
      <c r="F3125" t="s">
        <v>15</v>
      </c>
      <c r="G3125" t="s">
        <v>393</v>
      </c>
      <c r="H3125" t="s">
        <v>17</v>
      </c>
      <c r="I3125" t="s">
        <v>48</v>
      </c>
      <c r="J3125" t="s">
        <v>414</v>
      </c>
      <c r="K3125" s="1">
        <v>0.6992901967592593</v>
      </c>
      <c r="L3125">
        <f>YEAR(Coffe_sales[[#This Row],[Date]])</f>
        <v>2025</v>
      </c>
    </row>
    <row r="3126" spans="1:12" x14ac:dyDescent="0.2">
      <c r="A3126" t="s">
        <v>27</v>
      </c>
      <c r="B3126" t="s">
        <v>12</v>
      </c>
      <c r="C3126">
        <v>35.76</v>
      </c>
      <c r="D3126" t="s">
        <v>21</v>
      </c>
      <c r="E3126" t="s">
        <v>22</v>
      </c>
      <c r="F3126" t="s">
        <v>15</v>
      </c>
      <c r="G3126" t="s">
        <v>393</v>
      </c>
      <c r="H3126" t="s">
        <v>17</v>
      </c>
      <c r="I3126" t="s">
        <v>48</v>
      </c>
      <c r="J3126" t="s">
        <v>414</v>
      </c>
      <c r="K3126" s="1">
        <v>0.70067725694444449</v>
      </c>
      <c r="L3126">
        <f>YEAR(Coffe_sales[[#This Row],[Date]])</f>
        <v>2025</v>
      </c>
    </row>
    <row r="3127" spans="1:12" x14ac:dyDescent="0.2">
      <c r="A3127" t="s">
        <v>27</v>
      </c>
      <c r="B3127" t="s">
        <v>12</v>
      </c>
      <c r="C3127">
        <v>35.76</v>
      </c>
      <c r="D3127" t="s">
        <v>13</v>
      </c>
      <c r="E3127" t="s">
        <v>22</v>
      </c>
      <c r="F3127" t="s">
        <v>15</v>
      </c>
      <c r="G3127" t="s">
        <v>393</v>
      </c>
      <c r="H3127" t="s">
        <v>17</v>
      </c>
      <c r="I3127" t="s">
        <v>48</v>
      </c>
      <c r="J3127" t="s">
        <v>414</v>
      </c>
      <c r="K3127" s="1">
        <v>0.70154417824074078</v>
      </c>
      <c r="L3127">
        <f>YEAR(Coffe_sales[[#This Row],[Date]])</f>
        <v>2025</v>
      </c>
    </row>
    <row r="3128" spans="1:12" x14ac:dyDescent="0.2">
      <c r="A3128" t="s">
        <v>30</v>
      </c>
      <c r="B3128" t="s">
        <v>12</v>
      </c>
      <c r="C3128">
        <v>35.76</v>
      </c>
      <c r="D3128" t="s">
        <v>31</v>
      </c>
      <c r="E3128" t="s">
        <v>29</v>
      </c>
      <c r="F3128" t="s">
        <v>15</v>
      </c>
      <c r="G3128" t="s">
        <v>393</v>
      </c>
      <c r="H3128" t="s">
        <v>17</v>
      </c>
      <c r="I3128" t="s">
        <v>48</v>
      </c>
      <c r="J3128" t="s">
        <v>414</v>
      </c>
      <c r="K3128" s="1">
        <v>0.79744010416666666</v>
      </c>
      <c r="L3128">
        <f>YEAR(Coffe_sales[[#This Row],[Date]])</f>
        <v>2025</v>
      </c>
    </row>
    <row r="3129" spans="1:12" x14ac:dyDescent="0.2">
      <c r="A3129" t="s">
        <v>30</v>
      </c>
      <c r="B3129" t="s">
        <v>12</v>
      </c>
      <c r="C3129">
        <v>35.76</v>
      </c>
      <c r="D3129" t="s">
        <v>31</v>
      </c>
      <c r="E3129" t="s">
        <v>29</v>
      </c>
      <c r="F3129" t="s">
        <v>15</v>
      </c>
      <c r="G3129" t="s">
        <v>393</v>
      </c>
      <c r="H3129" t="s">
        <v>17</v>
      </c>
      <c r="I3129" t="s">
        <v>48</v>
      </c>
      <c r="J3129" t="s">
        <v>414</v>
      </c>
      <c r="K3129" s="1">
        <v>0.79802721064814819</v>
      </c>
      <c r="L3129">
        <f>YEAR(Coffe_sales[[#This Row],[Date]])</f>
        <v>2025</v>
      </c>
    </row>
    <row r="3130" spans="1:12" x14ac:dyDescent="0.2">
      <c r="A3130" t="s">
        <v>30</v>
      </c>
      <c r="B3130" t="s">
        <v>12</v>
      </c>
      <c r="C3130">
        <v>35.76</v>
      </c>
      <c r="D3130" t="s">
        <v>52</v>
      </c>
      <c r="E3130" t="s">
        <v>29</v>
      </c>
      <c r="F3130" t="s">
        <v>15</v>
      </c>
      <c r="G3130" t="s">
        <v>393</v>
      </c>
      <c r="H3130" t="s">
        <v>17</v>
      </c>
      <c r="I3130" t="s">
        <v>48</v>
      </c>
      <c r="J3130" t="s">
        <v>414</v>
      </c>
      <c r="K3130" s="1">
        <v>0.83291799768518515</v>
      </c>
      <c r="L3130">
        <f>YEAR(Coffe_sales[[#This Row],[Date]])</f>
        <v>2025</v>
      </c>
    </row>
    <row r="3131" spans="1:12" x14ac:dyDescent="0.2">
      <c r="A3131" t="s">
        <v>11</v>
      </c>
      <c r="B3131" t="s">
        <v>12</v>
      </c>
      <c r="C3131">
        <v>35.76</v>
      </c>
      <c r="D3131" t="s">
        <v>21</v>
      </c>
      <c r="E3131" t="s">
        <v>14</v>
      </c>
      <c r="F3131" t="s">
        <v>32</v>
      </c>
      <c r="G3131" t="s">
        <v>393</v>
      </c>
      <c r="H3131" t="s">
        <v>33</v>
      </c>
      <c r="I3131" t="s">
        <v>48</v>
      </c>
      <c r="J3131" t="s">
        <v>415</v>
      </c>
      <c r="K3131" s="1">
        <v>0.45299400462962963</v>
      </c>
      <c r="L3131">
        <f>YEAR(Coffe_sales[[#This Row],[Date]])</f>
        <v>2025</v>
      </c>
    </row>
    <row r="3132" spans="1:12" x14ac:dyDescent="0.2">
      <c r="A3132" t="s">
        <v>35</v>
      </c>
      <c r="B3132" t="s">
        <v>12</v>
      </c>
      <c r="C3132">
        <v>25.96</v>
      </c>
      <c r="D3132" t="s">
        <v>24</v>
      </c>
      <c r="E3132" t="s">
        <v>14</v>
      </c>
      <c r="F3132" t="s">
        <v>32</v>
      </c>
      <c r="G3132" t="s">
        <v>393</v>
      </c>
      <c r="H3132" t="s">
        <v>33</v>
      </c>
      <c r="I3132" t="s">
        <v>48</v>
      </c>
      <c r="J3132" t="s">
        <v>415</v>
      </c>
      <c r="K3132" s="1">
        <v>0.47813024305555557</v>
      </c>
      <c r="L3132">
        <f>YEAR(Coffe_sales[[#This Row],[Date]])</f>
        <v>2025</v>
      </c>
    </row>
    <row r="3133" spans="1:12" x14ac:dyDescent="0.2">
      <c r="A3133" t="s">
        <v>35</v>
      </c>
      <c r="B3133" t="s">
        <v>12</v>
      </c>
      <c r="C3133">
        <v>25.96</v>
      </c>
      <c r="D3133" t="s">
        <v>24</v>
      </c>
      <c r="E3133" t="s">
        <v>14</v>
      </c>
      <c r="F3133" t="s">
        <v>32</v>
      </c>
      <c r="G3133" t="s">
        <v>393</v>
      </c>
      <c r="H3133" t="s">
        <v>33</v>
      </c>
      <c r="I3133" t="s">
        <v>48</v>
      </c>
      <c r="J3133" t="s">
        <v>415</v>
      </c>
      <c r="K3133" s="1">
        <v>0.48695425925925928</v>
      </c>
      <c r="L3133">
        <f>YEAR(Coffe_sales[[#This Row],[Date]])</f>
        <v>2025</v>
      </c>
    </row>
    <row r="3134" spans="1:12" x14ac:dyDescent="0.2">
      <c r="A3134" t="s">
        <v>20</v>
      </c>
      <c r="B3134" t="s">
        <v>12</v>
      </c>
      <c r="C3134">
        <v>21.06</v>
      </c>
      <c r="D3134" t="s">
        <v>45</v>
      </c>
      <c r="E3134" t="s">
        <v>22</v>
      </c>
      <c r="F3134" t="s">
        <v>32</v>
      </c>
      <c r="G3134" t="s">
        <v>393</v>
      </c>
      <c r="H3134" t="s">
        <v>33</v>
      </c>
      <c r="I3134" t="s">
        <v>48</v>
      </c>
      <c r="J3134" t="s">
        <v>415</v>
      </c>
      <c r="K3134" s="1">
        <v>0.54145663194444449</v>
      </c>
      <c r="L3134">
        <f>YEAR(Coffe_sales[[#This Row],[Date]])</f>
        <v>2025</v>
      </c>
    </row>
    <row r="3135" spans="1:12" x14ac:dyDescent="0.2">
      <c r="A3135" t="s">
        <v>25</v>
      </c>
      <c r="B3135" t="s">
        <v>12</v>
      </c>
      <c r="C3135">
        <v>30.86</v>
      </c>
      <c r="D3135" t="s">
        <v>26</v>
      </c>
      <c r="E3135" t="s">
        <v>22</v>
      </c>
      <c r="F3135" t="s">
        <v>32</v>
      </c>
      <c r="G3135" t="s">
        <v>393</v>
      </c>
      <c r="H3135" t="s">
        <v>33</v>
      </c>
      <c r="I3135" t="s">
        <v>48</v>
      </c>
      <c r="J3135" t="s">
        <v>415</v>
      </c>
      <c r="K3135" s="1">
        <v>0.62712118055555555</v>
      </c>
      <c r="L3135">
        <f>YEAR(Coffe_sales[[#This Row],[Date]])</f>
        <v>2025</v>
      </c>
    </row>
    <row r="3136" spans="1:12" x14ac:dyDescent="0.2">
      <c r="A3136" t="s">
        <v>11</v>
      </c>
      <c r="B3136" t="s">
        <v>12</v>
      </c>
      <c r="C3136">
        <v>30.86</v>
      </c>
      <c r="D3136" t="s">
        <v>26</v>
      </c>
      <c r="E3136" t="s">
        <v>14</v>
      </c>
      <c r="F3136" t="s">
        <v>38</v>
      </c>
      <c r="G3136" t="s">
        <v>393</v>
      </c>
      <c r="H3136" t="s">
        <v>39</v>
      </c>
      <c r="I3136" t="s">
        <v>48</v>
      </c>
      <c r="J3136" t="s">
        <v>416</v>
      </c>
      <c r="K3136" s="1">
        <v>0.43971663194444444</v>
      </c>
      <c r="L3136">
        <f>YEAR(Coffe_sales[[#This Row],[Date]])</f>
        <v>2025</v>
      </c>
    </row>
    <row r="3137" spans="1:12" x14ac:dyDescent="0.2">
      <c r="A3137" t="s">
        <v>20</v>
      </c>
      <c r="B3137" t="s">
        <v>12</v>
      </c>
      <c r="C3137">
        <v>30.86</v>
      </c>
      <c r="D3137" t="s">
        <v>26</v>
      </c>
      <c r="E3137" t="s">
        <v>22</v>
      </c>
      <c r="F3137" t="s">
        <v>38</v>
      </c>
      <c r="G3137" t="s">
        <v>393</v>
      </c>
      <c r="H3137" t="s">
        <v>39</v>
      </c>
      <c r="I3137" t="s">
        <v>48</v>
      </c>
      <c r="J3137" t="s">
        <v>416</v>
      </c>
      <c r="K3137" s="1">
        <v>0.53641672453703704</v>
      </c>
      <c r="L3137">
        <f>YEAR(Coffe_sales[[#This Row],[Date]])</f>
        <v>2025</v>
      </c>
    </row>
    <row r="3138" spans="1:12" x14ac:dyDescent="0.2">
      <c r="A3138" t="s">
        <v>20</v>
      </c>
      <c r="B3138" t="s">
        <v>12</v>
      </c>
      <c r="C3138">
        <v>30.86</v>
      </c>
      <c r="D3138" t="s">
        <v>26</v>
      </c>
      <c r="E3138" t="s">
        <v>22</v>
      </c>
      <c r="F3138" t="s">
        <v>38</v>
      </c>
      <c r="G3138" t="s">
        <v>393</v>
      </c>
      <c r="H3138" t="s">
        <v>39</v>
      </c>
      <c r="I3138" t="s">
        <v>48</v>
      </c>
      <c r="J3138" t="s">
        <v>416</v>
      </c>
      <c r="K3138" s="1">
        <v>0.53757141203703707</v>
      </c>
      <c r="L3138">
        <f>YEAR(Coffe_sales[[#This Row],[Date]])</f>
        <v>2025</v>
      </c>
    </row>
    <row r="3139" spans="1:12" x14ac:dyDescent="0.2">
      <c r="A3139" t="s">
        <v>23</v>
      </c>
      <c r="B3139" t="s">
        <v>12</v>
      </c>
      <c r="C3139">
        <v>35.76</v>
      </c>
      <c r="D3139" t="s">
        <v>52</v>
      </c>
      <c r="E3139" t="s">
        <v>22</v>
      </c>
      <c r="F3139" t="s">
        <v>38</v>
      </c>
      <c r="G3139" t="s">
        <v>393</v>
      </c>
      <c r="H3139" t="s">
        <v>39</v>
      </c>
      <c r="I3139" t="s">
        <v>48</v>
      </c>
      <c r="J3139" t="s">
        <v>416</v>
      </c>
      <c r="K3139" s="1">
        <v>0.57663920138888891</v>
      </c>
      <c r="L3139">
        <f>YEAR(Coffe_sales[[#This Row],[Date]])</f>
        <v>2025</v>
      </c>
    </row>
    <row r="3140" spans="1:12" x14ac:dyDescent="0.2">
      <c r="A3140" t="s">
        <v>36</v>
      </c>
      <c r="B3140" t="s">
        <v>12</v>
      </c>
      <c r="C3140">
        <v>35.76</v>
      </c>
      <c r="D3140" t="s">
        <v>31</v>
      </c>
      <c r="E3140" t="s">
        <v>22</v>
      </c>
      <c r="F3140" t="s">
        <v>38</v>
      </c>
      <c r="G3140" t="s">
        <v>393</v>
      </c>
      <c r="H3140" t="s">
        <v>39</v>
      </c>
      <c r="I3140" t="s">
        <v>48</v>
      </c>
      <c r="J3140" t="s">
        <v>416</v>
      </c>
      <c r="K3140" s="1">
        <v>0.58476204861111114</v>
      </c>
      <c r="L3140">
        <f>YEAR(Coffe_sales[[#This Row],[Date]])</f>
        <v>2025</v>
      </c>
    </row>
    <row r="3141" spans="1:12" x14ac:dyDescent="0.2">
      <c r="A3141" t="s">
        <v>37</v>
      </c>
      <c r="B3141" t="s">
        <v>12</v>
      </c>
      <c r="C3141">
        <v>25.96</v>
      </c>
      <c r="D3141" t="s">
        <v>24</v>
      </c>
      <c r="E3141" t="s">
        <v>29</v>
      </c>
      <c r="F3141" t="s">
        <v>38</v>
      </c>
      <c r="G3141" t="s">
        <v>393</v>
      </c>
      <c r="H3141" t="s">
        <v>39</v>
      </c>
      <c r="I3141" t="s">
        <v>48</v>
      </c>
      <c r="J3141" t="s">
        <v>416</v>
      </c>
      <c r="K3141" s="1">
        <v>0.72760326388888885</v>
      </c>
      <c r="L3141">
        <f>YEAR(Coffe_sales[[#This Row],[Date]])</f>
        <v>2025</v>
      </c>
    </row>
    <row r="3142" spans="1:12" x14ac:dyDescent="0.2">
      <c r="A3142" t="s">
        <v>46</v>
      </c>
      <c r="B3142" t="s">
        <v>12</v>
      </c>
      <c r="C3142">
        <v>30.86</v>
      </c>
      <c r="D3142" t="s">
        <v>26</v>
      </c>
      <c r="E3142" t="s">
        <v>14</v>
      </c>
      <c r="F3142" t="s">
        <v>42</v>
      </c>
      <c r="G3142" t="s">
        <v>393</v>
      </c>
      <c r="H3142" t="s">
        <v>43</v>
      </c>
      <c r="I3142" t="s">
        <v>48</v>
      </c>
      <c r="J3142" t="s">
        <v>417</v>
      </c>
      <c r="K3142" s="1">
        <v>0.38534218749999999</v>
      </c>
      <c r="L3142">
        <f>YEAR(Coffe_sales[[#This Row],[Date]])</f>
        <v>2025</v>
      </c>
    </row>
    <row r="3143" spans="1:12" x14ac:dyDescent="0.2">
      <c r="A3143" t="s">
        <v>46</v>
      </c>
      <c r="B3143" t="s">
        <v>12</v>
      </c>
      <c r="C3143">
        <v>35.76</v>
      </c>
      <c r="D3143" t="s">
        <v>13</v>
      </c>
      <c r="E3143" t="s">
        <v>14</v>
      </c>
      <c r="F3143" t="s">
        <v>42</v>
      </c>
      <c r="G3143" t="s">
        <v>393</v>
      </c>
      <c r="H3143" t="s">
        <v>43</v>
      </c>
      <c r="I3143" t="s">
        <v>48</v>
      </c>
      <c r="J3143" t="s">
        <v>417</v>
      </c>
      <c r="K3143" s="1">
        <v>0.40637383101851854</v>
      </c>
      <c r="L3143">
        <f>YEAR(Coffe_sales[[#This Row],[Date]])</f>
        <v>2025</v>
      </c>
    </row>
    <row r="3144" spans="1:12" x14ac:dyDescent="0.2">
      <c r="A3144" t="s">
        <v>11</v>
      </c>
      <c r="B3144" t="s">
        <v>12</v>
      </c>
      <c r="C3144">
        <v>25.96</v>
      </c>
      <c r="D3144" t="s">
        <v>24</v>
      </c>
      <c r="E3144" t="s">
        <v>14</v>
      </c>
      <c r="F3144" t="s">
        <v>42</v>
      </c>
      <c r="G3144" t="s">
        <v>393</v>
      </c>
      <c r="H3144" t="s">
        <v>43</v>
      </c>
      <c r="I3144" t="s">
        <v>48</v>
      </c>
      <c r="J3144" t="s">
        <v>417</v>
      </c>
      <c r="K3144" s="1">
        <v>0.41861690972222221</v>
      </c>
      <c r="L3144">
        <f>YEAR(Coffe_sales[[#This Row],[Date]])</f>
        <v>2025</v>
      </c>
    </row>
    <row r="3145" spans="1:12" x14ac:dyDescent="0.2">
      <c r="A3145" t="s">
        <v>11</v>
      </c>
      <c r="B3145" t="s">
        <v>12</v>
      </c>
      <c r="C3145">
        <v>30.86</v>
      </c>
      <c r="D3145" t="s">
        <v>26</v>
      </c>
      <c r="E3145" t="s">
        <v>14</v>
      </c>
      <c r="F3145" t="s">
        <v>42</v>
      </c>
      <c r="G3145" t="s">
        <v>393</v>
      </c>
      <c r="H3145" t="s">
        <v>43</v>
      </c>
      <c r="I3145" t="s">
        <v>48</v>
      </c>
      <c r="J3145" t="s">
        <v>417</v>
      </c>
      <c r="K3145" s="1">
        <v>0.42306127314814818</v>
      </c>
      <c r="L3145">
        <f>YEAR(Coffe_sales[[#This Row],[Date]])</f>
        <v>2025</v>
      </c>
    </row>
    <row r="3146" spans="1:12" x14ac:dyDescent="0.2">
      <c r="A3146" t="s">
        <v>11</v>
      </c>
      <c r="B3146" t="s">
        <v>12</v>
      </c>
      <c r="C3146">
        <v>30.86</v>
      </c>
      <c r="D3146" t="s">
        <v>26</v>
      </c>
      <c r="E3146" t="s">
        <v>14</v>
      </c>
      <c r="F3146" t="s">
        <v>42</v>
      </c>
      <c r="G3146" t="s">
        <v>393</v>
      </c>
      <c r="H3146" t="s">
        <v>43</v>
      </c>
      <c r="I3146" t="s">
        <v>48</v>
      </c>
      <c r="J3146" t="s">
        <v>417</v>
      </c>
      <c r="K3146" s="1">
        <v>0.42386256944444445</v>
      </c>
      <c r="L3146">
        <f>YEAR(Coffe_sales[[#This Row],[Date]])</f>
        <v>2025</v>
      </c>
    </row>
    <row r="3147" spans="1:12" x14ac:dyDescent="0.2">
      <c r="A3147" t="s">
        <v>11</v>
      </c>
      <c r="B3147" t="s">
        <v>12</v>
      </c>
      <c r="C3147">
        <v>35.76</v>
      </c>
      <c r="D3147" t="s">
        <v>31</v>
      </c>
      <c r="E3147" t="s">
        <v>14</v>
      </c>
      <c r="F3147" t="s">
        <v>42</v>
      </c>
      <c r="G3147" t="s">
        <v>393</v>
      </c>
      <c r="H3147" t="s">
        <v>43</v>
      </c>
      <c r="I3147" t="s">
        <v>48</v>
      </c>
      <c r="J3147" t="s">
        <v>417</v>
      </c>
      <c r="K3147" s="1">
        <v>0.44985740740740743</v>
      </c>
      <c r="L3147">
        <f>YEAR(Coffe_sales[[#This Row],[Date]])</f>
        <v>2025</v>
      </c>
    </row>
    <row r="3148" spans="1:12" x14ac:dyDescent="0.2">
      <c r="A3148" t="s">
        <v>20</v>
      </c>
      <c r="B3148" t="s">
        <v>12</v>
      </c>
      <c r="C3148">
        <v>35.76</v>
      </c>
      <c r="D3148" t="s">
        <v>13</v>
      </c>
      <c r="E3148" t="s">
        <v>22</v>
      </c>
      <c r="F3148" t="s">
        <v>42</v>
      </c>
      <c r="G3148" t="s">
        <v>393</v>
      </c>
      <c r="H3148" t="s">
        <v>43</v>
      </c>
      <c r="I3148" t="s">
        <v>48</v>
      </c>
      <c r="J3148" t="s">
        <v>417</v>
      </c>
      <c r="K3148" s="1">
        <v>0.54075589120370371</v>
      </c>
      <c r="L3148">
        <f>YEAR(Coffe_sales[[#This Row],[Date]])</f>
        <v>2025</v>
      </c>
    </row>
    <row r="3149" spans="1:12" x14ac:dyDescent="0.2">
      <c r="A3149" t="s">
        <v>23</v>
      </c>
      <c r="B3149" t="s">
        <v>12</v>
      </c>
      <c r="C3149">
        <v>35.76</v>
      </c>
      <c r="D3149" t="s">
        <v>31</v>
      </c>
      <c r="E3149" t="s">
        <v>22</v>
      </c>
      <c r="F3149" t="s">
        <v>42</v>
      </c>
      <c r="G3149" t="s">
        <v>393</v>
      </c>
      <c r="H3149" t="s">
        <v>43</v>
      </c>
      <c r="I3149" t="s">
        <v>48</v>
      </c>
      <c r="J3149" t="s">
        <v>417</v>
      </c>
      <c r="K3149" s="1">
        <v>0.54168145833333337</v>
      </c>
      <c r="L3149">
        <f>YEAR(Coffe_sales[[#This Row],[Date]])</f>
        <v>2025</v>
      </c>
    </row>
    <row r="3150" spans="1:12" x14ac:dyDescent="0.2">
      <c r="A3150" t="s">
        <v>25</v>
      </c>
      <c r="B3150" t="s">
        <v>12</v>
      </c>
      <c r="C3150">
        <v>30.86</v>
      </c>
      <c r="D3150" t="s">
        <v>26</v>
      </c>
      <c r="E3150" t="s">
        <v>22</v>
      </c>
      <c r="F3150" t="s">
        <v>42</v>
      </c>
      <c r="G3150" t="s">
        <v>393</v>
      </c>
      <c r="H3150" t="s">
        <v>43</v>
      </c>
      <c r="I3150" t="s">
        <v>48</v>
      </c>
      <c r="J3150" t="s">
        <v>417</v>
      </c>
      <c r="K3150" s="1">
        <v>0.65279884259259258</v>
      </c>
      <c r="L3150">
        <f>YEAR(Coffe_sales[[#This Row],[Date]])</f>
        <v>2025</v>
      </c>
    </row>
    <row r="3151" spans="1:12" x14ac:dyDescent="0.2">
      <c r="A3151" t="s">
        <v>27</v>
      </c>
      <c r="B3151" t="s">
        <v>12</v>
      </c>
      <c r="C3151">
        <v>35.76</v>
      </c>
      <c r="D3151" t="s">
        <v>31</v>
      </c>
      <c r="E3151" t="s">
        <v>22</v>
      </c>
      <c r="F3151" t="s">
        <v>42</v>
      </c>
      <c r="G3151" t="s">
        <v>393</v>
      </c>
      <c r="H3151" t="s">
        <v>43</v>
      </c>
      <c r="I3151" t="s">
        <v>48</v>
      </c>
      <c r="J3151" t="s">
        <v>417</v>
      </c>
      <c r="K3151" s="1">
        <v>0.66673989583333337</v>
      </c>
      <c r="L3151">
        <f>YEAR(Coffe_sales[[#This Row],[Date]])</f>
        <v>2025</v>
      </c>
    </row>
    <row r="3152" spans="1:12" x14ac:dyDescent="0.2">
      <c r="A3152" t="s">
        <v>27</v>
      </c>
      <c r="B3152" t="s">
        <v>12</v>
      </c>
      <c r="C3152">
        <v>35.76</v>
      </c>
      <c r="D3152" t="s">
        <v>52</v>
      </c>
      <c r="E3152" t="s">
        <v>22</v>
      </c>
      <c r="F3152" t="s">
        <v>42</v>
      </c>
      <c r="G3152" t="s">
        <v>393</v>
      </c>
      <c r="H3152" t="s">
        <v>43</v>
      </c>
      <c r="I3152" t="s">
        <v>48</v>
      </c>
      <c r="J3152" t="s">
        <v>417</v>
      </c>
      <c r="K3152" s="1">
        <v>0.67388855324074071</v>
      </c>
      <c r="L3152">
        <f>YEAR(Coffe_sales[[#This Row],[Date]])</f>
        <v>2025</v>
      </c>
    </row>
    <row r="3153" spans="1:12" x14ac:dyDescent="0.2">
      <c r="A3153" t="s">
        <v>27</v>
      </c>
      <c r="B3153" t="s">
        <v>12</v>
      </c>
      <c r="C3153">
        <v>35.76</v>
      </c>
      <c r="D3153" t="s">
        <v>13</v>
      </c>
      <c r="E3153" t="s">
        <v>22</v>
      </c>
      <c r="F3153" t="s">
        <v>42</v>
      </c>
      <c r="G3153" t="s">
        <v>393</v>
      </c>
      <c r="H3153" t="s">
        <v>43</v>
      </c>
      <c r="I3153" t="s">
        <v>48</v>
      </c>
      <c r="J3153" t="s">
        <v>417</v>
      </c>
      <c r="K3153" s="1">
        <v>0.68671449074074076</v>
      </c>
      <c r="L3153">
        <f>YEAR(Coffe_sales[[#This Row],[Date]])</f>
        <v>2025</v>
      </c>
    </row>
    <row r="3154" spans="1:12" x14ac:dyDescent="0.2">
      <c r="A3154" t="s">
        <v>27</v>
      </c>
      <c r="B3154" t="s">
        <v>12</v>
      </c>
      <c r="C3154">
        <v>25.96</v>
      </c>
      <c r="D3154" t="s">
        <v>24</v>
      </c>
      <c r="E3154" t="s">
        <v>22</v>
      </c>
      <c r="F3154" t="s">
        <v>42</v>
      </c>
      <c r="G3154" t="s">
        <v>393</v>
      </c>
      <c r="H3154" t="s">
        <v>43</v>
      </c>
      <c r="I3154" t="s">
        <v>48</v>
      </c>
      <c r="J3154" t="s">
        <v>417</v>
      </c>
      <c r="K3154" s="1">
        <v>0.70808481481481478</v>
      </c>
      <c r="L3154">
        <f>YEAR(Coffe_sales[[#This Row],[Date]])</f>
        <v>2025</v>
      </c>
    </row>
    <row r="3155" spans="1:12" x14ac:dyDescent="0.2">
      <c r="A3155" t="s">
        <v>37</v>
      </c>
      <c r="B3155" t="s">
        <v>12</v>
      </c>
      <c r="C3155">
        <v>25.96</v>
      </c>
      <c r="D3155" t="s">
        <v>24</v>
      </c>
      <c r="E3155" t="s">
        <v>29</v>
      </c>
      <c r="F3155" t="s">
        <v>42</v>
      </c>
      <c r="G3155" t="s">
        <v>393</v>
      </c>
      <c r="H3155" t="s">
        <v>43</v>
      </c>
      <c r="I3155" t="s">
        <v>48</v>
      </c>
      <c r="J3155" t="s">
        <v>417</v>
      </c>
      <c r="K3155" s="1">
        <v>0.7088534143518519</v>
      </c>
      <c r="L3155">
        <f>YEAR(Coffe_sales[[#This Row],[Date]])</f>
        <v>2025</v>
      </c>
    </row>
    <row r="3156" spans="1:12" x14ac:dyDescent="0.2">
      <c r="A3156" t="s">
        <v>37</v>
      </c>
      <c r="B3156" t="s">
        <v>12</v>
      </c>
      <c r="C3156">
        <v>30.86</v>
      </c>
      <c r="D3156" t="s">
        <v>26</v>
      </c>
      <c r="E3156" t="s">
        <v>29</v>
      </c>
      <c r="F3156" t="s">
        <v>42</v>
      </c>
      <c r="G3156" t="s">
        <v>393</v>
      </c>
      <c r="H3156" t="s">
        <v>43</v>
      </c>
      <c r="I3156" t="s">
        <v>48</v>
      </c>
      <c r="J3156" t="s">
        <v>417</v>
      </c>
      <c r="K3156" s="1">
        <v>0.73447855324074074</v>
      </c>
      <c r="L3156">
        <f>YEAR(Coffe_sales[[#This Row],[Date]])</f>
        <v>2025</v>
      </c>
    </row>
    <row r="3157" spans="1:12" x14ac:dyDescent="0.2">
      <c r="A3157" t="s">
        <v>28</v>
      </c>
      <c r="B3157" t="s">
        <v>12</v>
      </c>
      <c r="C3157">
        <v>30.86</v>
      </c>
      <c r="D3157" t="s">
        <v>26</v>
      </c>
      <c r="E3157" t="s">
        <v>29</v>
      </c>
      <c r="F3157" t="s">
        <v>42</v>
      </c>
      <c r="G3157" t="s">
        <v>393</v>
      </c>
      <c r="H3157" t="s">
        <v>43</v>
      </c>
      <c r="I3157" t="s">
        <v>48</v>
      </c>
      <c r="J3157" t="s">
        <v>417</v>
      </c>
      <c r="K3157" s="1">
        <v>0.75488077546296295</v>
      </c>
      <c r="L3157">
        <f>YEAR(Coffe_sales[[#This Row],[Date]])</f>
        <v>2025</v>
      </c>
    </row>
    <row r="3158" spans="1:12" x14ac:dyDescent="0.2">
      <c r="A3158" t="s">
        <v>28</v>
      </c>
      <c r="B3158" t="s">
        <v>12</v>
      </c>
      <c r="C3158">
        <v>35.76</v>
      </c>
      <c r="D3158" t="s">
        <v>13</v>
      </c>
      <c r="E3158" t="s">
        <v>29</v>
      </c>
      <c r="F3158" t="s">
        <v>42</v>
      </c>
      <c r="G3158" t="s">
        <v>393</v>
      </c>
      <c r="H3158" t="s">
        <v>43</v>
      </c>
      <c r="I3158" t="s">
        <v>48</v>
      </c>
      <c r="J3158" t="s">
        <v>417</v>
      </c>
      <c r="K3158" s="1">
        <v>0.76524496527777774</v>
      </c>
      <c r="L3158">
        <f>YEAR(Coffe_sales[[#This Row],[Date]])</f>
        <v>2025</v>
      </c>
    </row>
    <row r="3159" spans="1:12" x14ac:dyDescent="0.2">
      <c r="A3159" t="s">
        <v>30</v>
      </c>
      <c r="B3159" t="s">
        <v>12</v>
      </c>
      <c r="C3159">
        <v>30.86</v>
      </c>
      <c r="D3159" t="s">
        <v>26</v>
      </c>
      <c r="E3159" t="s">
        <v>29</v>
      </c>
      <c r="F3159" t="s">
        <v>42</v>
      </c>
      <c r="G3159" t="s">
        <v>393</v>
      </c>
      <c r="H3159" t="s">
        <v>43</v>
      </c>
      <c r="I3159" t="s">
        <v>48</v>
      </c>
      <c r="J3159" t="s">
        <v>417</v>
      </c>
      <c r="K3159" s="1">
        <v>0.79484302083333336</v>
      </c>
      <c r="L3159">
        <f>YEAR(Coffe_sales[[#This Row],[Date]])</f>
        <v>2025</v>
      </c>
    </row>
    <row r="3160" spans="1:12" x14ac:dyDescent="0.2">
      <c r="A3160" t="s">
        <v>30</v>
      </c>
      <c r="B3160" t="s">
        <v>12</v>
      </c>
      <c r="C3160">
        <v>35.76</v>
      </c>
      <c r="D3160" t="s">
        <v>21</v>
      </c>
      <c r="E3160" t="s">
        <v>29</v>
      </c>
      <c r="F3160" t="s">
        <v>42</v>
      </c>
      <c r="G3160" t="s">
        <v>393</v>
      </c>
      <c r="H3160" t="s">
        <v>43</v>
      </c>
      <c r="I3160" t="s">
        <v>48</v>
      </c>
      <c r="J3160" t="s">
        <v>417</v>
      </c>
      <c r="K3160" s="1">
        <v>0.80845843750000002</v>
      </c>
      <c r="L3160">
        <f>YEAR(Coffe_sales[[#This Row],[Date]])</f>
        <v>2025</v>
      </c>
    </row>
    <row r="3161" spans="1:12" x14ac:dyDescent="0.2">
      <c r="A3161" t="s">
        <v>30</v>
      </c>
      <c r="B3161" t="s">
        <v>12</v>
      </c>
      <c r="C3161">
        <v>35.76</v>
      </c>
      <c r="D3161" t="s">
        <v>13</v>
      </c>
      <c r="E3161" t="s">
        <v>29</v>
      </c>
      <c r="F3161" t="s">
        <v>42</v>
      </c>
      <c r="G3161" t="s">
        <v>393</v>
      </c>
      <c r="H3161" t="s">
        <v>43</v>
      </c>
      <c r="I3161" t="s">
        <v>48</v>
      </c>
      <c r="J3161" t="s">
        <v>417</v>
      </c>
      <c r="K3161" s="1">
        <v>0.8089630902777778</v>
      </c>
      <c r="L3161">
        <f>YEAR(Coffe_sales[[#This Row],[Date]])</f>
        <v>2025</v>
      </c>
    </row>
    <row r="3162" spans="1:12" x14ac:dyDescent="0.2">
      <c r="A3162" t="s">
        <v>30</v>
      </c>
      <c r="B3162" t="s">
        <v>12</v>
      </c>
      <c r="C3162">
        <v>35.76</v>
      </c>
      <c r="D3162" t="s">
        <v>31</v>
      </c>
      <c r="E3162" t="s">
        <v>29</v>
      </c>
      <c r="F3162" t="s">
        <v>42</v>
      </c>
      <c r="G3162" t="s">
        <v>393</v>
      </c>
      <c r="H3162" t="s">
        <v>43</v>
      </c>
      <c r="I3162" t="s">
        <v>48</v>
      </c>
      <c r="J3162" t="s">
        <v>417</v>
      </c>
      <c r="K3162" s="1">
        <v>0.80989313657407402</v>
      </c>
      <c r="L3162">
        <f>YEAR(Coffe_sales[[#This Row],[Date]])</f>
        <v>2025</v>
      </c>
    </row>
    <row r="3163" spans="1:12" x14ac:dyDescent="0.2">
      <c r="A3163" t="s">
        <v>91</v>
      </c>
      <c r="B3163" t="s">
        <v>12</v>
      </c>
      <c r="C3163">
        <v>35.76</v>
      </c>
      <c r="D3163" t="s">
        <v>31</v>
      </c>
      <c r="E3163" t="s">
        <v>29</v>
      </c>
      <c r="F3163" t="s">
        <v>42</v>
      </c>
      <c r="G3163" t="s">
        <v>393</v>
      </c>
      <c r="H3163" t="s">
        <v>43</v>
      </c>
      <c r="I3163" t="s">
        <v>48</v>
      </c>
      <c r="J3163" t="s">
        <v>417</v>
      </c>
      <c r="K3163" s="1">
        <v>0.84364934027777783</v>
      </c>
      <c r="L3163">
        <f>YEAR(Coffe_sales[[#This Row],[Date]])</f>
        <v>2025</v>
      </c>
    </row>
    <row r="3164" spans="1:12" x14ac:dyDescent="0.2">
      <c r="A3164" t="s">
        <v>123</v>
      </c>
      <c r="B3164" t="s">
        <v>12</v>
      </c>
      <c r="C3164">
        <v>30.86</v>
      </c>
      <c r="D3164" t="s">
        <v>26</v>
      </c>
      <c r="E3164" t="s">
        <v>14</v>
      </c>
      <c r="F3164" t="s">
        <v>47</v>
      </c>
      <c r="G3164" t="s">
        <v>393</v>
      </c>
      <c r="H3164" t="s">
        <v>48</v>
      </c>
      <c r="I3164" t="s">
        <v>48</v>
      </c>
      <c r="J3164" t="s">
        <v>418</v>
      </c>
      <c r="K3164" s="1">
        <v>0.33378769675925923</v>
      </c>
      <c r="L3164">
        <f>YEAR(Coffe_sales[[#This Row],[Date]])</f>
        <v>2025</v>
      </c>
    </row>
    <row r="3165" spans="1:12" x14ac:dyDescent="0.2">
      <c r="A3165" t="s">
        <v>123</v>
      </c>
      <c r="B3165" t="s">
        <v>12</v>
      </c>
      <c r="C3165">
        <v>25.96</v>
      </c>
      <c r="D3165" t="s">
        <v>24</v>
      </c>
      <c r="E3165" t="s">
        <v>14</v>
      </c>
      <c r="F3165" t="s">
        <v>47</v>
      </c>
      <c r="G3165" t="s">
        <v>393</v>
      </c>
      <c r="H3165" t="s">
        <v>48</v>
      </c>
      <c r="I3165" t="s">
        <v>48</v>
      </c>
      <c r="J3165" t="s">
        <v>418</v>
      </c>
      <c r="K3165" s="1">
        <v>0.36760495370370372</v>
      </c>
      <c r="L3165">
        <f>YEAR(Coffe_sales[[#This Row],[Date]])</f>
        <v>2025</v>
      </c>
    </row>
    <row r="3166" spans="1:12" x14ac:dyDescent="0.2">
      <c r="A3166" t="s">
        <v>123</v>
      </c>
      <c r="B3166" t="s">
        <v>12</v>
      </c>
      <c r="C3166">
        <v>30.86</v>
      </c>
      <c r="D3166" t="s">
        <v>26</v>
      </c>
      <c r="E3166" t="s">
        <v>14</v>
      </c>
      <c r="F3166" t="s">
        <v>47</v>
      </c>
      <c r="G3166" t="s">
        <v>393</v>
      </c>
      <c r="H3166" t="s">
        <v>48</v>
      </c>
      <c r="I3166" t="s">
        <v>48</v>
      </c>
      <c r="J3166" t="s">
        <v>418</v>
      </c>
      <c r="K3166" s="1">
        <v>0.36822059027777776</v>
      </c>
      <c r="L3166">
        <f>YEAR(Coffe_sales[[#This Row],[Date]])</f>
        <v>2025</v>
      </c>
    </row>
    <row r="3167" spans="1:12" x14ac:dyDescent="0.2">
      <c r="A3167" t="s">
        <v>11</v>
      </c>
      <c r="B3167" t="s">
        <v>12</v>
      </c>
      <c r="C3167">
        <v>21.06</v>
      </c>
      <c r="D3167" t="s">
        <v>45</v>
      </c>
      <c r="E3167" t="s">
        <v>14</v>
      </c>
      <c r="F3167" t="s">
        <v>47</v>
      </c>
      <c r="G3167" t="s">
        <v>393</v>
      </c>
      <c r="H3167" t="s">
        <v>48</v>
      </c>
      <c r="I3167" t="s">
        <v>48</v>
      </c>
      <c r="J3167" t="s">
        <v>418</v>
      </c>
      <c r="K3167" s="1">
        <v>0.4185746759259259</v>
      </c>
      <c r="L3167">
        <f>YEAR(Coffe_sales[[#This Row],[Date]])</f>
        <v>2025</v>
      </c>
    </row>
    <row r="3168" spans="1:12" x14ac:dyDescent="0.2">
      <c r="A3168" t="s">
        <v>35</v>
      </c>
      <c r="B3168" t="s">
        <v>12</v>
      </c>
      <c r="C3168">
        <v>25.96</v>
      </c>
      <c r="D3168" t="s">
        <v>24</v>
      </c>
      <c r="E3168" t="s">
        <v>14</v>
      </c>
      <c r="F3168" t="s">
        <v>47</v>
      </c>
      <c r="G3168" t="s">
        <v>393</v>
      </c>
      <c r="H3168" t="s">
        <v>48</v>
      </c>
      <c r="I3168" t="s">
        <v>48</v>
      </c>
      <c r="J3168" t="s">
        <v>418</v>
      </c>
      <c r="K3168" s="1">
        <v>0.46080844907407409</v>
      </c>
      <c r="L3168">
        <f>YEAR(Coffe_sales[[#This Row],[Date]])</f>
        <v>2025</v>
      </c>
    </row>
    <row r="3169" spans="1:12" x14ac:dyDescent="0.2">
      <c r="A3169" t="s">
        <v>35</v>
      </c>
      <c r="B3169" t="s">
        <v>12</v>
      </c>
      <c r="C3169">
        <v>25.96</v>
      </c>
      <c r="D3169" t="s">
        <v>24</v>
      </c>
      <c r="E3169" t="s">
        <v>14</v>
      </c>
      <c r="F3169" t="s">
        <v>47</v>
      </c>
      <c r="G3169" t="s">
        <v>393</v>
      </c>
      <c r="H3169" t="s">
        <v>48</v>
      </c>
      <c r="I3169" t="s">
        <v>48</v>
      </c>
      <c r="J3169" t="s">
        <v>418</v>
      </c>
      <c r="K3169" s="1">
        <v>0.46142265046296294</v>
      </c>
      <c r="L3169">
        <f>YEAR(Coffe_sales[[#This Row],[Date]])</f>
        <v>2025</v>
      </c>
    </row>
    <row r="3170" spans="1:12" x14ac:dyDescent="0.2">
      <c r="A3170" t="s">
        <v>20</v>
      </c>
      <c r="B3170" t="s">
        <v>12</v>
      </c>
      <c r="C3170">
        <v>35.76</v>
      </c>
      <c r="D3170" t="s">
        <v>52</v>
      </c>
      <c r="E3170" t="s">
        <v>22</v>
      </c>
      <c r="F3170" t="s">
        <v>47</v>
      </c>
      <c r="G3170" t="s">
        <v>393</v>
      </c>
      <c r="H3170" t="s">
        <v>48</v>
      </c>
      <c r="I3170" t="s">
        <v>48</v>
      </c>
      <c r="J3170" t="s">
        <v>418</v>
      </c>
      <c r="K3170" s="1">
        <v>0.51436929398148146</v>
      </c>
      <c r="L3170">
        <f>YEAR(Coffe_sales[[#This Row],[Date]])</f>
        <v>2025</v>
      </c>
    </row>
    <row r="3171" spans="1:12" x14ac:dyDescent="0.2">
      <c r="A3171" t="s">
        <v>36</v>
      </c>
      <c r="B3171" t="s">
        <v>12</v>
      </c>
      <c r="C3171">
        <v>35.76</v>
      </c>
      <c r="D3171" t="s">
        <v>52</v>
      </c>
      <c r="E3171" t="s">
        <v>22</v>
      </c>
      <c r="F3171" t="s">
        <v>47</v>
      </c>
      <c r="G3171" t="s">
        <v>393</v>
      </c>
      <c r="H3171" t="s">
        <v>48</v>
      </c>
      <c r="I3171" t="s">
        <v>48</v>
      </c>
      <c r="J3171" t="s">
        <v>418</v>
      </c>
      <c r="K3171" s="1">
        <v>0.59327015046296294</v>
      </c>
      <c r="L3171">
        <f>YEAR(Coffe_sales[[#This Row],[Date]])</f>
        <v>2025</v>
      </c>
    </row>
    <row r="3172" spans="1:12" x14ac:dyDescent="0.2">
      <c r="A3172" t="s">
        <v>27</v>
      </c>
      <c r="B3172" t="s">
        <v>12</v>
      </c>
      <c r="C3172">
        <v>25.96</v>
      </c>
      <c r="D3172" t="s">
        <v>24</v>
      </c>
      <c r="E3172" t="s">
        <v>22</v>
      </c>
      <c r="F3172" t="s">
        <v>47</v>
      </c>
      <c r="G3172" t="s">
        <v>393</v>
      </c>
      <c r="H3172" t="s">
        <v>48</v>
      </c>
      <c r="I3172" t="s">
        <v>48</v>
      </c>
      <c r="J3172" t="s">
        <v>418</v>
      </c>
      <c r="K3172" s="1">
        <v>0.70112725694444444</v>
      </c>
      <c r="L3172">
        <f>YEAR(Coffe_sales[[#This Row],[Date]])</f>
        <v>2025</v>
      </c>
    </row>
    <row r="3173" spans="1:12" x14ac:dyDescent="0.2">
      <c r="A3173" t="s">
        <v>27</v>
      </c>
      <c r="B3173" t="s">
        <v>12</v>
      </c>
      <c r="C3173">
        <v>25.96</v>
      </c>
      <c r="D3173" t="s">
        <v>24</v>
      </c>
      <c r="E3173" t="s">
        <v>22</v>
      </c>
      <c r="F3173" t="s">
        <v>47</v>
      </c>
      <c r="G3173" t="s">
        <v>393</v>
      </c>
      <c r="H3173" t="s">
        <v>48</v>
      </c>
      <c r="I3173" t="s">
        <v>48</v>
      </c>
      <c r="J3173" t="s">
        <v>418</v>
      </c>
      <c r="K3173" s="1">
        <v>0.70180336805555554</v>
      </c>
      <c r="L3173">
        <f>YEAR(Coffe_sales[[#This Row],[Date]])</f>
        <v>2025</v>
      </c>
    </row>
    <row r="3174" spans="1:12" x14ac:dyDescent="0.2">
      <c r="A3174" t="s">
        <v>28</v>
      </c>
      <c r="B3174" t="s">
        <v>12</v>
      </c>
      <c r="C3174">
        <v>35.76</v>
      </c>
      <c r="D3174" t="s">
        <v>31</v>
      </c>
      <c r="E3174" t="s">
        <v>29</v>
      </c>
      <c r="F3174" t="s">
        <v>47</v>
      </c>
      <c r="G3174" t="s">
        <v>393</v>
      </c>
      <c r="H3174" t="s">
        <v>48</v>
      </c>
      <c r="I3174" t="s">
        <v>48</v>
      </c>
      <c r="J3174" t="s">
        <v>418</v>
      </c>
      <c r="K3174" s="1">
        <v>0.76329927083333338</v>
      </c>
      <c r="L3174">
        <f>YEAR(Coffe_sales[[#This Row],[Date]])</f>
        <v>2025</v>
      </c>
    </row>
    <row r="3175" spans="1:12" x14ac:dyDescent="0.2">
      <c r="A3175" t="s">
        <v>30</v>
      </c>
      <c r="B3175" t="s">
        <v>12</v>
      </c>
      <c r="C3175">
        <v>35.76</v>
      </c>
      <c r="D3175" t="s">
        <v>52</v>
      </c>
      <c r="E3175" t="s">
        <v>29</v>
      </c>
      <c r="F3175" t="s">
        <v>47</v>
      </c>
      <c r="G3175" t="s">
        <v>393</v>
      </c>
      <c r="H3175" t="s">
        <v>48</v>
      </c>
      <c r="I3175" t="s">
        <v>48</v>
      </c>
      <c r="J3175" t="s">
        <v>418</v>
      </c>
      <c r="K3175" s="1">
        <v>0.81435687499999998</v>
      </c>
      <c r="L3175">
        <f>YEAR(Coffe_sales[[#This Row],[Date]])</f>
        <v>2025</v>
      </c>
    </row>
    <row r="3176" spans="1:12" x14ac:dyDescent="0.2">
      <c r="A3176" t="s">
        <v>123</v>
      </c>
      <c r="B3176" t="s">
        <v>12</v>
      </c>
      <c r="C3176">
        <v>25.96</v>
      </c>
      <c r="D3176" t="s">
        <v>24</v>
      </c>
      <c r="E3176" t="s">
        <v>14</v>
      </c>
      <c r="F3176" t="s">
        <v>50</v>
      </c>
      <c r="G3176" t="s">
        <v>393</v>
      </c>
      <c r="H3176" t="s">
        <v>18</v>
      </c>
      <c r="I3176" t="s">
        <v>48</v>
      </c>
      <c r="J3176" t="s">
        <v>419</v>
      </c>
      <c r="K3176" s="1">
        <v>0.37334765046296298</v>
      </c>
      <c r="L3176">
        <f>YEAR(Coffe_sales[[#This Row],[Date]])</f>
        <v>2025</v>
      </c>
    </row>
    <row r="3177" spans="1:12" x14ac:dyDescent="0.2">
      <c r="A3177" t="s">
        <v>11</v>
      </c>
      <c r="B3177" t="s">
        <v>12</v>
      </c>
      <c r="C3177">
        <v>30.86</v>
      </c>
      <c r="D3177" t="s">
        <v>26</v>
      </c>
      <c r="E3177" t="s">
        <v>14</v>
      </c>
      <c r="F3177" t="s">
        <v>50</v>
      </c>
      <c r="G3177" t="s">
        <v>393</v>
      </c>
      <c r="H3177" t="s">
        <v>18</v>
      </c>
      <c r="I3177" t="s">
        <v>48</v>
      </c>
      <c r="J3177" t="s">
        <v>419</v>
      </c>
      <c r="K3177" s="1">
        <v>0.42461967592592592</v>
      </c>
      <c r="L3177">
        <f>YEAR(Coffe_sales[[#This Row],[Date]])</f>
        <v>2025</v>
      </c>
    </row>
    <row r="3178" spans="1:12" x14ac:dyDescent="0.2">
      <c r="A3178" t="s">
        <v>11</v>
      </c>
      <c r="B3178" t="s">
        <v>12</v>
      </c>
      <c r="C3178">
        <v>30.86</v>
      </c>
      <c r="D3178" t="s">
        <v>26</v>
      </c>
      <c r="E3178" t="s">
        <v>14</v>
      </c>
      <c r="F3178" t="s">
        <v>50</v>
      </c>
      <c r="G3178" t="s">
        <v>393</v>
      </c>
      <c r="H3178" t="s">
        <v>18</v>
      </c>
      <c r="I3178" t="s">
        <v>48</v>
      </c>
      <c r="J3178" t="s">
        <v>419</v>
      </c>
      <c r="K3178" s="1">
        <v>0.42529528935185185</v>
      </c>
      <c r="L3178">
        <f>YEAR(Coffe_sales[[#This Row],[Date]])</f>
        <v>2025</v>
      </c>
    </row>
    <row r="3179" spans="1:12" x14ac:dyDescent="0.2">
      <c r="A3179" t="s">
        <v>11</v>
      </c>
      <c r="B3179" t="s">
        <v>12</v>
      </c>
      <c r="C3179">
        <v>35.76</v>
      </c>
      <c r="D3179" t="s">
        <v>21</v>
      </c>
      <c r="E3179" t="s">
        <v>14</v>
      </c>
      <c r="F3179" t="s">
        <v>50</v>
      </c>
      <c r="G3179" t="s">
        <v>393</v>
      </c>
      <c r="H3179" t="s">
        <v>18</v>
      </c>
      <c r="I3179" t="s">
        <v>48</v>
      </c>
      <c r="J3179" t="s">
        <v>419</v>
      </c>
      <c r="K3179" s="1">
        <v>0.42843855324074076</v>
      </c>
      <c r="L3179">
        <f>YEAR(Coffe_sales[[#This Row],[Date]])</f>
        <v>2025</v>
      </c>
    </row>
    <row r="3180" spans="1:12" x14ac:dyDescent="0.2">
      <c r="A3180" t="s">
        <v>23</v>
      </c>
      <c r="B3180" t="s">
        <v>12</v>
      </c>
      <c r="C3180">
        <v>35.76</v>
      </c>
      <c r="D3180" t="s">
        <v>31</v>
      </c>
      <c r="E3180" t="s">
        <v>22</v>
      </c>
      <c r="F3180" t="s">
        <v>50</v>
      </c>
      <c r="G3180" t="s">
        <v>393</v>
      </c>
      <c r="H3180" t="s">
        <v>18</v>
      </c>
      <c r="I3180" t="s">
        <v>48</v>
      </c>
      <c r="J3180" t="s">
        <v>419</v>
      </c>
      <c r="K3180" s="1">
        <v>0.55100552083333332</v>
      </c>
      <c r="L3180">
        <f>YEAR(Coffe_sales[[#This Row],[Date]])</f>
        <v>2025</v>
      </c>
    </row>
    <row r="3181" spans="1:12" x14ac:dyDescent="0.2">
      <c r="A3181" t="s">
        <v>23</v>
      </c>
      <c r="B3181" t="s">
        <v>12</v>
      </c>
      <c r="C3181">
        <v>35.76</v>
      </c>
      <c r="D3181" t="s">
        <v>13</v>
      </c>
      <c r="E3181" t="s">
        <v>22</v>
      </c>
      <c r="F3181" t="s">
        <v>50</v>
      </c>
      <c r="G3181" t="s">
        <v>393</v>
      </c>
      <c r="H3181" t="s">
        <v>18</v>
      </c>
      <c r="I3181" t="s">
        <v>48</v>
      </c>
      <c r="J3181" t="s">
        <v>419</v>
      </c>
      <c r="K3181" s="1">
        <v>0.5634677199074074</v>
      </c>
      <c r="L3181">
        <f>YEAR(Coffe_sales[[#This Row],[Date]])</f>
        <v>2025</v>
      </c>
    </row>
    <row r="3182" spans="1:12" x14ac:dyDescent="0.2">
      <c r="A3182" t="s">
        <v>25</v>
      </c>
      <c r="B3182" t="s">
        <v>12</v>
      </c>
      <c r="C3182">
        <v>25.96</v>
      </c>
      <c r="D3182" t="s">
        <v>24</v>
      </c>
      <c r="E3182" t="s">
        <v>22</v>
      </c>
      <c r="F3182" t="s">
        <v>50</v>
      </c>
      <c r="G3182" t="s">
        <v>393</v>
      </c>
      <c r="H3182" t="s">
        <v>18</v>
      </c>
      <c r="I3182" t="s">
        <v>48</v>
      </c>
      <c r="J3182" t="s">
        <v>419</v>
      </c>
      <c r="K3182" s="1">
        <v>0.6263731018518518</v>
      </c>
      <c r="L3182">
        <f>YEAR(Coffe_sales[[#This Row],[Date]])</f>
        <v>2025</v>
      </c>
    </row>
    <row r="3183" spans="1:12" x14ac:dyDescent="0.2">
      <c r="A3183" t="s">
        <v>25</v>
      </c>
      <c r="B3183" t="s">
        <v>12</v>
      </c>
      <c r="C3183">
        <v>25.96</v>
      </c>
      <c r="D3183" t="s">
        <v>24</v>
      </c>
      <c r="E3183" t="s">
        <v>22</v>
      </c>
      <c r="F3183" t="s">
        <v>50</v>
      </c>
      <c r="G3183" t="s">
        <v>393</v>
      </c>
      <c r="H3183" t="s">
        <v>18</v>
      </c>
      <c r="I3183" t="s">
        <v>48</v>
      </c>
      <c r="J3183" t="s">
        <v>419</v>
      </c>
      <c r="K3183" s="1">
        <v>0.63527765046296292</v>
      </c>
      <c r="L3183">
        <f>YEAR(Coffe_sales[[#This Row],[Date]])</f>
        <v>2025</v>
      </c>
    </row>
    <row r="3184" spans="1:12" x14ac:dyDescent="0.2">
      <c r="A3184" t="s">
        <v>25</v>
      </c>
      <c r="B3184" t="s">
        <v>12</v>
      </c>
      <c r="C3184">
        <v>25.96</v>
      </c>
      <c r="D3184" t="s">
        <v>41</v>
      </c>
      <c r="E3184" t="s">
        <v>22</v>
      </c>
      <c r="F3184" t="s">
        <v>50</v>
      </c>
      <c r="G3184" t="s">
        <v>393</v>
      </c>
      <c r="H3184" t="s">
        <v>18</v>
      </c>
      <c r="I3184" t="s">
        <v>48</v>
      </c>
      <c r="J3184" t="s">
        <v>419</v>
      </c>
      <c r="K3184" s="1">
        <v>0.63708966435185188</v>
      </c>
      <c r="L3184">
        <f>YEAR(Coffe_sales[[#This Row],[Date]])</f>
        <v>2025</v>
      </c>
    </row>
    <row r="3185" spans="1:12" x14ac:dyDescent="0.2">
      <c r="A3185" t="s">
        <v>25</v>
      </c>
      <c r="B3185" t="s">
        <v>12</v>
      </c>
      <c r="C3185">
        <v>35.76</v>
      </c>
      <c r="D3185" t="s">
        <v>21</v>
      </c>
      <c r="E3185" t="s">
        <v>22</v>
      </c>
      <c r="F3185" t="s">
        <v>50</v>
      </c>
      <c r="G3185" t="s">
        <v>393</v>
      </c>
      <c r="H3185" t="s">
        <v>18</v>
      </c>
      <c r="I3185" t="s">
        <v>48</v>
      </c>
      <c r="J3185" t="s">
        <v>419</v>
      </c>
      <c r="K3185" s="1">
        <v>0.63892152777777778</v>
      </c>
      <c r="L3185">
        <f>YEAR(Coffe_sales[[#This Row],[Date]])</f>
        <v>2025</v>
      </c>
    </row>
    <row r="3186" spans="1:12" x14ac:dyDescent="0.2">
      <c r="A3186" t="s">
        <v>25</v>
      </c>
      <c r="B3186" t="s">
        <v>12</v>
      </c>
      <c r="C3186">
        <v>25.96</v>
      </c>
      <c r="D3186" t="s">
        <v>24</v>
      </c>
      <c r="E3186" t="s">
        <v>22</v>
      </c>
      <c r="F3186" t="s">
        <v>50</v>
      </c>
      <c r="G3186" t="s">
        <v>393</v>
      </c>
      <c r="H3186" t="s">
        <v>18</v>
      </c>
      <c r="I3186" t="s">
        <v>48</v>
      </c>
      <c r="J3186" t="s">
        <v>419</v>
      </c>
      <c r="K3186" s="1">
        <v>0.63945376157407408</v>
      </c>
      <c r="L3186">
        <f>YEAR(Coffe_sales[[#This Row],[Date]])</f>
        <v>2025</v>
      </c>
    </row>
    <row r="3187" spans="1:12" x14ac:dyDescent="0.2">
      <c r="A3187" t="s">
        <v>25</v>
      </c>
      <c r="B3187" t="s">
        <v>12</v>
      </c>
      <c r="C3187">
        <v>25.96</v>
      </c>
      <c r="D3187" t="s">
        <v>24</v>
      </c>
      <c r="E3187" t="s">
        <v>22</v>
      </c>
      <c r="F3187" t="s">
        <v>50</v>
      </c>
      <c r="G3187" t="s">
        <v>393</v>
      </c>
      <c r="H3187" t="s">
        <v>18</v>
      </c>
      <c r="I3187" t="s">
        <v>48</v>
      </c>
      <c r="J3187" t="s">
        <v>419</v>
      </c>
      <c r="K3187" s="1">
        <v>0.64496824074074077</v>
      </c>
      <c r="L3187">
        <f>YEAR(Coffe_sales[[#This Row],[Date]])</f>
        <v>2025</v>
      </c>
    </row>
    <row r="3188" spans="1:12" x14ac:dyDescent="0.2">
      <c r="A3188" t="s">
        <v>27</v>
      </c>
      <c r="B3188" t="s">
        <v>12</v>
      </c>
      <c r="C3188">
        <v>35.76</v>
      </c>
      <c r="D3188" t="s">
        <v>13</v>
      </c>
      <c r="E3188" t="s">
        <v>22</v>
      </c>
      <c r="F3188" t="s">
        <v>50</v>
      </c>
      <c r="G3188" t="s">
        <v>393</v>
      </c>
      <c r="H3188" t="s">
        <v>18</v>
      </c>
      <c r="I3188" t="s">
        <v>48</v>
      </c>
      <c r="J3188" t="s">
        <v>419</v>
      </c>
      <c r="K3188" s="1">
        <v>0.68109712962962965</v>
      </c>
      <c r="L3188">
        <f>YEAR(Coffe_sales[[#This Row],[Date]])</f>
        <v>2025</v>
      </c>
    </row>
    <row r="3189" spans="1:12" x14ac:dyDescent="0.2">
      <c r="A3189" t="s">
        <v>27</v>
      </c>
      <c r="B3189" t="s">
        <v>12</v>
      </c>
      <c r="C3189">
        <v>35.76</v>
      </c>
      <c r="D3189" t="s">
        <v>21</v>
      </c>
      <c r="E3189" t="s">
        <v>22</v>
      </c>
      <c r="F3189" t="s">
        <v>50</v>
      </c>
      <c r="G3189" t="s">
        <v>393</v>
      </c>
      <c r="H3189" t="s">
        <v>18</v>
      </c>
      <c r="I3189" t="s">
        <v>48</v>
      </c>
      <c r="J3189" t="s">
        <v>419</v>
      </c>
      <c r="K3189" s="1">
        <v>0.70501868055555561</v>
      </c>
      <c r="L3189">
        <f>YEAR(Coffe_sales[[#This Row],[Date]])</f>
        <v>2025</v>
      </c>
    </row>
    <row r="3190" spans="1:12" x14ac:dyDescent="0.2">
      <c r="A3190" t="s">
        <v>27</v>
      </c>
      <c r="B3190" t="s">
        <v>12</v>
      </c>
      <c r="C3190">
        <v>35.76</v>
      </c>
      <c r="D3190" t="s">
        <v>13</v>
      </c>
      <c r="E3190" t="s">
        <v>22</v>
      </c>
      <c r="F3190" t="s">
        <v>50</v>
      </c>
      <c r="G3190" t="s">
        <v>393</v>
      </c>
      <c r="H3190" t="s">
        <v>18</v>
      </c>
      <c r="I3190" t="s">
        <v>48</v>
      </c>
      <c r="J3190" t="s">
        <v>419</v>
      </c>
      <c r="K3190" s="1">
        <v>0.70555149305555553</v>
      </c>
      <c r="L3190">
        <f>YEAR(Coffe_sales[[#This Row],[Date]])</f>
        <v>2025</v>
      </c>
    </row>
    <row r="3191" spans="1:12" x14ac:dyDescent="0.2">
      <c r="A3191" t="s">
        <v>37</v>
      </c>
      <c r="B3191" t="s">
        <v>12</v>
      </c>
      <c r="C3191">
        <v>30.86</v>
      </c>
      <c r="D3191" t="s">
        <v>26</v>
      </c>
      <c r="E3191" t="s">
        <v>29</v>
      </c>
      <c r="F3191" t="s">
        <v>50</v>
      </c>
      <c r="G3191" t="s">
        <v>393</v>
      </c>
      <c r="H3191" t="s">
        <v>18</v>
      </c>
      <c r="I3191" t="s">
        <v>48</v>
      </c>
      <c r="J3191" t="s">
        <v>419</v>
      </c>
      <c r="K3191" s="1">
        <v>0.72412700231481486</v>
      </c>
      <c r="L3191">
        <f>YEAR(Coffe_sales[[#This Row],[Date]])</f>
        <v>2025</v>
      </c>
    </row>
    <row r="3192" spans="1:12" x14ac:dyDescent="0.2">
      <c r="A3192" t="s">
        <v>28</v>
      </c>
      <c r="B3192" t="s">
        <v>12</v>
      </c>
      <c r="C3192">
        <v>35.76</v>
      </c>
      <c r="D3192" t="s">
        <v>13</v>
      </c>
      <c r="E3192" t="s">
        <v>29</v>
      </c>
      <c r="F3192" t="s">
        <v>50</v>
      </c>
      <c r="G3192" t="s">
        <v>393</v>
      </c>
      <c r="H3192" t="s">
        <v>18</v>
      </c>
      <c r="I3192" t="s">
        <v>48</v>
      </c>
      <c r="J3192" t="s">
        <v>419</v>
      </c>
      <c r="K3192" s="1">
        <v>0.75791828703703701</v>
      </c>
      <c r="L3192">
        <f>YEAR(Coffe_sales[[#This Row],[Date]])</f>
        <v>2025</v>
      </c>
    </row>
    <row r="3193" spans="1:12" x14ac:dyDescent="0.2">
      <c r="A3193" t="s">
        <v>28</v>
      </c>
      <c r="B3193" t="s">
        <v>12</v>
      </c>
      <c r="C3193">
        <v>35.76</v>
      </c>
      <c r="D3193" t="s">
        <v>52</v>
      </c>
      <c r="E3193" t="s">
        <v>29</v>
      </c>
      <c r="F3193" t="s">
        <v>50</v>
      </c>
      <c r="G3193" t="s">
        <v>393</v>
      </c>
      <c r="H3193" t="s">
        <v>18</v>
      </c>
      <c r="I3193" t="s">
        <v>48</v>
      </c>
      <c r="J3193" t="s">
        <v>419</v>
      </c>
      <c r="K3193" s="1">
        <v>0.75961133101851852</v>
      </c>
      <c r="L3193">
        <f>YEAR(Coffe_sales[[#This Row],[Date]])</f>
        <v>2025</v>
      </c>
    </row>
    <row r="3194" spans="1:12" x14ac:dyDescent="0.2">
      <c r="A3194" t="s">
        <v>39</v>
      </c>
      <c r="B3194" t="s">
        <v>12</v>
      </c>
      <c r="C3194">
        <v>35.76</v>
      </c>
      <c r="D3194" t="s">
        <v>52</v>
      </c>
      <c r="E3194" t="s">
        <v>14</v>
      </c>
      <c r="F3194" t="s">
        <v>53</v>
      </c>
      <c r="G3194" t="s">
        <v>393</v>
      </c>
      <c r="H3194" t="s">
        <v>54</v>
      </c>
      <c r="I3194" t="s">
        <v>48</v>
      </c>
      <c r="J3194" t="s">
        <v>420</v>
      </c>
      <c r="K3194" s="1">
        <v>0.30486483796296299</v>
      </c>
      <c r="L3194">
        <f>YEAR(Coffe_sales[[#This Row],[Date]])</f>
        <v>2025</v>
      </c>
    </row>
    <row r="3195" spans="1:12" x14ac:dyDescent="0.2">
      <c r="A3195" t="s">
        <v>39</v>
      </c>
      <c r="B3195" t="s">
        <v>12</v>
      </c>
      <c r="C3195">
        <v>35.76</v>
      </c>
      <c r="D3195" t="s">
        <v>52</v>
      </c>
      <c r="E3195" t="s">
        <v>14</v>
      </c>
      <c r="F3195" t="s">
        <v>53</v>
      </c>
      <c r="G3195" t="s">
        <v>393</v>
      </c>
      <c r="H3195" t="s">
        <v>54</v>
      </c>
      <c r="I3195" t="s">
        <v>48</v>
      </c>
      <c r="J3195" t="s">
        <v>420</v>
      </c>
      <c r="K3195" s="1">
        <v>0.30625674768518518</v>
      </c>
      <c r="L3195">
        <f>YEAR(Coffe_sales[[#This Row],[Date]])</f>
        <v>2025</v>
      </c>
    </row>
    <row r="3196" spans="1:12" x14ac:dyDescent="0.2">
      <c r="A3196" t="s">
        <v>11</v>
      </c>
      <c r="B3196" t="s">
        <v>12</v>
      </c>
      <c r="C3196">
        <v>21.06</v>
      </c>
      <c r="D3196" t="s">
        <v>45</v>
      </c>
      <c r="E3196" t="s">
        <v>14</v>
      </c>
      <c r="F3196" t="s">
        <v>53</v>
      </c>
      <c r="G3196" t="s">
        <v>393</v>
      </c>
      <c r="H3196" t="s">
        <v>54</v>
      </c>
      <c r="I3196" t="s">
        <v>48</v>
      </c>
      <c r="J3196" t="s">
        <v>420</v>
      </c>
      <c r="K3196" s="1">
        <v>0.45311519675925926</v>
      </c>
      <c r="L3196">
        <f>YEAR(Coffe_sales[[#This Row],[Date]])</f>
        <v>2025</v>
      </c>
    </row>
    <row r="3197" spans="1:12" x14ac:dyDescent="0.2">
      <c r="A3197" t="s">
        <v>35</v>
      </c>
      <c r="B3197" t="s">
        <v>12</v>
      </c>
      <c r="C3197">
        <v>35.76</v>
      </c>
      <c r="D3197" t="s">
        <v>31</v>
      </c>
      <c r="E3197" t="s">
        <v>14</v>
      </c>
      <c r="F3197" t="s">
        <v>53</v>
      </c>
      <c r="G3197" t="s">
        <v>393</v>
      </c>
      <c r="H3197" t="s">
        <v>54</v>
      </c>
      <c r="I3197" t="s">
        <v>48</v>
      </c>
      <c r="J3197" t="s">
        <v>420</v>
      </c>
      <c r="K3197" s="1">
        <v>0.46408407407407409</v>
      </c>
      <c r="L3197">
        <f>YEAR(Coffe_sales[[#This Row],[Date]])</f>
        <v>2025</v>
      </c>
    </row>
    <row r="3198" spans="1:12" x14ac:dyDescent="0.2">
      <c r="A3198" t="s">
        <v>20</v>
      </c>
      <c r="B3198" t="s">
        <v>12</v>
      </c>
      <c r="C3198">
        <v>35.76</v>
      </c>
      <c r="D3198" t="s">
        <v>31</v>
      </c>
      <c r="E3198" t="s">
        <v>22</v>
      </c>
      <c r="F3198" t="s">
        <v>53</v>
      </c>
      <c r="G3198" t="s">
        <v>393</v>
      </c>
      <c r="H3198" t="s">
        <v>54</v>
      </c>
      <c r="I3198" t="s">
        <v>48</v>
      </c>
      <c r="J3198" t="s">
        <v>420</v>
      </c>
      <c r="K3198" s="1">
        <v>0.53351710648148143</v>
      </c>
      <c r="L3198">
        <f>YEAR(Coffe_sales[[#This Row],[Date]])</f>
        <v>2025</v>
      </c>
    </row>
    <row r="3199" spans="1:12" x14ac:dyDescent="0.2">
      <c r="A3199" t="s">
        <v>23</v>
      </c>
      <c r="B3199" t="s">
        <v>12</v>
      </c>
      <c r="C3199">
        <v>30.86</v>
      </c>
      <c r="D3199" t="s">
        <v>26</v>
      </c>
      <c r="E3199" t="s">
        <v>22</v>
      </c>
      <c r="F3199" t="s">
        <v>53</v>
      </c>
      <c r="G3199" t="s">
        <v>393</v>
      </c>
      <c r="H3199" t="s">
        <v>54</v>
      </c>
      <c r="I3199" t="s">
        <v>48</v>
      </c>
      <c r="J3199" t="s">
        <v>420</v>
      </c>
      <c r="K3199" s="1">
        <v>0.56236601851851853</v>
      </c>
      <c r="L3199">
        <f>YEAR(Coffe_sales[[#This Row],[Date]])</f>
        <v>2025</v>
      </c>
    </row>
    <row r="3200" spans="1:12" x14ac:dyDescent="0.2">
      <c r="A3200" t="s">
        <v>36</v>
      </c>
      <c r="B3200" t="s">
        <v>12</v>
      </c>
      <c r="C3200">
        <v>25.96</v>
      </c>
      <c r="D3200" t="s">
        <v>24</v>
      </c>
      <c r="E3200" t="s">
        <v>22</v>
      </c>
      <c r="F3200" t="s">
        <v>53</v>
      </c>
      <c r="G3200" t="s">
        <v>393</v>
      </c>
      <c r="H3200" t="s">
        <v>54</v>
      </c>
      <c r="I3200" t="s">
        <v>48</v>
      </c>
      <c r="J3200" t="s">
        <v>420</v>
      </c>
      <c r="K3200" s="1">
        <v>0.5994965162037037</v>
      </c>
      <c r="L3200">
        <f>YEAR(Coffe_sales[[#This Row],[Date]])</f>
        <v>2025</v>
      </c>
    </row>
    <row r="3201" spans="1:12" x14ac:dyDescent="0.2">
      <c r="A3201" t="s">
        <v>36</v>
      </c>
      <c r="B3201" t="s">
        <v>12</v>
      </c>
      <c r="C3201">
        <v>35.76</v>
      </c>
      <c r="D3201" t="s">
        <v>13</v>
      </c>
      <c r="E3201" t="s">
        <v>22</v>
      </c>
      <c r="F3201" t="s">
        <v>53</v>
      </c>
      <c r="G3201" t="s">
        <v>393</v>
      </c>
      <c r="H3201" t="s">
        <v>54</v>
      </c>
      <c r="I3201" t="s">
        <v>48</v>
      </c>
      <c r="J3201" t="s">
        <v>420</v>
      </c>
      <c r="K3201" s="1">
        <v>0.61341811342592589</v>
      </c>
      <c r="L3201">
        <f>YEAR(Coffe_sales[[#This Row],[Date]])</f>
        <v>2025</v>
      </c>
    </row>
    <row r="3202" spans="1:12" x14ac:dyDescent="0.2">
      <c r="A3202" t="s">
        <v>25</v>
      </c>
      <c r="B3202" t="s">
        <v>12</v>
      </c>
      <c r="C3202">
        <v>25.96</v>
      </c>
      <c r="D3202" t="s">
        <v>24</v>
      </c>
      <c r="E3202" t="s">
        <v>22</v>
      </c>
      <c r="F3202" t="s">
        <v>53</v>
      </c>
      <c r="G3202" t="s">
        <v>393</v>
      </c>
      <c r="H3202" t="s">
        <v>54</v>
      </c>
      <c r="I3202" t="s">
        <v>48</v>
      </c>
      <c r="J3202" t="s">
        <v>420</v>
      </c>
      <c r="K3202" s="1">
        <v>0.65822560185185186</v>
      </c>
      <c r="L3202">
        <f>YEAR(Coffe_sales[[#This Row],[Date]])</f>
        <v>2025</v>
      </c>
    </row>
    <row r="3203" spans="1:12" x14ac:dyDescent="0.2">
      <c r="A3203" t="s">
        <v>27</v>
      </c>
      <c r="B3203" t="s">
        <v>12</v>
      </c>
      <c r="C3203">
        <v>25.96</v>
      </c>
      <c r="D3203" t="s">
        <v>24</v>
      </c>
      <c r="E3203" t="s">
        <v>22</v>
      </c>
      <c r="F3203" t="s">
        <v>53</v>
      </c>
      <c r="G3203" t="s">
        <v>393</v>
      </c>
      <c r="H3203" t="s">
        <v>54</v>
      </c>
      <c r="I3203" t="s">
        <v>48</v>
      </c>
      <c r="J3203" t="s">
        <v>420</v>
      </c>
      <c r="K3203" s="1">
        <v>0.68643637731481477</v>
      </c>
      <c r="L3203">
        <f>YEAR(Coffe_sales[[#This Row],[Date]])</f>
        <v>2025</v>
      </c>
    </row>
    <row r="3204" spans="1:12" x14ac:dyDescent="0.2">
      <c r="A3204" t="s">
        <v>37</v>
      </c>
      <c r="B3204" t="s">
        <v>12</v>
      </c>
      <c r="C3204">
        <v>25.96</v>
      </c>
      <c r="D3204" t="s">
        <v>24</v>
      </c>
      <c r="E3204" t="s">
        <v>29</v>
      </c>
      <c r="F3204" t="s">
        <v>53</v>
      </c>
      <c r="G3204" t="s">
        <v>393</v>
      </c>
      <c r="H3204" t="s">
        <v>54</v>
      </c>
      <c r="I3204" t="s">
        <v>48</v>
      </c>
      <c r="J3204" t="s">
        <v>420</v>
      </c>
      <c r="K3204" s="1">
        <v>0.71731480324074071</v>
      </c>
      <c r="L3204">
        <f>YEAR(Coffe_sales[[#This Row],[Date]])</f>
        <v>2025</v>
      </c>
    </row>
    <row r="3205" spans="1:12" x14ac:dyDescent="0.2">
      <c r="A3205" t="s">
        <v>37</v>
      </c>
      <c r="B3205" t="s">
        <v>12</v>
      </c>
      <c r="C3205">
        <v>25.96</v>
      </c>
      <c r="D3205" t="s">
        <v>24</v>
      </c>
      <c r="E3205" t="s">
        <v>29</v>
      </c>
      <c r="F3205" t="s">
        <v>53</v>
      </c>
      <c r="G3205" t="s">
        <v>393</v>
      </c>
      <c r="H3205" t="s">
        <v>54</v>
      </c>
      <c r="I3205" t="s">
        <v>48</v>
      </c>
      <c r="J3205" t="s">
        <v>420</v>
      </c>
      <c r="K3205" s="1">
        <v>0.7244217824074074</v>
      </c>
      <c r="L3205">
        <f>YEAR(Coffe_sales[[#This Row],[Date]])</f>
        <v>2025</v>
      </c>
    </row>
    <row r="3206" spans="1:12" x14ac:dyDescent="0.2">
      <c r="A3206" t="s">
        <v>37</v>
      </c>
      <c r="B3206" t="s">
        <v>12</v>
      </c>
      <c r="C3206">
        <v>35.76</v>
      </c>
      <c r="D3206" t="s">
        <v>13</v>
      </c>
      <c r="E3206" t="s">
        <v>29</v>
      </c>
      <c r="F3206" t="s">
        <v>53</v>
      </c>
      <c r="G3206" t="s">
        <v>393</v>
      </c>
      <c r="H3206" t="s">
        <v>54</v>
      </c>
      <c r="I3206" t="s">
        <v>48</v>
      </c>
      <c r="J3206" t="s">
        <v>420</v>
      </c>
      <c r="K3206" s="1">
        <v>0.74528997685185183</v>
      </c>
      <c r="L3206">
        <f>YEAR(Coffe_sales[[#This Row],[Date]])</f>
        <v>2025</v>
      </c>
    </row>
    <row r="3207" spans="1:12" x14ac:dyDescent="0.2">
      <c r="A3207" t="s">
        <v>28</v>
      </c>
      <c r="B3207" t="s">
        <v>12</v>
      </c>
      <c r="C3207">
        <v>35.76</v>
      </c>
      <c r="D3207" t="s">
        <v>13</v>
      </c>
      <c r="E3207" t="s">
        <v>29</v>
      </c>
      <c r="F3207" t="s">
        <v>53</v>
      </c>
      <c r="G3207" t="s">
        <v>393</v>
      </c>
      <c r="H3207" t="s">
        <v>54</v>
      </c>
      <c r="I3207" t="s">
        <v>48</v>
      </c>
      <c r="J3207" t="s">
        <v>420</v>
      </c>
      <c r="K3207" s="1">
        <v>0.76214084490740741</v>
      </c>
      <c r="L3207">
        <f>YEAR(Coffe_sales[[#This Row],[Date]])</f>
        <v>2025</v>
      </c>
    </row>
    <row r="3208" spans="1:12" x14ac:dyDescent="0.2">
      <c r="A3208" t="s">
        <v>28</v>
      </c>
      <c r="B3208" t="s">
        <v>12</v>
      </c>
      <c r="C3208">
        <v>35.76</v>
      </c>
      <c r="D3208" t="s">
        <v>52</v>
      </c>
      <c r="E3208" t="s">
        <v>29</v>
      </c>
      <c r="F3208" t="s">
        <v>53</v>
      </c>
      <c r="G3208" t="s">
        <v>393</v>
      </c>
      <c r="H3208" t="s">
        <v>54</v>
      </c>
      <c r="I3208" t="s">
        <v>48</v>
      </c>
      <c r="J3208" t="s">
        <v>420</v>
      </c>
      <c r="K3208" s="1">
        <v>0.77686175925925927</v>
      </c>
      <c r="L3208">
        <f>YEAR(Coffe_sales[[#This Row],[Date]])</f>
        <v>2025</v>
      </c>
    </row>
    <row r="3209" spans="1:12" x14ac:dyDescent="0.2">
      <c r="A3209" t="s">
        <v>28</v>
      </c>
      <c r="B3209" t="s">
        <v>12</v>
      </c>
      <c r="C3209">
        <v>35.76</v>
      </c>
      <c r="D3209" t="s">
        <v>31</v>
      </c>
      <c r="E3209" t="s">
        <v>29</v>
      </c>
      <c r="F3209" t="s">
        <v>53</v>
      </c>
      <c r="G3209" t="s">
        <v>393</v>
      </c>
      <c r="H3209" t="s">
        <v>54</v>
      </c>
      <c r="I3209" t="s">
        <v>48</v>
      </c>
      <c r="J3209" t="s">
        <v>420</v>
      </c>
      <c r="K3209" s="1">
        <v>0.77779910879629632</v>
      </c>
      <c r="L3209">
        <f>YEAR(Coffe_sales[[#This Row],[Date]])</f>
        <v>2025</v>
      </c>
    </row>
    <row r="3210" spans="1:12" x14ac:dyDescent="0.2">
      <c r="A3210" t="s">
        <v>28</v>
      </c>
      <c r="B3210" t="s">
        <v>12</v>
      </c>
      <c r="C3210">
        <v>35.76</v>
      </c>
      <c r="D3210" t="s">
        <v>31</v>
      </c>
      <c r="E3210" t="s">
        <v>29</v>
      </c>
      <c r="F3210" t="s">
        <v>53</v>
      </c>
      <c r="G3210" t="s">
        <v>393</v>
      </c>
      <c r="H3210" t="s">
        <v>54</v>
      </c>
      <c r="I3210" t="s">
        <v>48</v>
      </c>
      <c r="J3210" t="s">
        <v>420</v>
      </c>
      <c r="K3210" s="1">
        <v>0.77838019675925929</v>
      </c>
      <c r="L3210">
        <f>YEAR(Coffe_sales[[#This Row],[Date]])</f>
        <v>2025</v>
      </c>
    </row>
    <row r="3211" spans="1:12" x14ac:dyDescent="0.2">
      <c r="A3211" t="s">
        <v>30</v>
      </c>
      <c r="B3211" t="s">
        <v>12</v>
      </c>
      <c r="C3211">
        <v>35.76</v>
      </c>
      <c r="D3211" t="s">
        <v>13</v>
      </c>
      <c r="E3211" t="s">
        <v>29</v>
      </c>
      <c r="F3211" t="s">
        <v>53</v>
      </c>
      <c r="G3211" t="s">
        <v>393</v>
      </c>
      <c r="H3211" t="s">
        <v>54</v>
      </c>
      <c r="I3211" t="s">
        <v>48</v>
      </c>
      <c r="J3211" t="s">
        <v>420</v>
      </c>
      <c r="K3211" s="1">
        <v>0.80156969907407405</v>
      </c>
      <c r="L3211">
        <f>YEAR(Coffe_sales[[#This Row],[Date]])</f>
        <v>2025</v>
      </c>
    </row>
    <row r="3212" spans="1:12" x14ac:dyDescent="0.2">
      <c r="A3212" t="s">
        <v>91</v>
      </c>
      <c r="B3212" t="s">
        <v>12</v>
      </c>
      <c r="C3212">
        <v>35.76</v>
      </c>
      <c r="D3212" t="s">
        <v>52</v>
      </c>
      <c r="E3212" t="s">
        <v>29</v>
      </c>
      <c r="F3212" t="s">
        <v>53</v>
      </c>
      <c r="G3212" t="s">
        <v>393</v>
      </c>
      <c r="H3212" t="s">
        <v>54</v>
      </c>
      <c r="I3212" t="s">
        <v>48</v>
      </c>
      <c r="J3212" t="s">
        <v>420</v>
      </c>
      <c r="K3212" s="1">
        <v>0.83480563657407403</v>
      </c>
      <c r="L3212">
        <f>YEAR(Coffe_sales[[#This Row],[Date]])</f>
        <v>2025</v>
      </c>
    </row>
    <row r="3213" spans="1:12" x14ac:dyDescent="0.2">
      <c r="A3213" t="s">
        <v>33</v>
      </c>
      <c r="B3213" t="s">
        <v>12</v>
      </c>
      <c r="C3213">
        <v>30.86</v>
      </c>
      <c r="D3213" t="s">
        <v>26</v>
      </c>
      <c r="E3213" t="s">
        <v>14</v>
      </c>
      <c r="F3213" t="s">
        <v>15</v>
      </c>
      <c r="G3213" t="s">
        <v>393</v>
      </c>
      <c r="H3213" t="s">
        <v>17</v>
      </c>
      <c r="I3213" t="s">
        <v>48</v>
      </c>
      <c r="J3213" t="s">
        <v>421</v>
      </c>
      <c r="K3213" s="1">
        <v>0.28663878472222221</v>
      </c>
      <c r="L3213">
        <f>YEAR(Coffe_sales[[#This Row],[Date]])</f>
        <v>2025</v>
      </c>
    </row>
    <row r="3214" spans="1:12" x14ac:dyDescent="0.2">
      <c r="A3214" t="s">
        <v>33</v>
      </c>
      <c r="B3214" t="s">
        <v>12</v>
      </c>
      <c r="C3214">
        <v>30.86</v>
      </c>
      <c r="D3214" t="s">
        <v>26</v>
      </c>
      <c r="E3214" t="s">
        <v>14</v>
      </c>
      <c r="F3214" t="s">
        <v>15</v>
      </c>
      <c r="G3214" t="s">
        <v>393</v>
      </c>
      <c r="H3214" t="s">
        <v>17</v>
      </c>
      <c r="I3214" t="s">
        <v>48</v>
      </c>
      <c r="J3214" t="s">
        <v>421</v>
      </c>
      <c r="K3214" s="1">
        <v>0.28819413194444443</v>
      </c>
      <c r="L3214">
        <f>YEAR(Coffe_sales[[#This Row],[Date]])</f>
        <v>2025</v>
      </c>
    </row>
    <row r="3215" spans="1:12" x14ac:dyDescent="0.2">
      <c r="A3215" t="s">
        <v>39</v>
      </c>
      <c r="B3215" t="s">
        <v>12</v>
      </c>
      <c r="C3215">
        <v>35.76</v>
      </c>
      <c r="D3215" t="s">
        <v>52</v>
      </c>
      <c r="E3215" t="s">
        <v>14</v>
      </c>
      <c r="F3215" t="s">
        <v>15</v>
      </c>
      <c r="G3215" t="s">
        <v>393</v>
      </c>
      <c r="H3215" t="s">
        <v>17</v>
      </c>
      <c r="I3215" t="s">
        <v>48</v>
      </c>
      <c r="J3215" t="s">
        <v>421</v>
      </c>
      <c r="K3215" s="1">
        <v>0.30459398148148148</v>
      </c>
      <c r="L3215">
        <f>YEAR(Coffe_sales[[#This Row],[Date]])</f>
        <v>2025</v>
      </c>
    </row>
    <row r="3216" spans="1:12" x14ac:dyDescent="0.2">
      <c r="A3216" t="s">
        <v>123</v>
      </c>
      <c r="B3216" t="s">
        <v>12</v>
      </c>
      <c r="C3216">
        <v>21.06</v>
      </c>
      <c r="D3216" t="s">
        <v>45</v>
      </c>
      <c r="E3216" t="s">
        <v>14</v>
      </c>
      <c r="F3216" t="s">
        <v>15</v>
      </c>
      <c r="G3216" t="s">
        <v>393</v>
      </c>
      <c r="H3216" t="s">
        <v>17</v>
      </c>
      <c r="I3216" t="s">
        <v>48</v>
      </c>
      <c r="J3216" t="s">
        <v>421</v>
      </c>
      <c r="K3216" s="1">
        <v>0.34025212962962964</v>
      </c>
      <c r="L3216">
        <f>YEAR(Coffe_sales[[#This Row],[Date]])</f>
        <v>2025</v>
      </c>
    </row>
    <row r="3217" spans="1:12" x14ac:dyDescent="0.2">
      <c r="A3217" t="s">
        <v>46</v>
      </c>
      <c r="B3217" t="s">
        <v>12</v>
      </c>
      <c r="C3217">
        <v>30.86</v>
      </c>
      <c r="D3217" t="s">
        <v>26</v>
      </c>
      <c r="E3217" t="s">
        <v>14</v>
      </c>
      <c r="F3217" t="s">
        <v>15</v>
      </c>
      <c r="G3217" t="s">
        <v>393</v>
      </c>
      <c r="H3217" t="s">
        <v>17</v>
      </c>
      <c r="I3217" t="s">
        <v>48</v>
      </c>
      <c r="J3217" t="s">
        <v>421</v>
      </c>
      <c r="K3217" s="1">
        <v>0.37682940972222223</v>
      </c>
      <c r="L3217">
        <f>YEAR(Coffe_sales[[#This Row],[Date]])</f>
        <v>2025</v>
      </c>
    </row>
    <row r="3218" spans="1:12" x14ac:dyDescent="0.2">
      <c r="A3218" t="s">
        <v>36</v>
      </c>
      <c r="B3218" t="s">
        <v>12</v>
      </c>
      <c r="C3218">
        <v>25.96</v>
      </c>
      <c r="D3218" t="s">
        <v>24</v>
      </c>
      <c r="E3218" t="s">
        <v>22</v>
      </c>
      <c r="F3218" t="s">
        <v>15</v>
      </c>
      <c r="G3218" t="s">
        <v>393</v>
      </c>
      <c r="H3218" t="s">
        <v>17</v>
      </c>
      <c r="I3218" t="s">
        <v>48</v>
      </c>
      <c r="J3218" t="s">
        <v>421</v>
      </c>
      <c r="K3218" s="1">
        <v>0.61421427083333335</v>
      </c>
      <c r="L3218">
        <f>YEAR(Coffe_sales[[#This Row],[Date]])</f>
        <v>2025</v>
      </c>
    </row>
    <row r="3219" spans="1:12" x14ac:dyDescent="0.2">
      <c r="A3219" t="s">
        <v>36</v>
      </c>
      <c r="B3219" t="s">
        <v>12</v>
      </c>
      <c r="C3219">
        <v>25.96</v>
      </c>
      <c r="D3219" t="s">
        <v>24</v>
      </c>
      <c r="E3219" t="s">
        <v>22</v>
      </c>
      <c r="F3219" t="s">
        <v>15</v>
      </c>
      <c r="G3219" t="s">
        <v>393</v>
      </c>
      <c r="H3219" t="s">
        <v>17</v>
      </c>
      <c r="I3219" t="s">
        <v>48</v>
      </c>
      <c r="J3219" t="s">
        <v>421</v>
      </c>
      <c r="K3219" s="1">
        <v>0.61483824074074078</v>
      </c>
      <c r="L3219">
        <f>YEAR(Coffe_sales[[#This Row],[Date]])</f>
        <v>2025</v>
      </c>
    </row>
    <row r="3220" spans="1:12" x14ac:dyDescent="0.2">
      <c r="A3220" t="s">
        <v>36</v>
      </c>
      <c r="B3220" t="s">
        <v>12</v>
      </c>
      <c r="C3220">
        <v>25.96</v>
      </c>
      <c r="D3220" t="s">
        <v>24</v>
      </c>
      <c r="E3220" t="s">
        <v>22</v>
      </c>
      <c r="F3220" t="s">
        <v>15</v>
      </c>
      <c r="G3220" t="s">
        <v>393</v>
      </c>
      <c r="H3220" t="s">
        <v>17</v>
      </c>
      <c r="I3220" t="s">
        <v>48</v>
      </c>
      <c r="J3220" t="s">
        <v>421</v>
      </c>
      <c r="K3220" s="1">
        <v>0.61657803240740738</v>
      </c>
      <c r="L3220">
        <f>YEAR(Coffe_sales[[#This Row],[Date]])</f>
        <v>2025</v>
      </c>
    </row>
    <row r="3221" spans="1:12" x14ac:dyDescent="0.2">
      <c r="A3221" t="s">
        <v>36</v>
      </c>
      <c r="B3221" t="s">
        <v>12</v>
      </c>
      <c r="C3221">
        <v>35.76</v>
      </c>
      <c r="D3221" t="s">
        <v>13</v>
      </c>
      <c r="E3221" t="s">
        <v>22</v>
      </c>
      <c r="F3221" t="s">
        <v>15</v>
      </c>
      <c r="G3221" t="s">
        <v>393</v>
      </c>
      <c r="H3221" t="s">
        <v>17</v>
      </c>
      <c r="I3221" t="s">
        <v>48</v>
      </c>
      <c r="J3221" t="s">
        <v>421</v>
      </c>
      <c r="K3221" s="1">
        <v>0.61947001157407411</v>
      </c>
      <c r="L3221">
        <f>YEAR(Coffe_sales[[#This Row],[Date]])</f>
        <v>2025</v>
      </c>
    </row>
    <row r="3222" spans="1:12" x14ac:dyDescent="0.2">
      <c r="A3222" t="s">
        <v>25</v>
      </c>
      <c r="B3222" t="s">
        <v>12</v>
      </c>
      <c r="C3222">
        <v>25.96</v>
      </c>
      <c r="D3222" t="s">
        <v>24</v>
      </c>
      <c r="E3222" t="s">
        <v>22</v>
      </c>
      <c r="F3222" t="s">
        <v>15</v>
      </c>
      <c r="G3222" t="s">
        <v>393</v>
      </c>
      <c r="H3222" t="s">
        <v>17</v>
      </c>
      <c r="I3222" t="s">
        <v>48</v>
      </c>
      <c r="J3222" t="s">
        <v>421</v>
      </c>
      <c r="K3222" s="1">
        <v>0.6384105902777778</v>
      </c>
      <c r="L3222">
        <f>YEAR(Coffe_sales[[#This Row],[Date]])</f>
        <v>2025</v>
      </c>
    </row>
    <row r="3223" spans="1:12" x14ac:dyDescent="0.2">
      <c r="A3223" t="s">
        <v>27</v>
      </c>
      <c r="B3223" t="s">
        <v>12</v>
      </c>
      <c r="C3223">
        <v>35.76</v>
      </c>
      <c r="D3223" t="s">
        <v>31</v>
      </c>
      <c r="E3223" t="s">
        <v>22</v>
      </c>
      <c r="F3223" t="s">
        <v>15</v>
      </c>
      <c r="G3223" t="s">
        <v>393</v>
      </c>
      <c r="H3223" t="s">
        <v>17</v>
      </c>
      <c r="I3223" t="s">
        <v>48</v>
      </c>
      <c r="J3223" t="s">
        <v>421</v>
      </c>
      <c r="K3223" s="1">
        <v>0.68226134259259263</v>
      </c>
      <c r="L3223">
        <f>YEAR(Coffe_sales[[#This Row],[Date]])</f>
        <v>2025</v>
      </c>
    </row>
    <row r="3224" spans="1:12" x14ac:dyDescent="0.2">
      <c r="A3224" t="s">
        <v>27</v>
      </c>
      <c r="B3224" t="s">
        <v>12</v>
      </c>
      <c r="C3224">
        <v>25.96</v>
      </c>
      <c r="D3224" t="s">
        <v>24</v>
      </c>
      <c r="E3224" t="s">
        <v>22</v>
      </c>
      <c r="F3224" t="s">
        <v>15</v>
      </c>
      <c r="G3224" t="s">
        <v>393</v>
      </c>
      <c r="H3224" t="s">
        <v>17</v>
      </c>
      <c r="I3224" t="s">
        <v>48</v>
      </c>
      <c r="J3224" t="s">
        <v>421</v>
      </c>
      <c r="K3224" s="1">
        <v>0.68757748842592592</v>
      </c>
      <c r="L3224">
        <f>YEAR(Coffe_sales[[#This Row],[Date]])</f>
        <v>2025</v>
      </c>
    </row>
    <row r="3225" spans="1:12" x14ac:dyDescent="0.2">
      <c r="A3225" t="s">
        <v>37</v>
      </c>
      <c r="B3225" t="s">
        <v>12</v>
      </c>
      <c r="C3225">
        <v>35.76</v>
      </c>
      <c r="D3225" t="s">
        <v>13</v>
      </c>
      <c r="E3225" t="s">
        <v>29</v>
      </c>
      <c r="F3225" t="s">
        <v>15</v>
      </c>
      <c r="G3225" t="s">
        <v>393</v>
      </c>
      <c r="H3225" t="s">
        <v>17</v>
      </c>
      <c r="I3225" t="s">
        <v>48</v>
      </c>
      <c r="J3225" t="s">
        <v>421</v>
      </c>
      <c r="K3225" s="1">
        <v>0.72292695601851853</v>
      </c>
      <c r="L3225">
        <f>YEAR(Coffe_sales[[#This Row],[Date]])</f>
        <v>2025</v>
      </c>
    </row>
    <row r="3226" spans="1:12" x14ac:dyDescent="0.2">
      <c r="A3226" t="s">
        <v>37</v>
      </c>
      <c r="B3226" t="s">
        <v>12</v>
      </c>
      <c r="C3226">
        <v>30.86</v>
      </c>
      <c r="D3226" t="s">
        <v>26</v>
      </c>
      <c r="E3226" t="s">
        <v>29</v>
      </c>
      <c r="F3226" t="s">
        <v>15</v>
      </c>
      <c r="G3226" t="s">
        <v>393</v>
      </c>
      <c r="H3226" t="s">
        <v>17</v>
      </c>
      <c r="I3226" t="s">
        <v>48</v>
      </c>
      <c r="J3226" t="s">
        <v>421</v>
      </c>
      <c r="K3226" s="1">
        <v>0.72991142361111117</v>
      </c>
      <c r="L3226">
        <f>YEAR(Coffe_sales[[#This Row],[Date]])</f>
        <v>2025</v>
      </c>
    </row>
    <row r="3227" spans="1:12" x14ac:dyDescent="0.2">
      <c r="A3227" t="s">
        <v>37</v>
      </c>
      <c r="B3227" t="s">
        <v>12</v>
      </c>
      <c r="C3227">
        <v>25.96</v>
      </c>
      <c r="D3227" t="s">
        <v>24</v>
      </c>
      <c r="E3227" t="s">
        <v>29</v>
      </c>
      <c r="F3227" t="s">
        <v>15</v>
      </c>
      <c r="G3227" t="s">
        <v>393</v>
      </c>
      <c r="H3227" t="s">
        <v>17</v>
      </c>
      <c r="I3227" t="s">
        <v>48</v>
      </c>
      <c r="J3227" t="s">
        <v>421</v>
      </c>
      <c r="K3227" s="1">
        <v>0.73074805555555555</v>
      </c>
      <c r="L3227">
        <f>YEAR(Coffe_sales[[#This Row],[Date]])</f>
        <v>2025</v>
      </c>
    </row>
    <row r="3228" spans="1:12" x14ac:dyDescent="0.2">
      <c r="A3228" t="s">
        <v>37</v>
      </c>
      <c r="B3228" t="s">
        <v>12</v>
      </c>
      <c r="C3228">
        <v>25.96</v>
      </c>
      <c r="D3228" t="s">
        <v>24</v>
      </c>
      <c r="E3228" t="s">
        <v>29</v>
      </c>
      <c r="F3228" t="s">
        <v>15</v>
      </c>
      <c r="G3228" t="s">
        <v>393</v>
      </c>
      <c r="H3228" t="s">
        <v>17</v>
      </c>
      <c r="I3228" t="s">
        <v>48</v>
      </c>
      <c r="J3228" t="s">
        <v>421</v>
      </c>
      <c r="K3228" s="1">
        <v>0.73181884259259256</v>
      </c>
      <c r="L3228">
        <f>YEAR(Coffe_sales[[#This Row],[Date]])</f>
        <v>2025</v>
      </c>
    </row>
    <row r="3229" spans="1:12" x14ac:dyDescent="0.2">
      <c r="A3229" t="s">
        <v>28</v>
      </c>
      <c r="B3229" t="s">
        <v>12</v>
      </c>
      <c r="C3229">
        <v>35.76</v>
      </c>
      <c r="D3229" t="s">
        <v>13</v>
      </c>
      <c r="E3229" t="s">
        <v>29</v>
      </c>
      <c r="F3229" t="s">
        <v>15</v>
      </c>
      <c r="G3229" t="s">
        <v>393</v>
      </c>
      <c r="H3229" t="s">
        <v>17</v>
      </c>
      <c r="I3229" t="s">
        <v>48</v>
      </c>
      <c r="J3229" t="s">
        <v>421</v>
      </c>
      <c r="K3229" s="1">
        <v>0.78737832175925926</v>
      </c>
      <c r="L3229">
        <f>YEAR(Coffe_sales[[#This Row],[Date]])</f>
        <v>2025</v>
      </c>
    </row>
    <row r="3230" spans="1:12" x14ac:dyDescent="0.2">
      <c r="A3230" t="s">
        <v>11</v>
      </c>
      <c r="B3230" t="s">
        <v>12</v>
      </c>
      <c r="C3230">
        <v>35.76</v>
      </c>
      <c r="D3230" t="s">
        <v>52</v>
      </c>
      <c r="E3230" t="s">
        <v>14</v>
      </c>
      <c r="F3230" t="s">
        <v>32</v>
      </c>
      <c r="G3230" t="s">
        <v>16</v>
      </c>
      <c r="H3230" t="s">
        <v>33</v>
      </c>
      <c r="I3230" t="s">
        <v>18</v>
      </c>
      <c r="J3230" t="s">
        <v>422</v>
      </c>
      <c r="K3230" s="1">
        <v>0.43872386574074074</v>
      </c>
      <c r="L3230">
        <f>YEAR(Coffe_sales[[#This Row],[Date]])</f>
        <v>2025</v>
      </c>
    </row>
    <row r="3231" spans="1:12" x14ac:dyDescent="0.2">
      <c r="A3231" t="s">
        <v>35</v>
      </c>
      <c r="B3231" t="s">
        <v>12</v>
      </c>
      <c r="C3231">
        <v>25.96</v>
      </c>
      <c r="D3231" t="s">
        <v>24</v>
      </c>
      <c r="E3231" t="s">
        <v>14</v>
      </c>
      <c r="F3231" t="s">
        <v>32</v>
      </c>
      <c r="G3231" t="s">
        <v>16</v>
      </c>
      <c r="H3231" t="s">
        <v>33</v>
      </c>
      <c r="I3231" t="s">
        <v>18</v>
      </c>
      <c r="J3231" t="s">
        <v>422</v>
      </c>
      <c r="K3231" s="1">
        <v>0.47505216435185182</v>
      </c>
      <c r="L3231">
        <f>YEAR(Coffe_sales[[#This Row],[Date]])</f>
        <v>2025</v>
      </c>
    </row>
    <row r="3232" spans="1:12" x14ac:dyDescent="0.2">
      <c r="A3232" t="s">
        <v>35</v>
      </c>
      <c r="B3232" t="s">
        <v>12</v>
      </c>
      <c r="C3232">
        <v>25.96</v>
      </c>
      <c r="D3232" t="s">
        <v>24</v>
      </c>
      <c r="E3232" t="s">
        <v>14</v>
      </c>
      <c r="F3232" t="s">
        <v>32</v>
      </c>
      <c r="G3232" t="s">
        <v>16</v>
      </c>
      <c r="H3232" t="s">
        <v>33</v>
      </c>
      <c r="I3232" t="s">
        <v>18</v>
      </c>
      <c r="J3232" t="s">
        <v>422</v>
      </c>
      <c r="K3232" s="1">
        <v>0.47775928240740739</v>
      </c>
      <c r="L3232">
        <f>YEAR(Coffe_sales[[#This Row],[Date]])</f>
        <v>2025</v>
      </c>
    </row>
    <row r="3233" spans="1:12" x14ac:dyDescent="0.2">
      <c r="A3233" t="s">
        <v>36</v>
      </c>
      <c r="B3233" t="s">
        <v>12</v>
      </c>
      <c r="C3233">
        <v>35.76</v>
      </c>
      <c r="D3233" t="s">
        <v>13</v>
      </c>
      <c r="E3233" t="s">
        <v>22</v>
      </c>
      <c r="F3233" t="s">
        <v>32</v>
      </c>
      <c r="G3233" t="s">
        <v>16</v>
      </c>
      <c r="H3233" t="s">
        <v>33</v>
      </c>
      <c r="I3233" t="s">
        <v>18</v>
      </c>
      <c r="J3233" t="s">
        <v>422</v>
      </c>
      <c r="K3233" s="1">
        <v>0.61347021990740735</v>
      </c>
      <c r="L3233">
        <f>YEAR(Coffe_sales[[#This Row],[Date]])</f>
        <v>2025</v>
      </c>
    </row>
    <row r="3234" spans="1:12" x14ac:dyDescent="0.2">
      <c r="A3234" t="s">
        <v>25</v>
      </c>
      <c r="B3234" t="s">
        <v>12</v>
      </c>
      <c r="C3234">
        <v>25.96</v>
      </c>
      <c r="D3234" t="s">
        <v>24</v>
      </c>
      <c r="E3234" t="s">
        <v>22</v>
      </c>
      <c r="F3234" t="s">
        <v>32</v>
      </c>
      <c r="G3234" t="s">
        <v>16</v>
      </c>
      <c r="H3234" t="s">
        <v>33</v>
      </c>
      <c r="I3234" t="s">
        <v>18</v>
      </c>
      <c r="J3234" t="s">
        <v>422</v>
      </c>
      <c r="K3234" s="1">
        <v>0.62675347222222222</v>
      </c>
      <c r="L3234">
        <f>YEAR(Coffe_sales[[#This Row],[Date]])</f>
        <v>2025</v>
      </c>
    </row>
    <row r="3235" spans="1:12" x14ac:dyDescent="0.2">
      <c r="A3235" t="s">
        <v>25</v>
      </c>
      <c r="B3235" t="s">
        <v>12</v>
      </c>
      <c r="C3235">
        <v>30.86</v>
      </c>
      <c r="D3235" t="s">
        <v>26</v>
      </c>
      <c r="E3235" t="s">
        <v>22</v>
      </c>
      <c r="F3235" t="s">
        <v>32</v>
      </c>
      <c r="G3235" t="s">
        <v>16</v>
      </c>
      <c r="H3235" t="s">
        <v>33</v>
      </c>
      <c r="I3235" t="s">
        <v>18</v>
      </c>
      <c r="J3235" t="s">
        <v>422</v>
      </c>
      <c r="K3235" s="1">
        <v>0.63078961805555556</v>
      </c>
      <c r="L3235">
        <f>YEAR(Coffe_sales[[#This Row],[Date]])</f>
        <v>2025</v>
      </c>
    </row>
    <row r="3236" spans="1:12" x14ac:dyDescent="0.2">
      <c r="A3236" t="s">
        <v>27</v>
      </c>
      <c r="B3236" t="s">
        <v>12</v>
      </c>
      <c r="C3236">
        <v>35.76</v>
      </c>
      <c r="D3236" t="s">
        <v>52</v>
      </c>
      <c r="E3236" t="s">
        <v>22</v>
      </c>
      <c r="F3236" t="s">
        <v>32</v>
      </c>
      <c r="G3236" t="s">
        <v>16</v>
      </c>
      <c r="H3236" t="s">
        <v>33</v>
      </c>
      <c r="I3236" t="s">
        <v>18</v>
      </c>
      <c r="J3236" t="s">
        <v>422</v>
      </c>
      <c r="K3236" s="1">
        <v>0.69598436342592596</v>
      </c>
      <c r="L3236">
        <f>YEAR(Coffe_sales[[#This Row],[Date]])</f>
        <v>2025</v>
      </c>
    </row>
    <row r="3237" spans="1:12" x14ac:dyDescent="0.2">
      <c r="A3237" t="s">
        <v>37</v>
      </c>
      <c r="B3237" t="s">
        <v>12</v>
      </c>
      <c r="C3237">
        <v>25.96</v>
      </c>
      <c r="D3237" t="s">
        <v>24</v>
      </c>
      <c r="E3237" t="s">
        <v>29</v>
      </c>
      <c r="F3237" t="s">
        <v>32</v>
      </c>
      <c r="G3237" t="s">
        <v>16</v>
      </c>
      <c r="H3237" t="s">
        <v>33</v>
      </c>
      <c r="I3237" t="s">
        <v>18</v>
      </c>
      <c r="J3237" t="s">
        <v>422</v>
      </c>
      <c r="K3237" s="1">
        <v>0.71427664351851849</v>
      </c>
      <c r="L3237">
        <f>YEAR(Coffe_sales[[#This Row],[Date]])</f>
        <v>2025</v>
      </c>
    </row>
    <row r="3238" spans="1:12" x14ac:dyDescent="0.2">
      <c r="A3238" t="s">
        <v>46</v>
      </c>
      <c r="B3238" t="s">
        <v>12</v>
      </c>
      <c r="C3238">
        <v>35.76</v>
      </c>
      <c r="D3238" t="s">
        <v>31</v>
      </c>
      <c r="E3238" t="s">
        <v>14</v>
      </c>
      <c r="F3238" t="s">
        <v>38</v>
      </c>
      <c r="G3238" t="s">
        <v>16</v>
      </c>
      <c r="H3238" t="s">
        <v>39</v>
      </c>
      <c r="I3238" t="s">
        <v>18</v>
      </c>
      <c r="J3238" t="s">
        <v>423</v>
      </c>
      <c r="K3238" s="1">
        <v>0.41545480324074074</v>
      </c>
      <c r="L3238">
        <f>YEAR(Coffe_sales[[#This Row],[Date]])</f>
        <v>2025</v>
      </c>
    </row>
    <row r="3239" spans="1:12" x14ac:dyDescent="0.2">
      <c r="A3239" t="s">
        <v>20</v>
      </c>
      <c r="B3239" t="s">
        <v>12</v>
      </c>
      <c r="C3239">
        <v>35.76</v>
      </c>
      <c r="D3239" t="s">
        <v>13</v>
      </c>
      <c r="E3239" t="s">
        <v>22</v>
      </c>
      <c r="F3239" t="s">
        <v>38</v>
      </c>
      <c r="G3239" t="s">
        <v>16</v>
      </c>
      <c r="H3239" t="s">
        <v>39</v>
      </c>
      <c r="I3239" t="s">
        <v>18</v>
      </c>
      <c r="J3239" t="s">
        <v>423</v>
      </c>
      <c r="K3239" s="1">
        <v>0.51222657407407413</v>
      </c>
      <c r="L3239">
        <f>YEAR(Coffe_sales[[#This Row],[Date]])</f>
        <v>2025</v>
      </c>
    </row>
    <row r="3240" spans="1:12" x14ac:dyDescent="0.2">
      <c r="A3240" t="s">
        <v>23</v>
      </c>
      <c r="B3240" t="s">
        <v>12</v>
      </c>
      <c r="C3240">
        <v>30.86</v>
      </c>
      <c r="D3240" t="s">
        <v>26</v>
      </c>
      <c r="E3240" t="s">
        <v>22</v>
      </c>
      <c r="F3240" t="s">
        <v>38</v>
      </c>
      <c r="G3240" t="s">
        <v>16</v>
      </c>
      <c r="H3240" t="s">
        <v>39</v>
      </c>
      <c r="I3240" t="s">
        <v>18</v>
      </c>
      <c r="J3240" t="s">
        <v>423</v>
      </c>
      <c r="K3240" s="1">
        <v>0.5668927777777778</v>
      </c>
      <c r="L3240">
        <f>YEAR(Coffe_sales[[#This Row],[Date]])</f>
        <v>2025</v>
      </c>
    </row>
    <row r="3241" spans="1:12" x14ac:dyDescent="0.2">
      <c r="A3241" t="s">
        <v>25</v>
      </c>
      <c r="B3241" t="s">
        <v>12</v>
      </c>
      <c r="C3241">
        <v>30.86</v>
      </c>
      <c r="D3241" t="s">
        <v>26</v>
      </c>
      <c r="E3241" t="s">
        <v>22</v>
      </c>
      <c r="F3241" t="s">
        <v>38</v>
      </c>
      <c r="G3241" t="s">
        <v>16</v>
      </c>
      <c r="H3241" t="s">
        <v>39</v>
      </c>
      <c r="I3241" t="s">
        <v>18</v>
      </c>
      <c r="J3241" t="s">
        <v>423</v>
      </c>
      <c r="K3241" s="1">
        <v>0.64048004629629629</v>
      </c>
      <c r="L3241">
        <f>YEAR(Coffe_sales[[#This Row],[Date]])</f>
        <v>2025</v>
      </c>
    </row>
    <row r="3242" spans="1:12" x14ac:dyDescent="0.2">
      <c r="A3242" t="s">
        <v>25</v>
      </c>
      <c r="B3242" t="s">
        <v>12</v>
      </c>
      <c r="C3242">
        <v>25.96</v>
      </c>
      <c r="D3242" t="s">
        <v>24</v>
      </c>
      <c r="E3242" t="s">
        <v>22</v>
      </c>
      <c r="F3242" t="s">
        <v>38</v>
      </c>
      <c r="G3242" t="s">
        <v>16</v>
      </c>
      <c r="H3242" t="s">
        <v>39</v>
      </c>
      <c r="I3242" t="s">
        <v>18</v>
      </c>
      <c r="J3242" t="s">
        <v>423</v>
      </c>
      <c r="K3242" s="1">
        <v>0.64115435185185188</v>
      </c>
      <c r="L3242">
        <f>YEAR(Coffe_sales[[#This Row],[Date]])</f>
        <v>2025</v>
      </c>
    </row>
    <row r="3243" spans="1:12" x14ac:dyDescent="0.2">
      <c r="A3243" t="s">
        <v>25</v>
      </c>
      <c r="B3243" t="s">
        <v>12</v>
      </c>
      <c r="C3243">
        <v>25.96</v>
      </c>
      <c r="D3243" t="s">
        <v>24</v>
      </c>
      <c r="E3243" t="s">
        <v>22</v>
      </c>
      <c r="F3243" t="s">
        <v>38</v>
      </c>
      <c r="G3243" t="s">
        <v>16</v>
      </c>
      <c r="H3243" t="s">
        <v>39</v>
      </c>
      <c r="I3243" t="s">
        <v>18</v>
      </c>
      <c r="J3243" t="s">
        <v>423</v>
      </c>
      <c r="K3243" s="1">
        <v>0.64219017361111108</v>
      </c>
      <c r="L3243">
        <f>YEAR(Coffe_sales[[#This Row],[Date]])</f>
        <v>2025</v>
      </c>
    </row>
    <row r="3244" spans="1:12" x14ac:dyDescent="0.2">
      <c r="A3244" t="s">
        <v>123</v>
      </c>
      <c r="B3244" t="s">
        <v>12</v>
      </c>
      <c r="C3244">
        <v>35.76</v>
      </c>
      <c r="D3244" t="s">
        <v>52</v>
      </c>
      <c r="E3244" t="s">
        <v>14</v>
      </c>
      <c r="F3244" t="s">
        <v>42</v>
      </c>
      <c r="G3244" t="s">
        <v>16</v>
      </c>
      <c r="H3244" t="s">
        <v>43</v>
      </c>
      <c r="I3244" t="s">
        <v>18</v>
      </c>
      <c r="J3244" t="s">
        <v>424</v>
      </c>
      <c r="K3244" s="1">
        <v>0.35002247685185184</v>
      </c>
      <c r="L3244">
        <f>YEAR(Coffe_sales[[#This Row],[Date]])</f>
        <v>2025</v>
      </c>
    </row>
    <row r="3245" spans="1:12" x14ac:dyDescent="0.2">
      <c r="A3245" t="s">
        <v>46</v>
      </c>
      <c r="B3245" t="s">
        <v>12</v>
      </c>
      <c r="C3245">
        <v>35.76</v>
      </c>
      <c r="D3245" t="s">
        <v>31</v>
      </c>
      <c r="E3245" t="s">
        <v>14</v>
      </c>
      <c r="F3245" t="s">
        <v>42</v>
      </c>
      <c r="G3245" t="s">
        <v>16</v>
      </c>
      <c r="H3245" t="s">
        <v>43</v>
      </c>
      <c r="I3245" t="s">
        <v>18</v>
      </c>
      <c r="J3245" t="s">
        <v>424</v>
      </c>
      <c r="K3245" s="1">
        <v>0.40754592592592592</v>
      </c>
      <c r="L3245">
        <f>YEAR(Coffe_sales[[#This Row],[Date]])</f>
        <v>2025</v>
      </c>
    </row>
    <row r="3246" spans="1:12" x14ac:dyDescent="0.2">
      <c r="A3246" t="s">
        <v>46</v>
      </c>
      <c r="B3246" t="s">
        <v>12</v>
      </c>
      <c r="C3246">
        <v>35.76</v>
      </c>
      <c r="D3246" t="s">
        <v>13</v>
      </c>
      <c r="E3246" t="s">
        <v>14</v>
      </c>
      <c r="F3246" t="s">
        <v>42</v>
      </c>
      <c r="G3246" t="s">
        <v>16</v>
      </c>
      <c r="H3246" t="s">
        <v>43</v>
      </c>
      <c r="I3246" t="s">
        <v>18</v>
      </c>
      <c r="J3246" t="s">
        <v>424</v>
      </c>
      <c r="K3246" s="1">
        <v>0.40878863425925926</v>
      </c>
      <c r="L3246">
        <f>YEAR(Coffe_sales[[#This Row],[Date]])</f>
        <v>2025</v>
      </c>
    </row>
    <row r="3247" spans="1:12" x14ac:dyDescent="0.2">
      <c r="A3247" t="s">
        <v>11</v>
      </c>
      <c r="B3247" t="s">
        <v>12</v>
      </c>
      <c r="C3247">
        <v>35.76</v>
      </c>
      <c r="D3247" t="s">
        <v>21</v>
      </c>
      <c r="E3247" t="s">
        <v>14</v>
      </c>
      <c r="F3247" t="s">
        <v>42</v>
      </c>
      <c r="G3247" t="s">
        <v>16</v>
      </c>
      <c r="H3247" t="s">
        <v>43</v>
      </c>
      <c r="I3247" t="s">
        <v>18</v>
      </c>
      <c r="J3247" t="s">
        <v>424</v>
      </c>
      <c r="K3247" s="1">
        <v>0.43153518518518519</v>
      </c>
      <c r="L3247">
        <f>YEAR(Coffe_sales[[#This Row],[Date]])</f>
        <v>2025</v>
      </c>
    </row>
    <row r="3248" spans="1:12" x14ac:dyDescent="0.2">
      <c r="A3248" t="s">
        <v>11</v>
      </c>
      <c r="B3248" t="s">
        <v>12</v>
      </c>
      <c r="C3248">
        <v>35.76</v>
      </c>
      <c r="D3248" t="s">
        <v>21</v>
      </c>
      <c r="E3248" t="s">
        <v>14</v>
      </c>
      <c r="F3248" t="s">
        <v>42</v>
      </c>
      <c r="G3248" t="s">
        <v>16</v>
      </c>
      <c r="H3248" t="s">
        <v>43</v>
      </c>
      <c r="I3248" t="s">
        <v>18</v>
      </c>
      <c r="J3248" t="s">
        <v>424</v>
      </c>
      <c r="K3248" s="1">
        <v>0.43387402777777778</v>
      </c>
      <c r="L3248">
        <f>YEAR(Coffe_sales[[#This Row],[Date]])</f>
        <v>2025</v>
      </c>
    </row>
    <row r="3249" spans="1:12" x14ac:dyDescent="0.2">
      <c r="A3249" t="s">
        <v>20</v>
      </c>
      <c r="B3249" t="s">
        <v>12</v>
      </c>
      <c r="C3249">
        <v>35.76</v>
      </c>
      <c r="D3249" t="s">
        <v>52</v>
      </c>
      <c r="E3249" t="s">
        <v>22</v>
      </c>
      <c r="F3249" t="s">
        <v>42</v>
      </c>
      <c r="G3249" t="s">
        <v>16</v>
      </c>
      <c r="H3249" t="s">
        <v>43</v>
      </c>
      <c r="I3249" t="s">
        <v>18</v>
      </c>
      <c r="J3249" t="s">
        <v>424</v>
      </c>
      <c r="K3249" s="1">
        <v>0.54037097222222219</v>
      </c>
      <c r="L3249">
        <f>YEAR(Coffe_sales[[#This Row],[Date]])</f>
        <v>2025</v>
      </c>
    </row>
    <row r="3250" spans="1:12" x14ac:dyDescent="0.2">
      <c r="A3250" t="s">
        <v>25</v>
      </c>
      <c r="B3250" t="s">
        <v>12</v>
      </c>
      <c r="C3250">
        <v>35.76</v>
      </c>
      <c r="D3250" t="s">
        <v>13</v>
      </c>
      <c r="E3250" t="s">
        <v>22</v>
      </c>
      <c r="F3250" t="s">
        <v>42</v>
      </c>
      <c r="G3250" t="s">
        <v>16</v>
      </c>
      <c r="H3250" t="s">
        <v>43</v>
      </c>
      <c r="I3250" t="s">
        <v>18</v>
      </c>
      <c r="J3250" t="s">
        <v>424</v>
      </c>
      <c r="K3250" s="1">
        <v>0.63265280092592591</v>
      </c>
      <c r="L3250">
        <f>YEAR(Coffe_sales[[#This Row],[Date]])</f>
        <v>2025</v>
      </c>
    </row>
    <row r="3251" spans="1:12" x14ac:dyDescent="0.2">
      <c r="A3251" t="s">
        <v>25</v>
      </c>
      <c r="B3251" t="s">
        <v>12</v>
      </c>
      <c r="C3251">
        <v>25.96</v>
      </c>
      <c r="D3251" t="s">
        <v>24</v>
      </c>
      <c r="E3251" t="s">
        <v>22</v>
      </c>
      <c r="F3251" t="s">
        <v>42</v>
      </c>
      <c r="G3251" t="s">
        <v>16</v>
      </c>
      <c r="H3251" t="s">
        <v>43</v>
      </c>
      <c r="I3251" t="s">
        <v>18</v>
      </c>
      <c r="J3251" t="s">
        <v>424</v>
      </c>
      <c r="K3251" s="1">
        <v>0.65831964120370368</v>
      </c>
      <c r="L3251">
        <f>YEAR(Coffe_sales[[#This Row],[Date]])</f>
        <v>2025</v>
      </c>
    </row>
    <row r="3252" spans="1:12" x14ac:dyDescent="0.2">
      <c r="A3252" t="s">
        <v>27</v>
      </c>
      <c r="B3252" t="s">
        <v>12</v>
      </c>
      <c r="C3252">
        <v>35.76</v>
      </c>
      <c r="D3252" t="s">
        <v>31</v>
      </c>
      <c r="E3252" t="s">
        <v>22</v>
      </c>
      <c r="F3252" t="s">
        <v>42</v>
      </c>
      <c r="G3252" t="s">
        <v>16</v>
      </c>
      <c r="H3252" t="s">
        <v>43</v>
      </c>
      <c r="I3252" t="s">
        <v>18</v>
      </c>
      <c r="J3252" t="s">
        <v>424</v>
      </c>
      <c r="K3252" s="1">
        <v>0.67697296296296294</v>
      </c>
      <c r="L3252">
        <f>YEAR(Coffe_sales[[#This Row],[Date]])</f>
        <v>2025</v>
      </c>
    </row>
    <row r="3253" spans="1:12" x14ac:dyDescent="0.2">
      <c r="A3253" t="s">
        <v>27</v>
      </c>
      <c r="B3253" t="s">
        <v>12</v>
      </c>
      <c r="C3253">
        <v>35.76</v>
      </c>
      <c r="D3253" t="s">
        <v>13</v>
      </c>
      <c r="E3253" t="s">
        <v>22</v>
      </c>
      <c r="F3253" t="s">
        <v>42</v>
      </c>
      <c r="G3253" t="s">
        <v>16</v>
      </c>
      <c r="H3253" t="s">
        <v>43</v>
      </c>
      <c r="I3253" t="s">
        <v>18</v>
      </c>
      <c r="J3253" t="s">
        <v>424</v>
      </c>
      <c r="K3253" s="1">
        <v>0.67818564814814819</v>
      </c>
      <c r="L3253">
        <f>YEAR(Coffe_sales[[#This Row],[Date]])</f>
        <v>2025</v>
      </c>
    </row>
    <row r="3254" spans="1:12" x14ac:dyDescent="0.2">
      <c r="A3254" t="s">
        <v>27</v>
      </c>
      <c r="B3254" t="s">
        <v>12</v>
      </c>
      <c r="C3254">
        <v>35.76</v>
      </c>
      <c r="D3254" t="s">
        <v>13</v>
      </c>
      <c r="E3254" t="s">
        <v>22</v>
      </c>
      <c r="F3254" t="s">
        <v>42</v>
      </c>
      <c r="G3254" t="s">
        <v>16</v>
      </c>
      <c r="H3254" t="s">
        <v>43</v>
      </c>
      <c r="I3254" t="s">
        <v>18</v>
      </c>
      <c r="J3254" t="s">
        <v>424</v>
      </c>
      <c r="K3254" s="1">
        <v>0.6794801967592593</v>
      </c>
      <c r="L3254">
        <f>YEAR(Coffe_sales[[#This Row],[Date]])</f>
        <v>2025</v>
      </c>
    </row>
    <row r="3255" spans="1:12" x14ac:dyDescent="0.2">
      <c r="A3255" t="s">
        <v>27</v>
      </c>
      <c r="B3255" t="s">
        <v>12</v>
      </c>
      <c r="C3255">
        <v>35.76</v>
      </c>
      <c r="D3255" t="s">
        <v>52</v>
      </c>
      <c r="E3255" t="s">
        <v>22</v>
      </c>
      <c r="F3255" t="s">
        <v>42</v>
      </c>
      <c r="G3255" t="s">
        <v>16</v>
      </c>
      <c r="H3255" t="s">
        <v>43</v>
      </c>
      <c r="I3255" t="s">
        <v>18</v>
      </c>
      <c r="J3255" t="s">
        <v>424</v>
      </c>
      <c r="K3255" s="1">
        <v>0.69478361111111109</v>
      </c>
      <c r="L3255">
        <f>YEAR(Coffe_sales[[#This Row],[Date]])</f>
        <v>2025</v>
      </c>
    </row>
    <row r="3256" spans="1:12" x14ac:dyDescent="0.2">
      <c r="A3256" t="s">
        <v>27</v>
      </c>
      <c r="B3256" t="s">
        <v>12</v>
      </c>
      <c r="C3256">
        <v>35.76</v>
      </c>
      <c r="D3256" t="s">
        <v>52</v>
      </c>
      <c r="E3256" t="s">
        <v>22</v>
      </c>
      <c r="F3256" t="s">
        <v>42</v>
      </c>
      <c r="G3256" t="s">
        <v>16</v>
      </c>
      <c r="H3256" t="s">
        <v>43</v>
      </c>
      <c r="I3256" t="s">
        <v>18</v>
      </c>
      <c r="J3256" t="s">
        <v>424</v>
      </c>
      <c r="K3256" s="1">
        <v>0.69609503472222223</v>
      </c>
      <c r="L3256">
        <f>YEAR(Coffe_sales[[#This Row],[Date]])</f>
        <v>2025</v>
      </c>
    </row>
    <row r="3257" spans="1:12" x14ac:dyDescent="0.2">
      <c r="A3257" t="s">
        <v>27</v>
      </c>
      <c r="B3257" t="s">
        <v>12</v>
      </c>
      <c r="C3257">
        <v>25.96</v>
      </c>
      <c r="D3257" t="s">
        <v>24</v>
      </c>
      <c r="E3257" t="s">
        <v>22</v>
      </c>
      <c r="F3257" t="s">
        <v>42</v>
      </c>
      <c r="G3257" t="s">
        <v>16</v>
      </c>
      <c r="H3257" t="s">
        <v>43</v>
      </c>
      <c r="I3257" t="s">
        <v>18</v>
      </c>
      <c r="J3257" t="s">
        <v>424</v>
      </c>
      <c r="K3257" s="1">
        <v>0.70291237268518514</v>
      </c>
      <c r="L3257">
        <f>YEAR(Coffe_sales[[#This Row],[Date]])</f>
        <v>2025</v>
      </c>
    </row>
    <row r="3258" spans="1:12" x14ac:dyDescent="0.2">
      <c r="A3258" t="s">
        <v>37</v>
      </c>
      <c r="B3258" t="s">
        <v>12</v>
      </c>
      <c r="C3258">
        <v>30.86</v>
      </c>
      <c r="D3258" t="s">
        <v>26</v>
      </c>
      <c r="E3258" t="s">
        <v>29</v>
      </c>
      <c r="F3258" t="s">
        <v>42</v>
      </c>
      <c r="G3258" t="s">
        <v>16</v>
      </c>
      <c r="H3258" t="s">
        <v>43</v>
      </c>
      <c r="I3258" t="s">
        <v>18</v>
      </c>
      <c r="J3258" t="s">
        <v>424</v>
      </c>
      <c r="K3258" s="1">
        <v>0.72827319444444449</v>
      </c>
      <c r="L3258">
        <f>YEAR(Coffe_sales[[#This Row],[Date]])</f>
        <v>2025</v>
      </c>
    </row>
    <row r="3259" spans="1:12" x14ac:dyDescent="0.2">
      <c r="A3259" t="s">
        <v>37</v>
      </c>
      <c r="B3259" t="s">
        <v>12</v>
      </c>
      <c r="C3259">
        <v>25.96</v>
      </c>
      <c r="D3259" t="s">
        <v>24</v>
      </c>
      <c r="E3259" t="s">
        <v>29</v>
      </c>
      <c r="F3259" t="s">
        <v>42</v>
      </c>
      <c r="G3259" t="s">
        <v>16</v>
      </c>
      <c r="H3259" t="s">
        <v>43</v>
      </c>
      <c r="I3259" t="s">
        <v>18</v>
      </c>
      <c r="J3259" t="s">
        <v>424</v>
      </c>
      <c r="K3259" s="1">
        <v>0.73012013888888894</v>
      </c>
      <c r="L3259">
        <f>YEAR(Coffe_sales[[#This Row],[Date]])</f>
        <v>2025</v>
      </c>
    </row>
    <row r="3260" spans="1:12" x14ac:dyDescent="0.2">
      <c r="A3260" t="s">
        <v>37</v>
      </c>
      <c r="B3260" t="s">
        <v>12</v>
      </c>
      <c r="C3260">
        <v>35.76</v>
      </c>
      <c r="D3260" t="s">
        <v>21</v>
      </c>
      <c r="E3260" t="s">
        <v>29</v>
      </c>
      <c r="F3260" t="s">
        <v>42</v>
      </c>
      <c r="G3260" t="s">
        <v>16</v>
      </c>
      <c r="H3260" t="s">
        <v>43</v>
      </c>
      <c r="I3260" t="s">
        <v>18</v>
      </c>
      <c r="J3260" t="s">
        <v>424</v>
      </c>
      <c r="K3260" s="1">
        <v>0.7307689467592593</v>
      </c>
      <c r="L3260">
        <f>YEAR(Coffe_sales[[#This Row],[Date]])</f>
        <v>2025</v>
      </c>
    </row>
    <row r="3261" spans="1:12" x14ac:dyDescent="0.2">
      <c r="A3261" t="s">
        <v>37</v>
      </c>
      <c r="B3261" t="s">
        <v>12</v>
      </c>
      <c r="C3261">
        <v>25.96</v>
      </c>
      <c r="D3261" t="s">
        <v>24</v>
      </c>
      <c r="E3261" t="s">
        <v>29</v>
      </c>
      <c r="F3261" t="s">
        <v>42</v>
      </c>
      <c r="G3261" t="s">
        <v>16</v>
      </c>
      <c r="H3261" t="s">
        <v>43</v>
      </c>
      <c r="I3261" t="s">
        <v>18</v>
      </c>
      <c r="J3261" t="s">
        <v>424</v>
      </c>
      <c r="K3261" s="1">
        <v>0.73123556712962967</v>
      </c>
      <c r="L3261">
        <f>YEAR(Coffe_sales[[#This Row],[Date]])</f>
        <v>2025</v>
      </c>
    </row>
    <row r="3262" spans="1:12" x14ac:dyDescent="0.2">
      <c r="A3262" t="s">
        <v>37</v>
      </c>
      <c r="B3262" t="s">
        <v>12</v>
      </c>
      <c r="C3262">
        <v>35.76</v>
      </c>
      <c r="D3262" t="s">
        <v>21</v>
      </c>
      <c r="E3262" t="s">
        <v>29</v>
      </c>
      <c r="F3262" t="s">
        <v>42</v>
      </c>
      <c r="G3262" t="s">
        <v>16</v>
      </c>
      <c r="H3262" t="s">
        <v>43</v>
      </c>
      <c r="I3262" t="s">
        <v>18</v>
      </c>
      <c r="J3262" t="s">
        <v>424</v>
      </c>
      <c r="K3262" s="1">
        <v>0.74829500000000004</v>
      </c>
      <c r="L3262">
        <f>YEAR(Coffe_sales[[#This Row],[Date]])</f>
        <v>2025</v>
      </c>
    </row>
    <row r="3263" spans="1:12" x14ac:dyDescent="0.2">
      <c r="A3263" t="s">
        <v>37</v>
      </c>
      <c r="B3263" t="s">
        <v>12</v>
      </c>
      <c r="C3263">
        <v>35.76</v>
      </c>
      <c r="D3263" t="s">
        <v>21</v>
      </c>
      <c r="E3263" t="s">
        <v>29</v>
      </c>
      <c r="F3263" t="s">
        <v>42</v>
      </c>
      <c r="G3263" t="s">
        <v>16</v>
      </c>
      <c r="H3263" t="s">
        <v>43</v>
      </c>
      <c r="I3263" t="s">
        <v>18</v>
      </c>
      <c r="J3263" t="s">
        <v>424</v>
      </c>
      <c r="K3263" s="1">
        <v>0.74892758101851853</v>
      </c>
      <c r="L3263">
        <f>YEAR(Coffe_sales[[#This Row],[Date]])</f>
        <v>2025</v>
      </c>
    </row>
    <row r="3264" spans="1:12" x14ac:dyDescent="0.2">
      <c r="A3264" t="s">
        <v>28</v>
      </c>
      <c r="B3264" t="s">
        <v>12</v>
      </c>
      <c r="C3264">
        <v>30.86</v>
      </c>
      <c r="D3264" t="s">
        <v>26</v>
      </c>
      <c r="E3264" t="s">
        <v>29</v>
      </c>
      <c r="F3264" t="s">
        <v>42</v>
      </c>
      <c r="G3264" t="s">
        <v>16</v>
      </c>
      <c r="H3264" t="s">
        <v>43</v>
      </c>
      <c r="I3264" t="s">
        <v>18</v>
      </c>
      <c r="J3264" t="s">
        <v>424</v>
      </c>
      <c r="K3264" s="1">
        <v>0.75214129629629634</v>
      </c>
      <c r="L3264">
        <f>YEAR(Coffe_sales[[#This Row],[Date]])</f>
        <v>2025</v>
      </c>
    </row>
    <row r="3265" spans="1:12" x14ac:dyDescent="0.2">
      <c r="A3265" t="s">
        <v>28</v>
      </c>
      <c r="B3265" t="s">
        <v>12</v>
      </c>
      <c r="C3265">
        <v>35.76</v>
      </c>
      <c r="D3265" t="s">
        <v>13</v>
      </c>
      <c r="E3265" t="s">
        <v>29</v>
      </c>
      <c r="F3265" t="s">
        <v>42</v>
      </c>
      <c r="G3265" t="s">
        <v>16</v>
      </c>
      <c r="H3265" t="s">
        <v>43</v>
      </c>
      <c r="I3265" t="s">
        <v>18</v>
      </c>
      <c r="J3265" t="s">
        <v>424</v>
      </c>
      <c r="K3265" s="1">
        <v>0.78255334490740736</v>
      </c>
      <c r="L3265">
        <f>YEAR(Coffe_sales[[#This Row],[Date]])</f>
        <v>2025</v>
      </c>
    </row>
    <row r="3266" spans="1:12" x14ac:dyDescent="0.2">
      <c r="A3266" t="s">
        <v>39</v>
      </c>
      <c r="B3266" t="s">
        <v>12</v>
      </c>
      <c r="C3266">
        <v>35.76</v>
      </c>
      <c r="D3266" t="s">
        <v>52</v>
      </c>
      <c r="E3266" t="s">
        <v>14</v>
      </c>
      <c r="F3266" t="s">
        <v>47</v>
      </c>
      <c r="G3266" t="s">
        <v>16</v>
      </c>
      <c r="H3266" t="s">
        <v>48</v>
      </c>
      <c r="I3266" t="s">
        <v>18</v>
      </c>
      <c r="J3266" t="s">
        <v>425</v>
      </c>
      <c r="K3266" s="1">
        <v>0.30511503472222223</v>
      </c>
      <c r="L3266">
        <f>YEAR(Coffe_sales[[#This Row],[Date]])</f>
        <v>2025</v>
      </c>
    </row>
    <row r="3267" spans="1:12" x14ac:dyDescent="0.2">
      <c r="A3267" t="s">
        <v>39</v>
      </c>
      <c r="B3267" t="s">
        <v>12</v>
      </c>
      <c r="C3267">
        <v>25.96</v>
      </c>
      <c r="D3267" t="s">
        <v>24</v>
      </c>
      <c r="E3267" t="s">
        <v>14</v>
      </c>
      <c r="F3267" t="s">
        <v>47</v>
      </c>
      <c r="G3267" t="s">
        <v>16</v>
      </c>
      <c r="H3267" t="s">
        <v>48</v>
      </c>
      <c r="I3267" t="s">
        <v>18</v>
      </c>
      <c r="J3267" t="s">
        <v>425</v>
      </c>
      <c r="K3267" s="1">
        <v>0.31383575231481481</v>
      </c>
      <c r="L3267">
        <f>YEAR(Coffe_sales[[#This Row],[Date]])</f>
        <v>2025</v>
      </c>
    </row>
    <row r="3268" spans="1:12" x14ac:dyDescent="0.2">
      <c r="A3268" t="s">
        <v>123</v>
      </c>
      <c r="B3268" t="s">
        <v>12</v>
      </c>
      <c r="C3268">
        <v>30.86</v>
      </c>
      <c r="D3268" t="s">
        <v>26</v>
      </c>
      <c r="E3268" t="s">
        <v>14</v>
      </c>
      <c r="F3268" t="s">
        <v>47</v>
      </c>
      <c r="G3268" t="s">
        <v>16</v>
      </c>
      <c r="H3268" t="s">
        <v>48</v>
      </c>
      <c r="I3268" t="s">
        <v>18</v>
      </c>
      <c r="J3268" t="s">
        <v>425</v>
      </c>
      <c r="K3268" s="1">
        <v>0.36927398148148149</v>
      </c>
      <c r="L3268">
        <f>YEAR(Coffe_sales[[#This Row],[Date]])</f>
        <v>2025</v>
      </c>
    </row>
    <row r="3269" spans="1:12" x14ac:dyDescent="0.2">
      <c r="A3269" t="s">
        <v>46</v>
      </c>
      <c r="B3269" t="s">
        <v>12</v>
      </c>
      <c r="C3269">
        <v>25.96</v>
      </c>
      <c r="D3269" t="s">
        <v>24</v>
      </c>
      <c r="E3269" t="s">
        <v>14</v>
      </c>
      <c r="F3269" t="s">
        <v>47</v>
      </c>
      <c r="G3269" t="s">
        <v>16</v>
      </c>
      <c r="H3269" t="s">
        <v>48</v>
      </c>
      <c r="I3269" t="s">
        <v>18</v>
      </c>
      <c r="J3269" t="s">
        <v>425</v>
      </c>
      <c r="K3269" s="1">
        <v>0.38161954861111114</v>
      </c>
      <c r="L3269">
        <f>YEAR(Coffe_sales[[#This Row],[Date]])</f>
        <v>2025</v>
      </c>
    </row>
    <row r="3270" spans="1:12" x14ac:dyDescent="0.2">
      <c r="A3270" t="s">
        <v>46</v>
      </c>
      <c r="B3270" t="s">
        <v>12</v>
      </c>
      <c r="C3270">
        <v>25.96</v>
      </c>
      <c r="D3270" t="s">
        <v>24</v>
      </c>
      <c r="E3270" t="s">
        <v>14</v>
      </c>
      <c r="F3270" t="s">
        <v>47</v>
      </c>
      <c r="G3270" t="s">
        <v>16</v>
      </c>
      <c r="H3270" t="s">
        <v>48</v>
      </c>
      <c r="I3270" t="s">
        <v>18</v>
      </c>
      <c r="J3270" t="s">
        <v>425</v>
      </c>
      <c r="K3270" s="1">
        <v>0.38220140046296297</v>
      </c>
      <c r="L3270">
        <f>YEAR(Coffe_sales[[#This Row],[Date]])</f>
        <v>2025</v>
      </c>
    </row>
    <row r="3271" spans="1:12" x14ac:dyDescent="0.2">
      <c r="A3271" t="s">
        <v>46</v>
      </c>
      <c r="B3271" t="s">
        <v>12</v>
      </c>
      <c r="C3271">
        <v>25.96</v>
      </c>
      <c r="D3271" t="s">
        <v>24</v>
      </c>
      <c r="E3271" t="s">
        <v>14</v>
      </c>
      <c r="F3271" t="s">
        <v>47</v>
      </c>
      <c r="G3271" t="s">
        <v>16</v>
      </c>
      <c r="H3271" t="s">
        <v>48</v>
      </c>
      <c r="I3271" t="s">
        <v>18</v>
      </c>
      <c r="J3271" t="s">
        <v>425</v>
      </c>
      <c r="K3271" s="1">
        <v>0.41570796296296297</v>
      </c>
      <c r="L3271">
        <f>YEAR(Coffe_sales[[#This Row],[Date]])</f>
        <v>2025</v>
      </c>
    </row>
    <row r="3272" spans="1:12" x14ac:dyDescent="0.2">
      <c r="A3272" t="s">
        <v>35</v>
      </c>
      <c r="B3272" t="s">
        <v>12</v>
      </c>
      <c r="C3272">
        <v>30.86</v>
      </c>
      <c r="D3272" t="s">
        <v>26</v>
      </c>
      <c r="E3272" t="s">
        <v>14</v>
      </c>
      <c r="F3272" t="s">
        <v>47</v>
      </c>
      <c r="G3272" t="s">
        <v>16</v>
      </c>
      <c r="H3272" t="s">
        <v>48</v>
      </c>
      <c r="I3272" t="s">
        <v>18</v>
      </c>
      <c r="J3272" t="s">
        <v>425</v>
      </c>
      <c r="K3272" s="1">
        <v>0.4611337615740741</v>
      </c>
      <c r="L3272">
        <f>YEAR(Coffe_sales[[#This Row],[Date]])</f>
        <v>2025</v>
      </c>
    </row>
    <row r="3273" spans="1:12" x14ac:dyDescent="0.2">
      <c r="A3273" t="s">
        <v>35</v>
      </c>
      <c r="B3273" t="s">
        <v>12</v>
      </c>
      <c r="C3273">
        <v>25.96</v>
      </c>
      <c r="D3273" t="s">
        <v>24</v>
      </c>
      <c r="E3273" t="s">
        <v>14</v>
      </c>
      <c r="F3273" t="s">
        <v>47</v>
      </c>
      <c r="G3273" t="s">
        <v>16</v>
      </c>
      <c r="H3273" t="s">
        <v>48</v>
      </c>
      <c r="I3273" t="s">
        <v>18</v>
      </c>
      <c r="J3273" t="s">
        <v>425</v>
      </c>
      <c r="K3273" s="1">
        <v>0.46188627314814817</v>
      </c>
      <c r="L3273">
        <f>YEAR(Coffe_sales[[#This Row],[Date]])</f>
        <v>2025</v>
      </c>
    </row>
    <row r="3274" spans="1:12" x14ac:dyDescent="0.2">
      <c r="A3274" t="s">
        <v>35</v>
      </c>
      <c r="B3274" t="s">
        <v>12</v>
      </c>
      <c r="C3274">
        <v>25.96</v>
      </c>
      <c r="D3274" t="s">
        <v>24</v>
      </c>
      <c r="E3274" t="s">
        <v>14</v>
      </c>
      <c r="F3274" t="s">
        <v>47</v>
      </c>
      <c r="G3274" t="s">
        <v>16</v>
      </c>
      <c r="H3274" t="s">
        <v>48</v>
      </c>
      <c r="I3274" t="s">
        <v>18</v>
      </c>
      <c r="J3274" t="s">
        <v>425</v>
      </c>
      <c r="K3274" s="1">
        <v>0.49075305555555554</v>
      </c>
      <c r="L3274">
        <f>YEAR(Coffe_sales[[#This Row],[Date]])</f>
        <v>2025</v>
      </c>
    </row>
    <row r="3275" spans="1:12" x14ac:dyDescent="0.2">
      <c r="A3275" t="s">
        <v>35</v>
      </c>
      <c r="B3275" t="s">
        <v>12</v>
      </c>
      <c r="C3275">
        <v>25.96</v>
      </c>
      <c r="D3275" t="s">
        <v>24</v>
      </c>
      <c r="E3275" t="s">
        <v>14</v>
      </c>
      <c r="F3275" t="s">
        <v>47</v>
      </c>
      <c r="G3275" t="s">
        <v>16</v>
      </c>
      <c r="H3275" t="s">
        <v>48</v>
      </c>
      <c r="I3275" t="s">
        <v>18</v>
      </c>
      <c r="J3275" t="s">
        <v>425</v>
      </c>
      <c r="K3275" s="1">
        <v>0.49125591435185184</v>
      </c>
      <c r="L3275">
        <f>YEAR(Coffe_sales[[#This Row],[Date]])</f>
        <v>2025</v>
      </c>
    </row>
    <row r="3276" spans="1:12" x14ac:dyDescent="0.2">
      <c r="A3276" t="s">
        <v>35</v>
      </c>
      <c r="B3276" t="s">
        <v>12</v>
      </c>
      <c r="C3276">
        <v>25.96</v>
      </c>
      <c r="D3276" t="s">
        <v>24</v>
      </c>
      <c r="E3276" t="s">
        <v>14</v>
      </c>
      <c r="F3276" t="s">
        <v>47</v>
      </c>
      <c r="G3276" t="s">
        <v>16</v>
      </c>
      <c r="H3276" t="s">
        <v>48</v>
      </c>
      <c r="I3276" t="s">
        <v>18</v>
      </c>
      <c r="J3276" t="s">
        <v>425</v>
      </c>
      <c r="K3276" s="1">
        <v>0.49415271990740739</v>
      </c>
      <c r="L3276">
        <f>YEAR(Coffe_sales[[#This Row],[Date]])</f>
        <v>2025</v>
      </c>
    </row>
    <row r="3277" spans="1:12" x14ac:dyDescent="0.2">
      <c r="A3277" t="s">
        <v>20</v>
      </c>
      <c r="B3277" t="s">
        <v>12</v>
      </c>
      <c r="C3277">
        <v>35.76</v>
      </c>
      <c r="D3277" t="s">
        <v>31</v>
      </c>
      <c r="E3277" t="s">
        <v>22</v>
      </c>
      <c r="F3277" t="s">
        <v>47</v>
      </c>
      <c r="G3277" t="s">
        <v>16</v>
      </c>
      <c r="H3277" t="s">
        <v>48</v>
      </c>
      <c r="I3277" t="s">
        <v>18</v>
      </c>
      <c r="J3277" t="s">
        <v>425</v>
      </c>
      <c r="K3277" s="1">
        <v>0.51804597222222226</v>
      </c>
      <c r="L3277">
        <f>YEAR(Coffe_sales[[#This Row],[Date]])</f>
        <v>2025</v>
      </c>
    </row>
    <row r="3278" spans="1:12" x14ac:dyDescent="0.2">
      <c r="A3278" t="s">
        <v>27</v>
      </c>
      <c r="B3278" t="s">
        <v>12</v>
      </c>
      <c r="C3278">
        <v>25.96</v>
      </c>
      <c r="D3278" t="s">
        <v>24</v>
      </c>
      <c r="E3278" t="s">
        <v>22</v>
      </c>
      <c r="F3278" t="s">
        <v>47</v>
      </c>
      <c r="G3278" t="s">
        <v>16</v>
      </c>
      <c r="H3278" t="s">
        <v>48</v>
      </c>
      <c r="I3278" t="s">
        <v>18</v>
      </c>
      <c r="J3278" t="s">
        <v>425</v>
      </c>
      <c r="K3278" s="1">
        <v>0.70067615740740741</v>
      </c>
      <c r="L3278">
        <f>YEAR(Coffe_sales[[#This Row],[Date]])</f>
        <v>2025</v>
      </c>
    </row>
    <row r="3279" spans="1:12" x14ac:dyDescent="0.2">
      <c r="A3279" t="s">
        <v>28</v>
      </c>
      <c r="B3279" t="s">
        <v>12</v>
      </c>
      <c r="C3279">
        <v>35.76</v>
      </c>
      <c r="D3279" t="s">
        <v>31</v>
      </c>
      <c r="E3279" t="s">
        <v>29</v>
      </c>
      <c r="F3279" t="s">
        <v>47</v>
      </c>
      <c r="G3279" t="s">
        <v>16</v>
      </c>
      <c r="H3279" t="s">
        <v>48</v>
      </c>
      <c r="I3279" t="s">
        <v>18</v>
      </c>
      <c r="J3279" t="s">
        <v>425</v>
      </c>
      <c r="K3279" s="1">
        <v>0.78011421296296302</v>
      </c>
      <c r="L3279">
        <f>YEAR(Coffe_sales[[#This Row],[Date]])</f>
        <v>2025</v>
      </c>
    </row>
    <row r="3280" spans="1:12" x14ac:dyDescent="0.2">
      <c r="A3280" t="s">
        <v>30</v>
      </c>
      <c r="B3280" t="s">
        <v>12</v>
      </c>
      <c r="C3280">
        <v>35.76</v>
      </c>
      <c r="D3280" t="s">
        <v>13</v>
      </c>
      <c r="E3280" t="s">
        <v>29</v>
      </c>
      <c r="F3280" t="s">
        <v>47</v>
      </c>
      <c r="G3280" t="s">
        <v>16</v>
      </c>
      <c r="H3280" t="s">
        <v>48</v>
      </c>
      <c r="I3280" t="s">
        <v>18</v>
      </c>
      <c r="J3280" t="s">
        <v>425</v>
      </c>
      <c r="K3280" s="1">
        <v>0.7987207291666667</v>
      </c>
      <c r="L3280">
        <f>YEAR(Coffe_sales[[#This Row],[Date]])</f>
        <v>2025</v>
      </c>
    </row>
    <row r="3281" spans="1:12" x14ac:dyDescent="0.2">
      <c r="A3281" t="s">
        <v>91</v>
      </c>
      <c r="B3281" t="s">
        <v>12</v>
      </c>
      <c r="C3281">
        <v>35.76</v>
      </c>
      <c r="D3281" t="s">
        <v>13</v>
      </c>
      <c r="E3281" t="s">
        <v>29</v>
      </c>
      <c r="F3281" t="s">
        <v>47</v>
      </c>
      <c r="G3281" t="s">
        <v>16</v>
      </c>
      <c r="H3281" t="s">
        <v>48</v>
      </c>
      <c r="I3281" t="s">
        <v>18</v>
      </c>
      <c r="J3281" t="s">
        <v>425</v>
      </c>
      <c r="K3281" s="1">
        <v>0.83958975694444449</v>
      </c>
      <c r="L3281">
        <f>YEAR(Coffe_sales[[#This Row],[Date]])</f>
        <v>2025</v>
      </c>
    </row>
    <row r="3282" spans="1:12" x14ac:dyDescent="0.2">
      <c r="A3282" t="s">
        <v>123</v>
      </c>
      <c r="B3282" t="s">
        <v>12</v>
      </c>
      <c r="C3282">
        <v>30.86</v>
      </c>
      <c r="D3282" t="s">
        <v>26</v>
      </c>
      <c r="E3282" t="s">
        <v>14</v>
      </c>
      <c r="F3282" t="s">
        <v>50</v>
      </c>
      <c r="G3282" t="s">
        <v>16</v>
      </c>
      <c r="H3282" t="s">
        <v>18</v>
      </c>
      <c r="I3282" t="s">
        <v>18</v>
      </c>
      <c r="J3282" t="s">
        <v>426</v>
      </c>
      <c r="K3282" s="1">
        <v>0.36101409722222222</v>
      </c>
      <c r="L3282">
        <f>YEAR(Coffe_sales[[#This Row],[Date]])</f>
        <v>2025</v>
      </c>
    </row>
    <row r="3283" spans="1:12" x14ac:dyDescent="0.2">
      <c r="A3283" t="s">
        <v>46</v>
      </c>
      <c r="B3283" t="s">
        <v>12</v>
      </c>
      <c r="C3283">
        <v>25.96</v>
      </c>
      <c r="D3283" t="s">
        <v>24</v>
      </c>
      <c r="E3283" t="s">
        <v>14</v>
      </c>
      <c r="F3283" t="s">
        <v>50</v>
      </c>
      <c r="G3283" t="s">
        <v>16</v>
      </c>
      <c r="H3283" t="s">
        <v>18</v>
      </c>
      <c r="I3283" t="s">
        <v>18</v>
      </c>
      <c r="J3283" t="s">
        <v>426</v>
      </c>
      <c r="K3283" s="1">
        <v>0.40166965277777777</v>
      </c>
      <c r="L3283">
        <f>YEAR(Coffe_sales[[#This Row],[Date]])</f>
        <v>2025</v>
      </c>
    </row>
    <row r="3284" spans="1:12" x14ac:dyDescent="0.2">
      <c r="A3284" t="s">
        <v>11</v>
      </c>
      <c r="B3284" t="s">
        <v>12</v>
      </c>
      <c r="C3284">
        <v>25.96</v>
      </c>
      <c r="D3284" t="s">
        <v>24</v>
      </c>
      <c r="E3284" t="s">
        <v>14</v>
      </c>
      <c r="F3284" t="s">
        <v>50</v>
      </c>
      <c r="G3284" t="s">
        <v>16</v>
      </c>
      <c r="H3284" t="s">
        <v>18</v>
      </c>
      <c r="I3284" t="s">
        <v>18</v>
      </c>
      <c r="J3284" t="s">
        <v>426</v>
      </c>
      <c r="K3284" s="1">
        <v>0.41752657407407406</v>
      </c>
      <c r="L3284">
        <f>YEAR(Coffe_sales[[#This Row],[Date]])</f>
        <v>2025</v>
      </c>
    </row>
    <row r="3285" spans="1:12" x14ac:dyDescent="0.2">
      <c r="A3285" t="s">
        <v>11</v>
      </c>
      <c r="B3285" t="s">
        <v>12</v>
      </c>
      <c r="C3285">
        <v>25.96</v>
      </c>
      <c r="D3285" t="s">
        <v>24</v>
      </c>
      <c r="E3285" t="s">
        <v>14</v>
      </c>
      <c r="F3285" t="s">
        <v>50</v>
      </c>
      <c r="G3285" t="s">
        <v>16</v>
      </c>
      <c r="H3285" t="s">
        <v>18</v>
      </c>
      <c r="I3285" t="s">
        <v>18</v>
      </c>
      <c r="J3285" t="s">
        <v>426</v>
      </c>
      <c r="K3285" s="1">
        <v>0.41810528935185187</v>
      </c>
      <c r="L3285">
        <f>YEAR(Coffe_sales[[#This Row],[Date]])</f>
        <v>2025</v>
      </c>
    </row>
    <row r="3286" spans="1:12" x14ac:dyDescent="0.2">
      <c r="A3286" t="s">
        <v>11</v>
      </c>
      <c r="B3286" t="s">
        <v>12</v>
      </c>
      <c r="C3286">
        <v>35.76</v>
      </c>
      <c r="D3286" t="s">
        <v>52</v>
      </c>
      <c r="E3286" t="s">
        <v>14</v>
      </c>
      <c r="F3286" t="s">
        <v>50</v>
      </c>
      <c r="G3286" t="s">
        <v>16</v>
      </c>
      <c r="H3286" t="s">
        <v>18</v>
      </c>
      <c r="I3286" t="s">
        <v>18</v>
      </c>
      <c r="J3286" t="s">
        <v>426</v>
      </c>
      <c r="K3286" s="1">
        <v>0.42419584490740742</v>
      </c>
      <c r="L3286">
        <f>YEAR(Coffe_sales[[#This Row],[Date]])</f>
        <v>2025</v>
      </c>
    </row>
    <row r="3287" spans="1:12" x14ac:dyDescent="0.2">
      <c r="A3287" t="s">
        <v>11</v>
      </c>
      <c r="B3287" t="s">
        <v>12</v>
      </c>
      <c r="C3287">
        <v>30.86</v>
      </c>
      <c r="D3287" t="s">
        <v>26</v>
      </c>
      <c r="E3287" t="s">
        <v>14</v>
      </c>
      <c r="F3287" t="s">
        <v>50</v>
      </c>
      <c r="G3287" t="s">
        <v>16</v>
      </c>
      <c r="H3287" t="s">
        <v>18</v>
      </c>
      <c r="I3287" t="s">
        <v>18</v>
      </c>
      <c r="J3287" t="s">
        <v>426</v>
      </c>
      <c r="K3287" s="1">
        <v>0.4448474652777778</v>
      </c>
      <c r="L3287">
        <f>YEAR(Coffe_sales[[#This Row],[Date]])</f>
        <v>2025</v>
      </c>
    </row>
    <row r="3288" spans="1:12" x14ac:dyDescent="0.2">
      <c r="A3288" t="s">
        <v>35</v>
      </c>
      <c r="B3288" t="s">
        <v>12</v>
      </c>
      <c r="C3288">
        <v>35.76</v>
      </c>
      <c r="D3288" t="s">
        <v>52</v>
      </c>
      <c r="E3288" t="s">
        <v>14</v>
      </c>
      <c r="F3288" t="s">
        <v>50</v>
      </c>
      <c r="G3288" t="s">
        <v>16</v>
      </c>
      <c r="H3288" t="s">
        <v>18</v>
      </c>
      <c r="I3288" t="s">
        <v>18</v>
      </c>
      <c r="J3288" t="s">
        <v>426</v>
      </c>
      <c r="K3288" s="1">
        <v>0.46425425925925928</v>
      </c>
      <c r="L3288">
        <f>YEAR(Coffe_sales[[#This Row],[Date]])</f>
        <v>2025</v>
      </c>
    </row>
    <row r="3289" spans="1:12" x14ac:dyDescent="0.2">
      <c r="A3289" t="s">
        <v>35</v>
      </c>
      <c r="B3289" t="s">
        <v>12</v>
      </c>
      <c r="C3289">
        <v>35.76</v>
      </c>
      <c r="D3289" t="s">
        <v>31</v>
      </c>
      <c r="E3289" t="s">
        <v>14</v>
      </c>
      <c r="F3289" t="s">
        <v>50</v>
      </c>
      <c r="G3289" t="s">
        <v>16</v>
      </c>
      <c r="H3289" t="s">
        <v>18</v>
      </c>
      <c r="I3289" t="s">
        <v>18</v>
      </c>
      <c r="J3289" t="s">
        <v>426</v>
      </c>
      <c r="K3289" s="1">
        <v>0.46590468750000003</v>
      </c>
      <c r="L3289">
        <f>YEAR(Coffe_sales[[#This Row],[Date]])</f>
        <v>2025</v>
      </c>
    </row>
    <row r="3290" spans="1:12" x14ac:dyDescent="0.2">
      <c r="A3290" t="s">
        <v>35</v>
      </c>
      <c r="B3290" t="s">
        <v>12</v>
      </c>
      <c r="C3290">
        <v>25.96</v>
      </c>
      <c r="D3290" t="s">
        <v>24</v>
      </c>
      <c r="E3290" t="s">
        <v>14</v>
      </c>
      <c r="F3290" t="s">
        <v>50</v>
      </c>
      <c r="G3290" t="s">
        <v>16</v>
      </c>
      <c r="H3290" t="s">
        <v>18</v>
      </c>
      <c r="I3290" t="s">
        <v>18</v>
      </c>
      <c r="J3290" t="s">
        <v>426</v>
      </c>
      <c r="K3290" s="1">
        <v>0.4853146064814815</v>
      </c>
      <c r="L3290">
        <f>YEAR(Coffe_sales[[#This Row],[Date]])</f>
        <v>2025</v>
      </c>
    </row>
    <row r="3291" spans="1:12" x14ac:dyDescent="0.2">
      <c r="A3291" t="s">
        <v>35</v>
      </c>
      <c r="B3291" t="s">
        <v>12</v>
      </c>
      <c r="C3291">
        <v>25.96</v>
      </c>
      <c r="D3291" t="s">
        <v>24</v>
      </c>
      <c r="E3291" t="s">
        <v>14</v>
      </c>
      <c r="F3291" t="s">
        <v>50</v>
      </c>
      <c r="G3291" t="s">
        <v>16</v>
      </c>
      <c r="H3291" t="s">
        <v>18</v>
      </c>
      <c r="I3291" t="s">
        <v>18</v>
      </c>
      <c r="J3291" t="s">
        <v>426</v>
      </c>
      <c r="K3291" s="1">
        <v>0.48706515046296295</v>
      </c>
      <c r="L3291">
        <f>YEAR(Coffe_sales[[#This Row],[Date]])</f>
        <v>2025</v>
      </c>
    </row>
    <row r="3292" spans="1:12" x14ac:dyDescent="0.2">
      <c r="A3292" t="s">
        <v>20</v>
      </c>
      <c r="B3292" t="s">
        <v>12</v>
      </c>
      <c r="C3292">
        <v>25.96</v>
      </c>
      <c r="D3292" t="s">
        <v>24</v>
      </c>
      <c r="E3292" t="s">
        <v>22</v>
      </c>
      <c r="F3292" t="s">
        <v>50</v>
      </c>
      <c r="G3292" t="s">
        <v>16</v>
      </c>
      <c r="H3292" t="s">
        <v>18</v>
      </c>
      <c r="I3292" t="s">
        <v>18</v>
      </c>
      <c r="J3292" t="s">
        <v>426</v>
      </c>
      <c r="K3292" s="1">
        <v>0.50898459490740744</v>
      </c>
      <c r="L3292">
        <f>YEAR(Coffe_sales[[#This Row],[Date]])</f>
        <v>2025</v>
      </c>
    </row>
    <row r="3293" spans="1:12" x14ac:dyDescent="0.2">
      <c r="A3293" t="s">
        <v>25</v>
      </c>
      <c r="B3293" t="s">
        <v>12</v>
      </c>
      <c r="C3293">
        <v>35.76</v>
      </c>
      <c r="D3293" t="s">
        <v>13</v>
      </c>
      <c r="E3293" t="s">
        <v>22</v>
      </c>
      <c r="F3293" t="s">
        <v>50</v>
      </c>
      <c r="G3293" t="s">
        <v>16</v>
      </c>
      <c r="H3293" t="s">
        <v>18</v>
      </c>
      <c r="I3293" t="s">
        <v>18</v>
      </c>
      <c r="J3293" t="s">
        <v>426</v>
      </c>
      <c r="K3293" s="1">
        <v>0.63044702546296294</v>
      </c>
      <c r="L3293">
        <f>YEAR(Coffe_sales[[#This Row],[Date]])</f>
        <v>2025</v>
      </c>
    </row>
    <row r="3294" spans="1:12" x14ac:dyDescent="0.2">
      <c r="A3294" t="s">
        <v>25</v>
      </c>
      <c r="B3294" t="s">
        <v>12</v>
      </c>
      <c r="C3294">
        <v>35.76</v>
      </c>
      <c r="D3294" t="s">
        <v>13</v>
      </c>
      <c r="E3294" t="s">
        <v>22</v>
      </c>
      <c r="F3294" t="s">
        <v>50</v>
      </c>
      <c r="G3294" t="s">
        <v>16</v>
      </c>
      <c r="H3294" t="s">
        <v>18</v>
      </c>
      <c r="I3294" t="s">
        <v>18</v>
      </c>
      <c r="J3294" t="s">
        <v>426</v>
      </c>
      <c r="K3294" s="1">
        <v>0.63999805555555556</v>
      </c>
      <c r="L3294">
        <f>YEAR(Coffe_sales[[#This Row],[Date]])</f>
        <v>2025</v>
      </c>
    </row>
    <row r="3295" spans="1:12" x14ac:dyDescent="0.2">
      <c r="A3295" t="s">
        <v>25</v>
      </c>
      <c r="B3295" t="s">
        <v>12</v>
      </c>
      <c r="C3295">
        <v>35.76</v>
      </c>
      <c r="D3295" t="s">
        <v>21</v>
      </c>
      <c r="E3295" t="s">
        <v>22</v>
      </c>
      <c r="F3295" t="s">
        <v>50</v>
      </c>
      <c r="G3295" t="s">
        <v>16</v>
      </c>
      <c r="H3295" t="s">
        <v>18</v>
      </c>
      <c r="I3295" t="s">
        <v>18</v>
      </c>
      <c r="J3295" t="s">
        <v>426</v>
      </c>
      <c r="K3295" s="1">
        <v>0.64249322916666662</v>
      </c>
      <c r="L3295">
        <f>YEAR(Coffe_sales[[#This Row],[Date]])</f>
        <v>2025</v>
      </c>
    </row>
    <row r="3296" spans="1:12" x14ac:dyDescent="0.2">
      <c r="A3296" t="s">
        <v>37</v>
      </c>
      <c r="B3296" t="s">
        <v>12</v>
      </c>
      <c r="C3296">
        <v>30.86</v>
      </c>
      <c r="D3296" t="s">
        <v>26</v>
      </c>
      <c r="E3296" t="s">
        <v>29</v>
      </c>
      <c r="F3296" t="s">
        <v>50</v>
      </c>
      <c r="G3296" t="s">
        <v>16</v>
      </c>
      <c r="H3296" t="s">
        <v>18</v>
      </c>
      <c r="I3296" t="s">
        <v>18</v>
      </c>
      <c r="J3296" t="s">
        <v>426</v>
      </c>
      <c r="K3296" s="1">
        <v>0.71524293981481479</v>
      </c>
      <c r="L3296">
        <f>YEAR(Coffe_sales[[#This Row],[Date]])</f>
        <v>2025</v>
      </c>
    </row>
    <row r="3297" spans="1:12" x14ac:dyDescent="0.2">
      <c r="A3297" t="s">
        <v>37</v>
      </c>
      <c r="B3297" t="s">
        <v>12</v>
      </c>
      <c r="C3297">
        <v>21.06</v>
      </c>
      <c r="D3297" t="s">
        <v>45</v>
      </c>
      <c r="E3297" t="s">
        <v>29</v>
      </c>
      <c r="F3297" t="s">
        <v>50</v>
      </c>
      <c r="G3297" t="s">
        <v>16</v>
      </c>
      <c r="H3297" t="s">
        <v>18</v>
      </c>
      <c r="I3297" t="s">
        <v>18</v>
      </c>
      <c r="J3297" t="s">
        <v>426</v>
      </c>
      <c r="K3297" s="1">
        <v>0.71971701388888887</v>
      </c>
      <c r="L3297">
        <f>YEAR(Coffe_sales[[#This Row],[Date]])</f>
        <v>2025</v>
      </c>
    </row>
    <row r="3298" spans="1:12" x14ac:dyDescent="0.2">
      <c r="A3298" t="s">
        <v>37</v>
      </c>
      <c r="B3298" t="s">
        <v>12</v>
      </c>
      <c r="C3298">
        <v>35.76</v>
      </c>
      <c r="D3298" t="s">
        <v>13</v>
      </c>
      <c r="E3298" t="s">
        <v>29</v>
      </c>
      <c r="F3298" t="s">
        <v>50</v>
      </c>
      <c r="G3298" t="s">
        <v>16</v>
      </c>
      <c r="H3298" t="s">
        <v>18</v>
      </c>
      <c r="I3298" t="s">
        <v>18</v>
      </c>
      <c r="J3298" t="s">
        <v>426</v>
      </c>
      <c r="K3298" s="1">
        <v>0.73033424768518518</v>
      </c>
      <c r="L3298">
        <f>YEAR(Coffe_sales[[#This Row],[Date]])</f>
        <v>2025</v>
      </c>
    </row>
    <row r="3299" spans="1:12" x14ac:dyDescent="0.2">
      <c r="A3299" t="s">
        <v>28</v>
      </c>
      <c r="B3299" t="s">
        <v>12</v>
      </c>
      <c r="C3299">
        <v>35.76</v>
      </c>
      <c r="D3299" t="s">
        <v>52</v>
      </c>
      <c r="E3299" t="s">
        <v>29</v>
      </c>
      <c r="F3299" t="s">
        <v>50</v>
      </c>
      <c r="G3299" t="s">
        <v>16</v>
      </c>
      <c r="H3299" t="s">
        <v>18</v>
      </c>
      <c r="I3299" t="s">
        <v>18</v>
      </c>
      <c r="J3299" t="s">
        <v>426</v>
      </c>
      <c r="K3299" s="1">
        <v>0.75933991898148145</v>
      </c>
      <c r="L3299">
        <f>YEAR(Coffe_sales[[#This Row],[Date]])</f>
        <v>2025</v>
      </c>
    </row>
    <row r="3300" spans="1:12" x14ac:dyDescent="0.2">
      <c r="A3300" t="s">
        <v>30</v>
      </c>
      <c r="B3300" t="s">
        <v>12</v>
      </c>
      <c r="C3300">
        <v>35.76</v>
      </c>
      <c r="D3300" t="s">
        <v>31</v>
      </c>
      <c r="E3300" t="s">
        <v>29</v>
      </c>
      <c r="F3300" t="s">
        <v>50</v>
      </c>
      <c r="G3300" t="s">
        <v>16</v>
      </c>
      <c r="H3300" t="s">
        <v>18</v>
      </c>
      <c r="I3300" t="s">
        <v>18</v>
      </c>
      <c r="J3300" t="s">
        <v>426</v>
      </c>
      <c r="K3300" s="1">
        <v>0.79371317129629626</v>
      </c>
      <c r="L3300">
        <f>YEAR(Coffe_sales[[#This Row],[Date]])</f>
        <v>2025</v>
      </c>
    </row>
    <row r="3301" spans="1:12" x14ac:dyDescent="0.2">
      <c r="A3301" t="s">
        <v>46</v>
      </c>
      <c r="B3301" t="s">
        <v>12</v>
      </c>
      <c r="C3301">
        <v>35.76</v>
      </c>
      <c r="D3301" t="s">
        <v>21</v>
      </c>
      <c r="E3301" t="s">
        <v>14</v>
      </c>
      <c r="F3301" t="s">
        <v>53</v>
      </c>
      <c r="G3301" t="s">
        <v>16</v>
      </c>
      <c r="H3301" t="s">
        <v>54</v>
      </c>
      <c r="I3301" t="s">
        <v>18</v>
      </c>
      <c r="J3301" t="s">
        <v>427</v>
      </c>
      <c r="K3301" s="1">
        <v>0.39837148148148149</v>
      </c>
      <c r="L3301">
        <f>YEAR(Coffe_sales[[#This Row],[Date]])</f>
        <v>2025</v>
      </c>
    </row>
    <row r="3302" spans="1:12" x14ac:dyDescent="0.2">
      <c r="A3302" t="s">
        <v>46</v>
      </c>
      <c r="B3302" t="s">
        <v>12</v>
      </c>
      <c r="C3302">
        <v>21.06</v>
      </c>
      <c r="D3302" t="s">
        <v>45</v>
      </c>
      <c r="E3302" t="s">
        <v>14</v>
      </c>
      <c r="F3302" t="s">
        <v>53</v>
      </c>
      <c r="G3302" t="s">
        <v>16</v>
      </c>
      <c r="H3302" t="s">
        <v>54</v>
      </c>
      <c r="I3302" t="s">
        <v>18</v>
      </c>
      <c r="J3302" t="s">
        <v>427</v>
      </c>
      <c r="K3302" s="1">
        <v>0.39991822916666669</v>
      </c>
      <c r="L3302">
        <f>YEAR(Coffe_sales[[#This Row],[Date]])</f>
        <v>2025</v>
      </c>
    </row>
    <row r="3303" spans="1:12" x14ac:dyDescent="0.2">
      <c r="A3303" t="s">
        <v>11</v>
      </c>
      <c r="B3303" t="s">
        <v>12</v>
      </c>
      <c r="C3303">
        <v>30.86</v>
      </c>
      <c r="D3303" t="s">
        <v>26</v>
      </c>
      <c r="E3303" t="s">
        <v>14</v>
      </c>
      <c r="F3303" t="s">
        <v>53</v>
      </c>
      <c r="G3303" t="s">
        <v>16</v>
      </c>
      <c r="H3303" t="s">
        <v>54</v>
      </c>
      <c r="I3303" t="s">
        <v>18</v>
      </c>
      <c r="J3303" t="s">
        <v>427</v>
      </c>
      <c r="K3303" s="1">
        <v>0.45005679398148146</v>
      </c>
      <c r="L3303">
        <f>YEAR(Coffe_sales[[#This Row],[Date]])</f>
        <v>2025</v>
      </c>
    </row>
    <row r="3304" spans="1:12" x14ac:dyDescent="0.2">
      <c r="A3304" t="s">
        <v>11</v>
      </c>
      <c r="B3304" t="s">
        <v>12</v>
      </c>
      <c r="C3304">
        <v>25.96</v>
      </c>
      <c r="D3304" t="s">
        <v>24</v>
      </c>
      <c r="E3304" t="s">
        <v>14</v>
      </c>
      <c r="F3304" t="s">
        <v>53</v>
      </c>
      <c r="G3304" t="s">
        <v>16</v>
      </c>
      <c r="H3304" t="s">
        <v>54</v>
      </c>
      <c r="I3304" t="s">
        <v>18</v>
      </c>
      <c r="J3304" t="s">
        <v>427</v>
      </c>
      <c r="K3304" s="1">
        <v>0.45610376157407406</v>
      </c>
      <c r="L3304">
        <f>YEAR(Coffe_sales[[#This Row],[Date]])</f>
        <v>2025</v>
      </c>
    </row>
    <row r="3305" spans="1:12" x14ac:dyDescent="0.2">
      <c r="A3305" t="s">
        <v>11</v>
      </c>
      <c r="B3305" t="s">
        <v>12</v>
      </c>
      <c r="C3305">
        <v>25.96</v>
      </c>
      <c r="D3305" t="s">
        <v>24</v>
      </c>
      <c r="E3305" t="s">
        <v>14</v>
      </c>
      <c r="F3305" t="s">
        <v>53</v>
      </c>
      <c r="G3305" t="s">
        <v>16</v>
      </c>
      <c r="H3305" t="s">
        <v>54</v>
      </c>
      <c r="I3305" t="s">
        <v>18</v>
      </c>
      <c r="J3305" t="s">
        <v>427</v>
      </c>
      <c r="K3305" s="1">
        <v>0.45665545138888891</v>
      </c>
      <c r="L3305">
        <f>YEAR(Coffe_sales[[#This Row],[Date]])</f>
        <v>2025</v>
      </c>
    </row>
    <row r="3306" spans="1:12" x14ac:dyDescent="0.2">
      <c r="A3306" t="s">
        <v>35</v>
      </c>
      <c r="B3306" t="s">
        <v>12</v>
      </c>
      <c r="C3306">
        <v>25.96</v>
      </c>
      <c r="D3306" t="s">
        <v>24</v>
      </c>
      <c r="E3306" t="s">
        <v>14</v>
      </c>
      <c r="F3306" t="s">
        <v>53</v>
      </c>
      <c r="G3306" t="s">
        <v>16</v>
      </c>
      <c r="H3306" t="s">
        <v>54</v>
      </c>
      <c r="I3306" t="s">
        <v>18</v>
      </c>
      <c r="J3306" t="s">
        <v>427</v>
      </c>
      <c r="K3306" s="1">
        <v>0.46231046296296296</v>
      </c>
      <c r="L3306">
        <f>YEAR(Coffe_sales[[#This Row],[Date]])</f>
        <v>2025</v>
      </c>
    </row>
    <row r="3307" spans="1:12" x14ac:dyDescent="0.2">
      <c r="A3307" t="s">
        <v>35</v>
      </c>
      <c r="B3307" t="s">
        <v>12</v>
      </c>
      <c r="C3307">
        <v>35.76</v>
      </c>
      <c r="D3307" t="s">
        <v>52</v>
      </c>
      <c r="E3307" t="s">
        <v>14</v>
      </c>
      <c r="F3307" t="s">
        <v>53</v>
      </c>
      <c r="G3307" t="s">
        <v>16</v>
      </c>
      <c r="H3307" t="s">
        <v>54</v>
      </c>
      <c r="I3307" t="s">
        <v>18</v>
      </c>
      <c r="J3307" t="s">
        <v>427</v>
      </c>
      <c r="K3307" s="1">
        <v>0.47057891203703706</v>
      </c>
      <c r="L3307">
        <f>YEAR(Coffe_sales[[#This Row],[Date]])</f>
        <v>2025</v>
      </c>
    </row>
    <row r="3308" spans="1:12" x14ac:dyDescent="0.2">
      <c r="A3308" t="s">
        <v>23</v>
      </c>
      <c r="B3308" t="s">
        <v>12</v>
      </c>
      <c r="C3308">
        <v>35.76</v>
      </c>
      <c r="D3308" t="s">
        <v>13</v>
      </c>
      <c r="E3308" t="s">
        <v>22</v>
      </c>
      <c r="F3308" t="s">
        <v>53</v>
      </c>
      <c r="G3308" t="s">
        <v>16</v>
      </c>
      <c r="H3308" t="s">
        <v>54</v>
      </c>
      <c r="I3308" t="s">
        <v>18</v>
      </c>
      <c r="J3308" t="s">
        <v>427</v>
      </c>
      <c r="K3308" s="1">
        <v>0.57746644675925929</v>
      </c>
      <c r="L3308">
        <f>YEAR(Coffe_sales[[#This Row],[Date]])</f>
        <v>2025</v>
      </c>
    </row>
    <row r="3309" spans="1:12" x14ac:dyDescent="0.2">
      <c r="A3309" t="s">
        <v>27</v>
      </c>
      <c r="B3309" t="s">
        <v>12</v>
      </c>
      <c r="C3309">
        <v>30.86</v>
      </c>
      <c r="D3309" t="s">
        <v>26</v>
      </c>
      <c r="E3309" t="s">
        <v>22</v>
      </c>
      <c r="F3309" t="s">
        <v>53</v>
      </c>
      <c r="G3309" t="s">
        <v>16</v>
      </c>
      <c r="H3309" t="s">
        <v>54</v>
      </c>
      <c r="I3309" t="s">
        <v>18</v>
      </c>
      <c r="J3309" t="s">
        <v>427</v>
      </c>
      <c r="K3309" s="1">
        <v>0.67138082175925928</v>
      </c>
      <c r="L3309">
        <f>YEAR(Coffe_sales[[#This Row],[Date]])</f>
        <v>2025</v>
      </c>
    </row>
    <row r="3310" spans="1:12" x14ac:dyDescent="0.2">
      <c r="A3310" t="s">
        <v>37</v>
      </c>
      <c r="B3310" t="s">
        <v>12</v>
      </c>
      <c r="C3310">
        <v>35.76</v>
      </c>
      <c r="D3310" t="s">
        <v>31</v>
      </c>
      <c r="E3310" t="s">
        <v>29</v>
      </c>
      <c r="F3310" t="s">
        <v>53</v>
      </c>
      <c r="G3310" t="s">
        <v>16</v>
      </c>
      <c r="H3310" t="s">
        <v>54</v>
      </c>
      <c r="I3310" t="s">
        <v>18</v>
      </c>
      <c r="J3310" t="s">
        <v>427</v>
      </c>
      <c r="K3310" s="1">
        <v>0.74249083333333332</v>
      </c>
      <c r="L3310">
        <f>YEAR(Coffe_sales[[#This Row],[Date]])</f>
        <v>2025</v>
      </c>
    </row>
    <row r="3311" spans="1:12" x14ac:dyDescent="0.2">
      <c r="A3311" t="s">
        <v>28</v>
      </c>
      <c r="B3311" t="s">
        <v>12</v>
      </c>
      <c r="C3311">
        <v>35.76</v>
      </c>
      <c r="D3311" t="s">
        <v>52</v>
      </c>
      <c r="E3311" t="s">
        <v>29</v>
      </c>
      <c r="F3311" t="s">
        <v>53</v>
      </c>
      <c r="G3311" t="s">
        <v>16</v>
      </c>
      <c r="H3311" t="s">
        <v>54</v>
      </c>
      <c r="I3311" t="s">
        <v>18</v>
      </c>
      <c r="J3311" t="s">
        <v>427</v>
      </c>
      <c r="K3311" s="1">
        <v>0.76888569444444443</v>
      </c>
      <c r="L3311">
        <f>YEAR(Coffe_sales[[#This Row],[Date]])</f>
        <v>2025</v>
      </c>
    </row>
    <row r="3312" spans="1:12" x14ac:dyDescent="0.2">
      <c r="A3312" t="s">
        <v>30</v>
      </c>
      <c r="B3312" t="s">
        <v>12</v>
      </c>
      <c r="C3312">
        <v>30.86</v>
      </c>
      <c r="D3312" t="s">
        <v>26</v>
      </c>
      <c r="E3312" t="s">
        <v>29</v>
      </c>
      <c r="F3312" t="s">
        <v>53</v>
      </c>
      <c r="G3312" t="s">
        <v>16</v>
      </c>
      <c r="H3312" t="s">
        <v>54</v>
      </c>
      <c r="I3312" t="s">
        <v>18</v>
      </c>
      <c r="J3312" t="s">
        <v>427</v>
      </c>
      <c r="K3312" s="1">
        <v>0.80706850694444443</v>
      </c>
      <c r="L3312">
        <f>YEAR(Coffe_sales[[#This Row],[Date]])</f>
        <v>2025</v>
      </c>
    </row>
    <row r="3313" spans="1:12" x14ac:dyDescent="0.2">
      <c r="A3313" t="s">
        <v>39</v>
      </c>
      <c r="B3313" t="s">
        <v>12</v>
      </c>
      <c r="C3313">
        <v>35.76</v>
      </c>
      <c r="D3313" t="s">
        <v>52</v>
      </c>
      <c r="E3313" t="s">
        <v>14</v>
      </c>
      <c r="F3313" t="s">
        <v>15</v>
      </c>
      <c r="G3313" t="s">
        <v>16</v>
      </c>
      <c r="H3313" t="s">
        <v>17</v>
      </c>
      <c r="I3313" t="s">
        <v>18</v>
      </c>
      <c r="J3313" t="s">
        <v>428</v>
      </c>
      <c r="K3313" s="1">
        <v>0.29562871527777779</v>
      </c>
      <c r="L3313">
        <f>YEAR(Coffe_sales[[#This Row],[Date]])</f>
        <v>2025</v>
      </c>
    </row>
    <row r="3314" spans="1:12" x14ac:dyDescent="0.2">
      <c r="A3314" t="s">
        <v>123</v>
      </c>
      <c r="B3314" t="s">
        <v>12</v>
      </c>
      <c r="C3314">
        <v>25.96</v>
      </c>
      <c r="D3314" t="s">
        <v>24</v>
      </c>
      <c r="E3314" t="s">
        <v>14</v>
      </c>
      <c r="F3314" t="s">
        <v>15</v>
      </c>
      <c r="G3314" t="s">
        <v>16</v>
      </c>
      <c r="H3314" t="s">
        <v>17</v>
      </c>
      <c r="I3314" t="s">
        <v>18</v>
      </c>
      <c r="J3314" t="s">
        <v>428</v>
      </c>
      <c r="K3314" s="1">
        <v>0.36470934027777779</v>
      </c>
      <c r="L3314">
        <f>YEAR(Coffe_sales[[#This Row],[Date]])</f>
        <v>2025</v>
      </c>
    </row>
    <row r="3315" spans="1:12" x14ac:dyDescent="0.2">
      <c r="A3315" t="s">
        <v>123</v>
      </c>
      <c r="B3315" t="s">
        <v>12</v>
      </c>
      <c r="C3315">
        <v>25.96</v>
      </c>
      <c r="D3315" t="s">
        <v>24</v>
      </c>
      <c r="E3315" t="s">
        <v>14</v>
      </c>
      <c r="F3315" t="s">
        <v>15</v>
      </c>
      <c r="G3315" t="s">
        <v>16</v>
      </c>
      <c r="H3315" t="s">
        <v>17</v>
      </c>
      <c r="I3315" t="s">
        <v>18</v>
      </c>
      <c r="J3315" t="s">
        <v>428</v>
      </c>
      <c r="K3315" s="1">
        <v>0.36532208333333333</v>
      </c>
      <c r="L3315">
        <f>YEAR(Coffe_sales[[#This Row],[Date]])</f>
        <v>2025</v>
      </c>
    </row>
    <row r="3316" spans="1:12" x14ac:dyDescent="0.2">
      <c r="A3316" t="s">
        <v>46</v>
      </c>
      <c r="B3316" t="s">
        <v>12</v>
      </c>
      <c r="C3316">
        <v>25.96</v>
      </c>
      <c r="D3316" t="s">
        <v>24</v>
      </c>
      <c r="E3316" t="s">
        <v>14</v>
      </c>
      <c r="F3316" t="s">
        <v>15</v>
      </c>
      <c r="G3316" t="s">
        <v>16</v>
      </c>
      <c r="H3316" t="s">
        <v>17</v>
      </c>
      <c r="I3316" t="s">
        <v>18</v>
      </c>
      <c r="J3316" t="s">
        <v>428</v>
      </c>
      <c r="K3316" s="1">
        <v>0.3768610185185185</v>
      </c>
      <c r="L3316">
        <f>YEAR(Coffe_sales[[#This Row],[Date]])</f>
        <v>2025</v>
      </c>
    </row>
    <row r="3317" spans="1:12" x14ac:dyDescent="0.2">
      <c r="A3317" t="s">
        <v>11</v>
      </c>
      <c r="B3317" t="s">
        <v>12</v>
      </c>
      <c r="C3317">
        <v>35.76</v>
      </c>
      <c r="D3317" t="s">
        <v>21</v>
      </c>
      <c r="E3317" t="s">
        <v>14</v>
      </c>
      <c r="F3317" t="s">
        <v>15</v>
      </c>
      <c r="G3317" t="s">
        <v>16</v>
      </c>
      <c r="H3317" t="s">
        <v>17</v>
      </c>
      <c r="I3317" t="s">
        <v>18</v>
      </c>
      <c r="J3317" t="s">
        <v>428</v>
      </c>
      <c r="K3317" s="1">
        <v>0.42358716435185184</v>
      </c>
      <c r="L3317">
        <f>YEAR(Coffe_sales[[#This Row],[Date]])</f>
        <v>2025</v>
      </c>
    </row>
    <row r="3318" spans="1:12" x14ac:dyDescent="0.2">
      <c r="A3318" t="s">
        <v>11</v>
      </c>
      <c r="B3318" t="s">
        <v>12</v>
      </c>
      <c r="C3318">
        <v>30.86</v>
      </c>
      <c r="D3318" t="s">
        <v>26</v>
      </c>
      <c r="E3318" t="s">
        <v>14</v>
      </c>
      <c r="F3318" t="s">
        <v>15</v>
      </c>
      <c r="G3318" t="s">
        <v>16</v>
      </c>
      <c r="H3318" t="s">
        <v>17</v>
      </c>
      <c r="I3318" t="s">
        <v>18</v>
      </c>
      <c r="J3318" t="s">
        <v>428</v>
      </c>
      <c r="K3318" s="1">
        <v>0.43512659722222224</v>
      </c>
      <c r="L3318">
        <f>YEAR(Coffe_sales[[#This Row],[Date]])</f>
        <v>2025</v>
      </c>
    </row>
    <row r="3319" spans="1:12" x14ac:dyDescent="0.2">
      <c r="A3319" t="s">
        <v>11</v>
      </c>
      <c r="B3319" t="s">
        <v>12</v>
      </c>
      <c r="C3319">
        <v>30.86</v>
      </c>
      <c r="D3319" t="s">
        <v>26</v>
      </c>
      <c r="E3319" t="s">
        <v>14</v>
      </c>
      <c r="F3319" t="s">
        <v>15</v>
      </c>
      <c r="G3319" t="s">
        <v>16</v>
      </c>
      <c r="H3319" t="s">
        <v>17</v>
      </c>
      <c r="I3319" t="s">
        <v>18</v>
      </c>
      <c r="J3319" t="s">
        <v>428</v>
      </c>
      <c r="K3319" s="1">
        <v>0.4357932986111111</v>
      </c>
      <c r="L3319">
        <f>YEAR(Coffe_sales[[#This Row],[Date]])</f>
        <v>2025</v>
      </c>
    </row>
    <row r="3320" spans="1:12" x14ac:dyDescent="0.2">
      <c r="A3320" t="s">
        <v>11</v>
      </c>
      <c r="B3320" t="s">
        <v>12</v>
      </c>
      <c r="C3320">
        <v>35.76</v>
      </c>
      <c r="D3320" t="s">
        <v>31</v>
      </c>
      <c r="E3320" t="s">
        <v>14</v>
      </c>
      <c r="F3320" t="s">
        <v>15</v>
      </c>
      <c r="G3320" t="s">
        <v>16</v>
      </c>
      <c r="H3320" t="s">
        <v>17</v>
      </c>
      <c r="I3320" t="s">
        <v>18</v>
      </c>
      <c r="J3320" t="s">
        <v>428</v>
      </c>
      <c r="K3320" s="1">
        <v>0.4456688773148148</v>
      </c>
      <c r="L3320">
        <f>YEAR(Coffe_sales[[#This Row],[Date]])</f>
        <v>2025</v>
      </c>
    </row>
    <row r="3321" spans="1:12" x14ac:dyDescent="0.2">
      <c r="A3321" t="s">
        <v>35</v>
      </c>
      <c r="B3321" t="s">
        <v>12</v>
      </c>
      <c r="C3321">
        <v>35.76</v>
      </c>
      <c r="D3321" t="s">
        <v>31</v>
      </c>
      <c r="E3321" t="s">
        <v>14</v>
      </c>
      <c r="F3321" t="s">
        <v>15</v>
      </c>
      <c r="G3321" t="s">
        <v>16</v>
      </c>
      <c r="H3321" t="s">
        <v>17</v>
      </c>
      <c r="I3321" t="s">
        <v>18</v>
      </c>
      <c r="J3321" t="s">
        <v>428</v>
      </c>
      <c r="K3321" s="1">
        <v>0.49374368055555556</v>
      </c>
      <c r="L3321">
        <f>YEAR(Coffe_sales[[#This Row],[Date]])</f>
        <v>2025</v>
      </c>
    </row>
    <row r="3322" spans="1:12" x14ac:dyDescent="0.2">
      <c r="A3322" t="s">
        <v>20</v>
      </c>
      <c r="B3322" t="s">
        <v>12</v>
      </c>
      <c r="C3322">
        <v>30.86</v>
      </c>
      <c r="D3322" t="s">
        <v>26</v>
      </c>
      <c r="E3322" t="s">
        <v>22</v>
      </c>
      <c r="F3322" t="s">
        <v>15</v>
      </c>
      <c r="G3322" t="s">
        <v>16</v>
      </c>
      <c r="H3322" t="s">
        <v>17</v>
      </c>
      <c r="I3322" t="s">
        <v>18</v>
      </c>
      <c r="J3322" t="s">
        <v>428</v>
      </c>
      <c r="K3322" s="1">
        <v>0.50261859953703703</v>
      </c>
      <c r="L3322">
        <f>YEAR(Coffe_sales[[#This Row],[Date]])</f>
        <v>2025</v>
      </c>
    </row>
    <row r="3323" spans="1:12" x14ac:dyDescent="0.2">
      <c r="A3323" t="s">
        <v>23</v>
      </c>
      <c r="B3323" t="s">
        <v>12</v>
      </c>
      <c r="C3323">
        <v>35.76</v>
      </c>
      <c r="D3323" t="s">
        <v>21</v>
      </c>
      <c r="E3323" t="s">
        <v>22</v>
      </c>
      <c r="F3323" t="s">
        <v>15</v>
      </c>
      <c r="G3323" t="s">
        <v>16</v>
      </c>
      <c r="H3323" t="s">
        <v>17</v>
      </c>
      <c r="I3323" t="s">
        <v>18</v>
      </c>
      <c r="J3323" t="s">
        <v>428</v>
      </c>
      <c r="K3323" s="1">
        <v>0.57208848379629629</v>
      </c>
      <c r="L3323">
        <f>YEAR(Coffe_sales[[#This Row],[Date]])</f>
        <v>2025</v>
      </c>
    </row>
    <row r="3324" spans="1:12" x14ac:dyDescent="0.2">
      <c r="A3324" t="s">
        <v>23</v>
      </c>
      <c r="B3324" t="s">
        <v>12</v>
      </c>
      <c r="C3324">
        <v>25.96</v>
      </c>
      <c r="D3324" t="s">
        <v>24</v>
      </c>
      <c r="E3324" t="s">
        <v>22</v>
      </c>
      <c r="F3324" t="s">
        <v>15</v>
      </c>
      <c r="G3324" t="s">
        <v>16</v>
      </c>
      <c r="H3324" t="s">
        <v>17</v>
      </c>
      <c r="I3324" t="s">
        <v>18</v>
      </c>
      <c r="J3324" t="s">
        <v>428</v>
      </c>
      <c r="K3324" s="1">
        <v>0.58022690972222224</v>
      </c>
      <c r="L3324">
        <f>YEAR(Coffe_sales[[#This Row],[Date]])</f>
        <v>2025</v>
      </c>
    </row>
    <row r="3325" spans="1:12" x14ac:dyDescent="0.2">
      <c r="A3325" t="s">
        <v>36</v>
      </c>
      <c r="B3325" t="s">
        <v>12</v>
      </c>
      <c r="C3325">
        <v>35.76</v>
      </c>
      <c r="D3325" t="s">
        <v>52</v>
      </c>
      <c r="E3325" t="s">
        <v>22</v>
      </c>
      <c r="F3325" t="s">
        <v>15</v>
      </c>
      <c r="G3325" t="s">
        <v>16</v>
      </c>
      <c r="H3325" t="s">
        <v>17</v>
      </c>
      <c r="I3325" t="s">
        <v>18</v>
      </c>
      <c r="J3325" t="s">
        <v>428</v>
      </c>
      <c r="K3325" s="1">
        <v>0.62048796296296294</v>
      </c>
      <c r="L3325">
        <f>YEAR(Coffe_sales[[#This Row],[Date]])</f>
        <v>2025</v>
      </c>
    </row>
    <row r="3326" spans="1:12" x14ac:dyDescent="0.2">
      <c r="A3326" t="s">
        <v>25</v>
      </c>
      <c r="B3326" t="s">
        <v>12</v>
      </c>
      <c r="C3326">
        <v>35.76</v>
      </c>
      <c r="D3326" t="s">
        <v>13</v>
      </c>
      <c r="E3326" t="s">
        <v>22</v>
      </c>
      <c r="F3326" t="s">
        <v>15</v>
      </c>
      <c r="G3326" t="s">
        <v>16</v>
      </c>
      <c r="H3326" t="s">
        <v>17</v>
      </c>
      <c r="I3326" t="s">
        <v>18</v>
      </c>
      <c r="J3326" t="s">
        <v>428</v>
      </c>
      <c r="K3326" s="1">
        <v>0.63130005787037036</v>
      </c>
      <c r="L3326">
        <f>YEAR(Coffe_sales[[#This Row],[Date]])</f>
        <v>2025</v>
      </c>
    </row>
    <row r="3327" spans="1:12" x14ac:dyDescent="0.2">
      <c r="A3327" t="s">
        <v>25</v>
      </c>
      <c r="B3327" t="s">
        <v>12</v>
      </c>
      <c r="C3327">
        <v>35.76</v>
      </c>
      <c r="D3327" t="s">
        <v>13</v>
      </c>
      <c r="E3327" t="s">
        <v>22</v>
      </c>
      <c r="F3327" t="s">
        <v>15</v>
      </c>
      <c r="G3327" t="s">
        <v>16</v>
      </c>
      <c r="H3327" t="s">
        <v>17</v>
      </c>
      <c r="I3327" t="s">
        <v>18</v>
      </c>
      <c r="J3327" t="s">
        <v>428</v>
      </c>
      <c r="K3327" s="1">
        <v>0.66172440972222224</v>
      </c>
      <c r="L3327">
        <f>YEAR(Coffe_sales[[#This Row],[Date]])</f>
        <v>2025</v>
      </c>
    </row>
    <row r="3328" spans="1:12" x14ac:dyDescent="0.2">
      <c r="A3328" t="s">
        <v>37</v>
      </c>
      <c r="B3328" t="s">
        <v>12</v>
      </c>
      <c r="C3328">
        <v>35.76</v>
      </c>
      <c r="D3328" t="s">
        <v>13</v>
      </c>
      <c r="E3328" t="s">
        <v>29</v>
      </c>
      <c r="F3328" t="s">
        <v>15</v>
      </c>
      <c r="G3328" t="s">
        <v>16</v>
      </c>
      <c r="H3328" t="s">
        <v>17</v>
      </c>
      <c r="I3328" t="s">
        <v>18</v>
      </c>
      <c r="J3328" t="s">
        <v>428</v>
      </c>
      <c r="K3328" s="1">
        <v>0.71561672453703706</v>
      </c>
      <c r="L3328">
        <f>YEAR(Coffe_sales[[#This Row],[Date]])</f>
        <v>2025</v>
      </c>
    </row>
    <row r="3329" spans="1:12" x14ac:dyDescent="0.2">
      <c r="A3329" t="s">
        <v>37</v>
      </c>
      <c r="B3329" t="s">
        <v>12</v>
      </c>
      <c r="C3329">
        <v>35.76</v>
      </c>
      <c r="D3329" t="s">
        <v>21</v>
      </c>
      <c r="E3329" t="s">
        <v>29</v>
      </c>
      <c r="F3329" t="s">
        <v>15</v>
      </c>
      <c r="G3329" t="s">
        <v>16</v>
      </c>
      <c r="H3329" t="s">
        <v>17</v>
      </c>
      <c r="I3329" t="s">
        <v>18</v>
      </c>
      <c r="J3329" t="s">
        <v>428</v>
      </c>
      <c r="K3329" s="1">
        <v>0.71693990740740743</v>
      </c>
      <c r="L3329">
        <f>YEAR(Coffe_sales[[#This Row],[Date]])</f>
        <v>2025</v>
      </c>
    </row>
    <row r="3330" spans="1:12" x14ac:dyDescent="0.2">
      <c r="A3330" t="s">
        <v>46</v>
      </c>
      <c r="B3330" t="s">
        <v>12</v>
      </c>
      <c r="C3330">
        <v>30.86</v>
      </c>
      <c r="D3330" t="s">
        <v>26</v>
      </c>
      <c r="E3330" t="s">
        <v>14</v>
      </c>
      <c r="F3330" t="s">
        <v>32</v>
      </c>
      <c r="G3330" t="s">
        <v>16</v>
      </c>
      <c r="H3330" t="s">
        <v>33</v>
      </c>
      <c r="I3330" t="s">
        <v>18</v>
      </c>
      <c r="J3330" t="s">
        <v>429</v>
      </c>
      <c r="K3330" s="1">
        <v>0.39148777777777777</v>
      </c>
      <c r="L3330">
        <f>YEAR(Coffe_sales[[#This Row],[Date]])</f>
        <v>2025</v>
      </c>
    </row>
    <row r="3331" spans="1:12" x14ac:dyDescent="0.2">
      <c r="A3331" t="s">
        <v>46</v>
      </c>
      <c r="B3331" t="s">
        <v>12</v>
      </c>
      <c r="C3331">
        <v>30.86</v>
      </c>
      <c r="D3331" t="s">
        <v>26</v>
      </c>
      <c r="E3331" t="s">
        <v>14</v>
      </c>
      <c r="F3331" t="s">
        <v>32</v>
      </c>
      <c r="G3331" t="s">
        <v>16</v>
      </c>
      <c r="H3331" t="s">
        <v>33</v>
      </c>
      <c r="I3331" t="s">
        <v>18</v>
      </c>
      <c r="J3331" t="s">
        <v>429</v>
      </c>
      <c r="K3331" s="1">
        <v>0.40408449074074076</v>
      </c>
      <c r="L3331">
        <f>YEAR(Coffe_sales[[#This Row],[Date]])</f>
        <v>2025</v>
      </c>
    </row>
    <row r="3332" spans="1:12" x14ac:dyDescent="0.2">
      <c r="A3332" t="s">
        <v>11</v>
      </c>
      <c r="B3332" t="s">
        <v>12</v>
      </c>
      <c r="C3332">
        <v>25.96</v>
      </c>
      <c r="D3332" t="s">
        <v>24</v>
      </c>
      <c r="E3332" t="s">
        <v>14</v>
      </c>
      <c r="F3332" t="s">
        <v>32</v>
      </c>
      <c r="G3332" t="s">
        <v>16</v>
      </c>
      <c r="H3332" t="s">
        <v>33</v>
      </c>
      <c r="I3332" t="s">
        <v>18</v>
      </c>
      <c r="J3332" t="s">
        <v>429</v>
      </c>
      <c r="K3332" s="1">
        <v>0.4543244675925926</v>
      </c>
      <c r="L3332">
        <f>YEAR(Coffe_sales[[#This Row],[Date]])</f>
        <v>2025</v>
      </c>
    </row>
    <row r="3333" spans="1:12" x14ac:dyDescent="0.2">
      <c r="A3333" t="s">
        <v>35</v>
      </c>
      <c r="B3333" t="s">
        <v>12</v>
      </c>
      <c r="C3333">
        <v>25.96</v>
      </c>
      <c r="D3333" t="s">
        <v>24</v>
      </c>
      <c r="E3333" t="s">
        <v>14</v>
      </c>
      <c r="F3333" t="s">
        <v>32</v>
      </c>
      <c r="G3333" t="s">
        <v>16</v>
      </c>
      <c r="H3333" t="s">
        <v>33</v>
      </c>
      <c r="I3333" t="s">
        <v>18</v>
      </c>
      <c r="J3333" t="s">
        <v>429</v>
      </c>
      <c r="K3333" s="1">
        <v>0.4720553009259259</v>
      </c>
      <c r="L3333">
        <f>YEAR(Coffe_sales[[#This Row],[Date]])</f>
        <v>2025</v>
      </c>
    </row>
    <row r="3334" spans="1:12" x14ac:dyDescent="0.2">
      <c r="A3334" t="s">
        <v>35</v>
      </c>
      <c r="B3334" t="s">
        <v>12</v>
      </c>
      <c r="C3334">
        <v>25.96</v>
      </c>
      <c r="D3334" t="s">
        <v>24</v>
      </c>
      <c r="E3334" t="s">
        <v>14</v>
      </c>
      <c r="F3334" t="s">
        <v>32</v>
      </c>
      <c r="G3334" t="s">
        <v>16</v>
      </c>
      <c r="H3334" t="s">
        <v>33</v>
      </c>
      <c r="I3334" t="s">
        <v>18</v>
      </c>
      <c r="J3334" t="s">
        <v>429</v>
      </c>
      <c r="K3334" s="1">
        <v>0.47259695601851853</v>
      </c>
      <c r="L3334">
        <f>YEAR(Coffe_sales[[#This Row],[Date]])</f>
        <v>2025</v>
      </c>
    </row>
    <row r="3335" spans="1:12" x14ac:dyDescent="0.2">
      <c r="A3335" t="s">
        <v>20</v>
      </c>
      <c r="B3335" t="s">
        <v>12</v>
      </c>
      <c r="C3335">
        <v>30.86</v>
      </c>
      <c r="D3335" t="s">
        <v>26</v>
      </c>
      <c r="E3335" t="s">
        <v>22</v>
      </c>
      <c r="F3335" t="s">
        <v>32</v>
      </c>
      <c r="G3335" t="s">
        <v>16</v>
      </c>
      <c r="H3335" t="s">
        <v>33</v>
      </c>
      <c r="I3335" t="s">
        <v>18</v>
      </c>
      <c r="J3335" t="s">
        <v>429</v>
      </c>
      <c r="K3335" s="1">
        <v>0.52870180555555557</v>
      </c>
      <c r="L3335">
        <f>YEAR(Coffe_sales[[#This Row],[Date]])</f>
        <v>2025</v>
      </c>
    </row>
    <row r="3336" spans="1:12" x14ac:dyDescent="0.2">
      <c r="A3336" t="s">
        <v>20</v>
      </c>
      <c r="B3336" t="s">
        <v>12</v>
      </c>
      <c r="C3336">
        <v>25.96</v>
      </c>
      <c r="D3336" t="s">
        <v>24</v>
      </c>
      <c r="E3336" t="s">
        <v>22</v>
      </c>
      <c r="F3336" t="s">
        <v>32</v>
      </c>
      <c r="G3336" t="s">
        <v>16</v>
      </c>
      <c r="H3336" t="s">
        <v>33</v>
      </c>
      <c r="I3336" t="s">
        <v>18</v>
      </c>
      <c r="J3336" t="s">
        <v>429</v>
      </c>
      <c r="K3336" s="1">
        <v>0.53131177083333336</v>
      </c>
      <c r="L3336">
        <f>YEAR(Coffe_sales[[#This Row],[Date]])</f>
        <v>2025</v>
      </c>
    </row>
    <row r="3337" spans="1:12" x14ac:dyDescent="0.2">
      <c r="A3337" t="s">
        <v>23</v>
      </c>
      <c r="B3337" t="s">
        <v>12</v>
      </c>
      <c r="C3337">
        <v>35.76</v>
      </c>
      <c r="D3337" t="s">
        <v>52</v>
      </c>
      <c r="E3337" t="s">
        <v>22</v>
      </c>
      <c r="F3337" t="s">
        <v>32</v>
      </c>
      <c r="G3337" t="s">
        <v>16</v>
      </c>
      <c r="H3337" t="s">
        <v>33</v>
      </c>
      <c r="I3337" t="s">
        <v>18</v>
      </c>
      <c r="J3337" t="s">
        <v>429</v>
      </c>
      <c r="K3337" s="1">
        <v>0.56951451388888885</v>
      </c>
      <c r="L3337">
        <f>YEAR(Coffe_sales[[#This Row],[Date]])</f>
        <v>2025</v>
      </c>
    </row>
    <row r="3338" spans="1:12" x14ac:dyDescent="0.2">
      <c r="A3338" t="s">
        <v>46</v>
      </c>
      <c r="B3338" t="s">
        <v>12</v>
      </c>
      <c r="C3338">
        <v>21.06</v>
      </c>
      <c r="D3338" t="s">
        <v>45</v>
      </c>
      <c r="E3338" t="s">
        <v>14</v>
      </c>
      <c r="F3338" t="s">
        <v>38</v>
      </c>
      <c r="G3338" t="s">
        <v>16</v>
      </c>
      <c r="H3338" t="s">
        <v>39</v>
      </c>
      <c r="I3338" t="s">
        <v>18</v>
      </c>
      <c r="J3338" t="s">
        <v>430</v>
      </c>
      <c r="K3338" s="1">
        <v>0.40421160879629631</v>
      </c>
      <c r="L3338">
        <f>YEAR(Coffe_sales[[#This Row],[Date]])</f>
        <v>2025</v>
      </c>
    </row>
    <row r="3339" spans="1:12" x14ac:dyDescent="0.2">
      <c r="A3339" t="s">
        <v>35</v>
      </c>
      <c r="B3339" t="s">
        <v>12</v>
      </c>
      <c r="C3339">
        <v>30.86</v>
      </c>
      <c r="D3339" t="s">
        <v>26</v>
      </c>
      <c r="E3339" t="s">
        <v>14</v>
      </c>
      <c r="F3339" t="s">
        <v>38</v>
      </c>
      <c r="G3339" t="s">
        <v>16</v>
      </c>
      <c r="H3339" t="s">
        <v>39</v>
      </c>
      <c r="I3339" t="s">
        <v>18</v>
      </c>
      <c r="J3339" t="s">
        <v>430</v>
      </c>
      <c r="K3339" s="1">
        <v>0.47631000000000001</v>
      </c>
      <c r="L3339">
        <f>YEAR(Coffe_sales[[#This Row],[Date]])</f>
        <v>2025</v>
      </c>
    </row>
    <row r="3340" spans="1:12" x14ac:dyDescent="0.2">
      <c r="A3340" t="s">
        <v>23</v>
      </c>
      <c r="B3340" t="s">
        <v>12</v>
      </c>
      <c r="C3340">
        <v>35.76</v>
      </c>
      <c r="D3340" t="s">
        <v>52</v>
      </c>
      <c r="E3340" t="s">
        <v>22</v>
      </c>
      <c r="F3340" t="s">
        <v>38</v>
      </c>
      <c r="G3340" t="s">
        <v>16</v>
      </c>
      <c r="H3340" t="s">
        <v>39</v>
      </c>
      <c r="I3340" t="s">
        <v>18</v>
      </c>
      <c r="J3340" t="s">
        <v>430</v>
      </c>
      <c r="K3340" s="1">
        <v>0.57773469907407404</v>
      </c>
      <c r="L3340">
        <f>YEAR(Coffe_sales[[#This Row],[Date]])</f>
        <v>2025</v>
      </c>
    </row>
    <row r="3341" spans="1:12" x14ac:dyDescent="0.2">
      <c r="A3341" t="s">
        <v>36</v>
      </c>
      <c r="B3341" t="s">
        <v>12</v>
      </c>
      <c r="C3341">
        <v>25.96</v>
      </c>
      <c r="D3341" t="s">
        <v>24</v>
      </c>
      <c r="E3341" t="s">
        <v>22</v>
      </c>
      <c r="F3341" t="s">
        <v>38</v>
      </c>
      <c r="G3341" t="s">
        <v>16</v>
      </c>
      <c r="H3341" t="s">
        <v>39</v>
      </c>
      <c r="I3341" t="s">
        <v>18</v>
      </c>
      <c r="J3341" t="s">
        <v>430</v>
      </c>
      <c r="K3341" s="1">
        <v>0.59618127314814817</v>
      </c>
      <c r="L3341">
        <f>YEAR(Coffe_sales[[#This Row],[Date]])</f>
        <v>2025</v>
      </c>
    </row>
    <row r="3342" spans="1:12" x14ac:dyDescent="0.2">
      <c r="A3342" t="s">
        <v>25</v>
      </c>
      <c r="B3342" t="s">
        <v>12</v>
      </c>
      <c r="C3342">
        <v>35.76</v>
      </c>
      <c r="D3342" t="s">
        <v>52</v>
      </c>
      <c r="E3342" t="s">
        <v>22</v>
      </c>
      <c r="F3342" t="s">
        <v>38</v>
      </c>
      <c r="G3342" t="s">
        <v>16</v>
      </c>
      <c r="H3342" t="s">
        <v>39</v>
      </c>
      <c r="I3342" t="s">
        <v>18</v>
      </c>
      <c r="J3342" t="s">
        <v>430</v>
      </c>
      <c r="K3342" s="1">
        <v>0.63381254629629624</v>
      </c>
      <c r="L3342">
        <f>YEAR(Coffe_sales[[#This Row],[Date]])</f>
        <v>2025</v>
      </c>
    </row>
    <row r="3343" spans="1:12" x14ac:dyDescent="0.2">
      <c r="A3343" t="s">
        <v>25</v>
      </c>
      <c r="B3343" t="s">
        <v>12</v>
      </c>
      <c r="C3343">
        <v>25.96</v>
      </c>
      <c r="D3343" t="s">
        <v>24</v>
      </c>
      <c r="E3343" t="s">
        <v>22</v>
      </c>
      <c r="F3343" t="s">
        <v>38</v>
      </c>
      <c r="G3343" t="s">
        <v>16</v>
      </c>
      <c r="H3343" t="s">
        <v>39</v>
      </c>
      <c r="I3343" t="s">
        <v>18</v>
      </c>
      <c r="J3343" t="s">
        <v>430</v>
      </c>
      <c r="K3343" s="1">
        <v>0.65216587962962957</v>
      </c>
      <c r="L3343">
        <f>YEAR(Coffe_sales[[#This Row],[Date]])</f>
        <v>2025</v>
      </c>
    </row>
    <row r="3344" spans="1:12" x14ac:dyDescent="0.2">
      <c r="A3344" t="s">
        <v>25</v>
      </c>
      <c r="B3344" t="s">
        <v>12</v>
      </c>
      <c r="C3344">
        <v>30.86</v>
      </c>
      <c r="D3344" t="s">
        <v>26</v>
      </c>
      <c r="E3344" t="s">
        <v>22</v>
      </c>
      <c r="F3344" t="s">
        <v>38</v>
      </c>
      <c r="G3344" t="s">
        <v>16</v>
      </c>
      <c r="H3344" t="s">
        <v>39</v>
      </c>
      <c r="I3344" t="s">
        <v>18</v>
      </c>
      <c r="J3344" t="s">
        <v>430</v>
      </c>
      <c r="K3344" s="1">
        <v>0.66156629629629626</v>
      </c>
      <c r="L3344">
        <f>YEAR(Coffe_sales[[#This Row],[Date]])</f>
        <v>2025</v>
      </c>
    </row>
    <row r="3345" spans="1:12" x14ac:dyDescent="0.2">
      <c r="A3345" t="s">
        <v>25</v>
      </c>
      <c r="B3345" t="s">
        <v>12</v>
      </c>
      <c r="C3345">
        <v>35.76</v>
      </c>
      <c r="D3345" t="s">
        <v>31</v>
      </c>
      <c r="E3345" t="s">
        <v>22</v>
      </c>
      <c r="F3345" t="s">
        <v>38</v>
      </c>
      <c r="G3345" t="s">
        <v>16</v>
      </c>
      <c r="H3345" t="s">
        <v>39</v>
      </c>
      <c r="I3345" t="s">
        <v>18</v>
      </c>
      <c r="J3345" t="s">
        <v>430</v>
      </c>
      <c r="K3345" s="1">
        <v>0.66227307870370367</v>
      </c>
      <c r="L3345">
        <f>YEAR(Coffe_sales[[#This Row],[Date]])</f>
        <v>2025</v>
      </c>
    </row>
    <row r="3346" spans="1:12" x14ac:dyDescent="0.2">
      <c r="A3346" t="s">
        <v>123</v>
      </c>
      <c r="B3346" t="s">
        <v>12</v>
      </c>
      <c r="C3346">
        <v>25.96</v>
      </c>
      <c r="D3346" t="s">
        <v>24</v>
      </c>
      <c r="E3346" t="s">
        <v>14</v>
      </c>
      <c r="F3346" t="s">
        <v>42</v>
      </c>
      <c r="G3346" t="s">
        <v>16</v>
      </c>
      <c r="H3346" t="s">
        <v>43</v>
      </c>
      <c r="I3346" t="s">
        <v>18</v>
      </c>
      <c r="J3346" t="s">
        <v>431</v>
      </c>
      <c r="K3346" s="1">
        <v>0.35744771990740742</v>
      </c>
      <c r="L3346">
        <f>YEAR(Coffe_sales[[#This Row],[Date]])</f>
        <v>2025</v>
      </c>
    </row>
    <row r="3347" spans="1:12" x14ac:dyDescent="0.2">
      <c r="A3347" t="s">
        <v>123</v>
      </c>
      <c r="B3347" t="s">
        <v>12</v>
      </c>
      <c r="C3347">
        <v>35.76</v>
      </c>
      <c r="D3347" t="s">
        <v>13</v>
      </c>
      <c r="E3347" t="s">
        <v>14</v>
      </c>
      <c r="F3347" t="s">
        <v>42</v>
      </c>
      <c r="G3347" t="s">
        <v>16</v>
      </c>
      <c r="H3347" t="s">
        <v>43</v>
      </c>
      <c r="I3347" t="s">
        <v>18</v>
      </c>
      <c r="J3347" t="s">
        <v>431</v>
      </c>
      <c r="K3347" s="1">
        <v>0.35810738425925925</v>
      </c>
      <c r="L3347">
        <f>YEAR(Coffe_sales[[#This Row],[Date]])</f>
        <v>2025</v>
      </c>
    </row>
    <row r="3348" spans="1:12" x14ac:dyDescent="0.2">
      <c r="A3348" t="s">
        <v>46</v>
      </c>
      <c r="B3348" t="s">
        <v>12</v>
      </c>
      <c r="C3348">
        <v>30.86</v>
      </c>
      <c r="D3348" t="s">
        <v>26</v>
      </c>
      <c r="E3348" t="s">
        <v>14</v>
      </c>
      <c r="F3348" t="s">
        <v>42</v>
      </c>
      <c r="G3348" t="s">
        <v>16</v>
      </c>
      <c r="H3348" t="s">
        <v>43</v>
      </c>
      <c r="I3348" t="s">
        <v>18</v>
      </c>
      <c r="J3348" t="s">
        <v>431</v>
      </c>
      <c r="K3348" s="1">
        <v>0.37948626157407406</v>
      </c>
      <c r="L3348">
        <f>YEAR(Coffe_sales[[#This Row],[Date]])</f>
        <v>2025</v>
      </c>
    </row>
    <row r="3349" spans="1:12" x14ac:dyDescent="0.2">
      <c r="A3349" t="s">
        <v>46</v>
      </c>
      <c r="B3349" t="s">
        <v>12</v>
      </c>
      <c r="C3349">
        <v>35.76</v>
      </c>
      <c r="D3349" t="s">
        <v>21</v>
      </c>
      <c r="E3349" t="s">
        <v>14</v>
      </c>
      <c r="F3349" t="s">
        <v>42</v>
      </c>
      <c r="G3349" t="s">
        <v>16</v>
      </c>
      <c r="H3349" t="s">
        <v>43</v>
      </c>
      <c r="I3349" t="s">
        <v>18</v>
      </c>
      <c r="J3349" t="s">
        <v>431</v>
      </c>
      <c r="K3349" s="1">
        <v>0.38852878472222224</v>
      </c>
      <c r="L3349">
        <f>YEAR(Coffe_sales[[#This Row],[Date]])</f>
        <v>2025</v>
      </c>
    </row>
    <row r="3350" spans="1:12" x14ac:dyDescent="0.2">
      <c r="A3350" t="s">
        <v>46</v>
      </c>
      <c r="B3350" t="s">
        <v>12</v>
      </c>
      <c r="C3350">
        <v>35.76</v>
      </c>
      <c r="D3350" t="s">
        <v>31</v>
      </c>
      <c r="E3350" t="s">
        <v>14</v>
      </c>
      <c r="F3350" t="s">
        <v>42</v>
      </c>
      <c r="G3350" t="s">
        <v>16</v>
      </c>
      <c r="H3350" t="s">
        <v>43</v>
      </c>
      <c r="I3350" t="s">
        <v>18</v>
      </c>
      <c r="J3350" t="s">
        <v>431</v>
      </c>
      <c r="K3350" s="1">
        <v>0.41034864583333336</v>
      </c>
      <c r="L3350">
        <f>YEAR(Coffe_sales[[#This Row],[Date]])</f>
        <v>2025</v>
      </c>
    </row>
    <row r="3351" spans="1:12" x14ac:dyDescent="0.2">
      <c r="A3351" t="s">
        <v>11</v>
      </c>
      <c r="B3351" t="s">
        <v>12</v>
      </c>
      <c r="C3351">
        <v>35.76</v>
      </c>
      <c r="D3351" t="s">
        <v>21</v>
      </c>
      <c r="E3351" t="s">
        <v>14</v>
      </c>
      <c r="F3351" t="s">
        <v>42</v>
      </c>
      <c r="G3351" t="s">
        <v>16</v>
      </c>
      <c r="H3351" t="s">
        <v>43</v>
      </c>
      <c r="I3351" t="s">
        <v>18</v>
      </c>
      <c r="J3351" t="s">
        <v>431</v>
      </c>
      <c r="K3351" s="1">
        <v>0.42982708333333336</v>
      </c>
      <c r="L3351">
        <f>YEAR(Coffe_sales[[#This Row],[Date]])</f>
        <v>2025</v>
      </c>
    </row>
    <row r="3352" spans="1:12" x14ac:dyDescent="0.2">
      <c r="A3352" t="s">
        <v>20</v>
      </c>
      <c r="B3352" t="s">
        <v>12</v>
      </c>
      <c r="C3352">
        <v>25.96</v>
      </c>
      <c r="D3352" t="s">
        <v>24</v>
      </c>
      <c r="E3352" t="s">
        <v>22</v>
      </c>
      <c r="F3352" t="s">
        <v>42</v>
      </c>
      <c r="G3352" t="s">
        <v>16</v>
      </c>
      <c r="H3352" t="s">
        <v>43</v>
      </c>
      <c r="I3352" t="s">
        <v>18</v>
      </c>
      <c r="J3352" t="s">
        <v>431</v>
      </c>
      <c r="K3352" s="1">
        <v>0.52517124999999998</v>
      </c>
      <c r="L3352">
        <f>YEAR(Coffe_sales[[#This Row],[Date]])</f>
        <v>2025</v>
      </c>
    </row>
    <row r="3353" spans="1:12" x14ac:dyDescent="0.2">
      <c r="A3353" t="s">
        <v>25</v>
      </c>
      <c r="B3353" t="s">
        <v>12</v>
      </c>
      <c r="C3353">
        <v>25.96</v>
      </c>
      <c r="D3353" t="s">
        <v>24</v>
      </c>
      <c r="E3353" t="s">
        <v>22</v>
      </c>
      <c r="F3353" t="s">
        <v>42</v>
      </c>
      <c r="G3353" t="s">
        <v>16</v>
      </c>
      <c r="H3353" t="s">
        <v>43</v>
      </c>
      <c r="I3353" t="s">
        <v>18</v>
      </c>
      <c r="J3353" t="s">
        <v>431</v>
      </c>
      <c r="K3353" s="1">
        <v>0.64733190972222221</v>
      </c>
      <c r="L3353">
        <f>YEAR(Coffe_sales[[#This Row],[Date]])</f>
        <v>2025</v>
      </c>
    </row>
    <row r="3354" spans="1:12" x14ac:dyDescent="0.2">
      <c r="A3354" t="s">
        <v>25</v>
      </c>
      <c r="B3354" t="s">
        <v>12</v>
      </c>
      <c r="C3354">
        <v>35.76</v>
      </c>
      <c r="D3354" t="s">
        <v>21</v>
      </c>
      <c r="E3354" t="s">
        <v>22</v>
      </c>
      <c r="F3354" t="s">
        <v>42</v>
      </c>
      <c r="G3354" t="s">
        <v>16</v>
      </c>
      <c r="H3354" t="s">
        <v>43</v>
      </c>
      <c r="I3354" t="s">
        <v>18</v>
      </c>
      <c r="J3354" t="s">
        <v>431</v>
      </c>
      <c r="K3354" s="1">
        <v>0.65414204861111114</v>
      </c>
      <c r="L3354">
        <f>YEAR(Coffe_sales[[#This Row],[Date]])</f>
        <v>2025</v>
      </c>
    </row>
    <row r="3355" spans="1:12" x14ac:dyDescent="0.2">
      <c r="A3355" t="s">
        <v>27</v>
      </c>
      <c r="B3355" t="s">
        <v>12</v>
      </c>
      <c r="C3355">
        <v>35.76</v>
      </c>
      <c r="D3355" t="s">
        <v>13</v>
      </c>
      <c r="E3355" t="s">
        <v>22</v>
      </c>
      <c r="F3355" t="s">
        <v>42</v>
      </c>
      <c r="G3355" t="s">
        <v>16</v>
      </c>
      <c r="H3355" t="s">
        <v>43</v>
      </c>
      <c r="I3355" t="s">
        <v>18</v>
      </c>
      <c r="J3355" t="s">
        <v>431</v>
      </c>
      <c r="K3355" s="1">
        <v>0.67917353009259263</v>
      </c>
      <c r="L3355">
        <f>YEAR(Coffe_sales[[#This Row],[Date]])</f>
        <v>2025</v>
      </c>
    </row>
    <row r="3356" spans="1:12" x14ac:dyDescent="0.2">
      <c r="A3356" t="s">
        <v>27</v>
      </c>
      <c r="B3356" t="s">
        <v>12</v>
      </c>
      <c r="C3356">
        <v>35.76</v>
      </c>
      <c r="D3356" t="s">
        <v>13</v>
      </c>
      <c r="E3356" t="s">
        <v>22</v>
      </c>
      <c r="F3356" t="s">
        <v>42</v>
      </c>
      <c r="G3356" t="s">
        <v>16</v>
      </c>
      <c r="H3356" t="s">
        <v>43</v>
      </c>
      <c r="I3356" t="s">
        <v>18</v>
      </c>
      <c r="J3356" t="s">
        <v>431</v>
      </c>
      <c r="K3356" s="1">
        <v>0.67979427083333333</v>
      </c>
      <c r="L3356">
        <f>YEAR(Coffe_sales[[#This Row],[Date]])</f>
        <v>2025</v>
      </c>
    </row>
    <row r="3357" spans="1:12" x14ac:dyDescent="0.2">
      <c r="A3357" t="s">
        <v>27</v>
      </c>
      <c r="B3357" t="s">
        <v>12</v>
      </c>
      <c r="C3357">
        <v>35.76</v>
      </c>
      <c r="D3357" t="s">
        <v>52</v>
      </c>
      <c r="E3357" t="s">
        <v>22</v>
      </c>
      <c r="F3357" t="s">
        <v>42</v>
      </c>
      <c r="G3357" t="s">
        <v>16</v>
      </c>
      <c r="H3357" t="s">
        <v>43</v>
      </c>
      <c r="I3357" t="s">
        <v>18</v>
      </c>
      <c r="J3357" t="s">
        <v>431</v>
      </c>
      <c r="K3357" s="1">
        <v>0.68362776620370369</v>
      </c>
      <c r="L3357">
        <f>YEAR(Coffe_sales[[#This Row],[Date]])</f>
        <v>2025</v>
      </c>
    </row>
    <row r="3358" spans="1:12" x14ac:dyDescent="0.2">
      <c r="A3358" t="s">
        <v>27</v>
      </c>
      <c r="B3358" t="s">
        <v>12</v>
      </c>
      <c r="C3358">
        <v>30.86</v>
      </c>
      <c r="D3358" t="s">
        <v>26</v>
      </c>
      <c r="E3358" t="s">
        <v>22</v>
      </c>
      <c r="F3358" t="s">
        <v>42</v>
      </c>
      <c r="G3358" t="s">
        <v>16</v>
      </c>
      <c r="H3358" t="s">
        <v>43</v>
      </c>
      <c r="I3358" t="s">
        <v>18</v>
      </c>
      <c r="J3358" t="s">
        <v>431</v>
      </c>
      <c r="K3358" s="1">
        <v>0.68440344907407402</v>
      </c>
      <c r="L3358">
        <f>YEAR(Coffe_sales[[#This Row],[Date]])</f>
        <v>2025</v>
      </c>
    </row>
    <row r="3359" spans="1:12" x14ac:dyDescent="0.2">
      <c r="A3359" t="s">
        <v>28</v>
      </c>
      <c r="B3359" t="s">
        <v>12</v>
      </c>
      <c r="C3359">
        <v>25.96</v>
      </c>
      <c r="D3359" t="s">
        <v>24</v>
      </c>
      <c r="E3359" t="s">
        <v>29</v>
      </c>
      <c r="F3359" t="s">
        <v>42</v>
      </c>
      <c r="G3359" t="s">
        <v>16</v>
      </c>
      <c r="H3359" t="s">
        <v>43</v>
      </c>
      <c r="I3359" t="s">
        <v>18</v>
      </c>
      <c r="J3359" t="s">
        <v>431</v>
      </c>
      <c r="K3359" s="1">
        <v>0.76104445601851856</v>
      </c>
      <c r="L3359">
        <f>YEAR(Coffe_sales[[#This Row],[Date]])</f>
        <v>2025</v>
      </c>
    </row>
    <row r="3360" spans="1:12" x14ac:dyDescent="0.2">
      <c r="A3360" t="s">
        <v>28</v>
      </c>
      <c r="B3360" t="s">
        <v>12</v>
      </c>
      <c r="C3360">
        <v>35.76</v>
      </c>
      <c r="D3360" t="s">
        <v>13</v>
      </c>
      <c r="E3360" t="s">
        <v>29</v>
      </c>
      <c r="F3360" t="s">
        <v>42</v>
      </c>
      <c r="G3360" t="s">
        <v>16</v>
      </c>
      <c r="H3360" t="s">
        <v>43</v>
      </c>
      <c r="I3360" t="s">
        <v>18</v>
      </c>
      <c r="J3360" t="s">
        <v>431</v>
      </c>
      <c r="K3360" s="1">
        <v>0.78368319444444445</v>
      </c>
      <c r="L3360">
        <f>YEAR(Coffe_sales[[#This Row],[Date]])</f>
        <v>2025</v>
      </c>
    </row>
    <row r="3361" spans="1:12" x14ac:dyDescent="0.2">
      <c r="A3361" t="s">
        <v>28</v>
      </c>
      <c r="B3361" t="s">
        <v>12</v>
      </c>
      <c r="C3361">
        <v>35.76</v>
      </c>
      <c r="D3361" t="s">
        <v>13</v>
      </c>
      <c r="E3361" t="s">
        <v>29</v>
      </c>
      <c r="F3361" t="s">
        <v>42</v>
      </c>
      <c r="G3361" t="s">
        <v>16</v>
      </c>
      <c r="H3361" t="s">
        <v>43</v>
      </c>
      <c r="I3361" t="s">
        <v>18</v>
      </c>
      <c r="J3361" t="s">
        <v>431</v>
      </c>
      <c r="K3361" s="1">
        <v>0.78428607638888892</v>
      </c>
      <c r="L3361">
        <f>YEAR(Coffe_sales[[#This Row],[Date]])</f>
        <v>2025</v>
      </c>
    </row>
    <row r="3362" spans="1:12" x14ac:dyDescent="0.2">
      <c r="A3362" t="s">
        <v>30</v>
      </c>
      <c r="B3362" t="s">
        <v>12</v>
      </c>
      <c r="C3362">
        <v>30.86</v>
      </c>
      <c r="D3362" t="s">
        <v>26</v>
      </c>
      <c r="E3362" t="s">
        <v>29</v>
      </c>
      <c r="F3362" t="s">
        <v>42</v>
      </c>
      <c r="G3362" t="s">
        <v>16</v>
      </c>
      <c r="H3362" t="s">
        <v>43</v>
      </c>
      <c r="I3362" t="s">
        <v>18</v>
      </c>
      <c r="J3362" t="s">
        <v>431</v>
      </c>
      <c r="K3362" s="1">
        <v>0.81021846064814818</v>
      </c>
      <c r="L3362">
        <f>YEAR(Coffe_sales[[#This Row],[Date]])</f>
        <v>2025</v>
      </c>
    </row>
    <row r="3363" spans="1:12" x14ac:dyDescent="0.2">
      <c r="A3363" t="s">
        <v>123</v>
      </c>
      <c r="B3363" t="s">
        <v>12</v>
      </c>
      <c r="C3363">
        <v>25.96</v>
      </c>
      <c r="D3363" t="s">
        <v>24</v>
      </c>
      <c r="E3363" t="s">
        <v>14</v>
      </c>
      <c r="F3363" t="s">
        <v>47</v>
      </c>
      <c r="G3363" t="s">
        <v>16</v>
      </c>
      <c r="H3363" t="s">
        <v>48</v>
      </c>
      <c r="I3363" t="s">
        <v>18</v>
      </c>
      <c r="J3363" t="s">
        <v>432</v>
      </c>
      <c r="K3363" s="1">
        <v>0.36557374999999998</v>
      </c>
      <c r="L3363">
        <f>YEAR(Coffe_sales[[#This Row],[Date]])</f>
        <v>2025</v>
      </c>
    </row>
    <row r="3364" spans="1:12" x14ac:dyDescent="0.2">
      <c r="A3364" t="s">
        <v>46</v>
      </c>
      <c r="B3364" t="s">
        <v>12</v>
      </c>
      <c r="C3364">
        <v>35.76</v>
      </c>
      <c r="D3364" t="s">
        <v>52</v>
      </c>
      <c r="E3364" t="s">
        <v>14</v>
      </c>
      <c r="F3364" t="s">
        <v>47</v>
      </c>
      <c r="G3364" t="s">
        <v>16</v>
      </c>
      <c r="H3364" t="s">
        <v>48</v>
      </c>
      <c r="I3364" t="s">
        <v>18</v>
      </c>
      <c r="J3364" t="s">
        <v>432</v>
      </c>
      <c r="K3364" s="1">
        <v>0.38365381944444443</v>
      </c>
      <c r="L3364">
        <f>YEAR(Coffe_sales[[#This Row],[Date]])</f>
        <v>2025</v>
      </c>
    </row>
    <row r="3365" spans="1:12" x14ac:dyDescent="0.2">
      <c r="A3365" t="s">
        <v>46</v>
      </c>
      <c r="B3365" t="s">
        <v>12</v>
      </c>
      <c r="C3365">
        <v>35.76</v>
      </c>
      <c r="D3365" t="s">
        <v>13</v>
      </c>
      <c r="E3365" t="s">
        <v>14</v>
      </c>
      <c r="F3365" t="s">
        <v>47</v>
      </c>
      <c r="G3365" t="s">
        <v>16</v>
      </c>
      <c r="H3365" t="s">
        <v>48</v>
      </c>
      <c r="I3365" t="s">
        <v>18</v>
      </c>
      <c r="J3365" t="s">
        <v>432</v>
      </c>
      <c r="K3365" s="1">
        <v>0.39380096064814812</v>
      </c>
      <c r="L3365">
        <f>YEAR(Coffe_sales[[#This Row],[Date]])</f>
        <v>2025</v>
      </c>
    </row>
    <row r="3366" spans="1:12" x14ac:dyDescent="0.2">
      <c r="A3366" t="s">
        <v>11</v>
      </c>
      <c r="B3366" t="s">
        <v>12</v>
      </c>
      <c r="C3366">
        <v>25.96</v>
      </c>
      <c r="D3366" t="s">
        <v>24</v>
      </c>
      <c r="E3366" t="s">
        <v>14</v>
      </c>
      <c r="F3366" t="s">
        <v>47</v>
      </c>
      <c r="G3366" t="s">
        <v>16</v>
      </c>
      <c r="H3366" t="s">
        <v>48</v>
      </c>
      <c r="I3366" t="s">
        <v>18</v>
      </c>
      <c r="J3366" t="s">
        <v>432</v>
      </c>
      <c r="K3366" s="1">
        <v>0.43539136574074072</v>
      </c>
      <c r="L3366">
        <f>YEAR(Coffe_sales[[#This Row],[Date]])</f>
        <v>2025</v>
      </c>
    </row>
    <row r="3367" spans="1:12" x14ac:dyDescent="0.2">
      <c r="A3367" t="s">
        <v>20</v>
      </c>
      <c r="B3367" t="s">
        <v>12</v>
      </c>
      <c r="C3367">
        <v>25.96</v>
      </c>
      <c r="D3367" t="s">
        <v>24</v>
      </c>
      <c r="E3367" t="s">
        <v>22</v>
      </c>
      <c r="F3367" t="s">
        <v>47</v>
      </c>
      <c r="G3367" t="s">
        <v>16</v>
      </c>
      <c r="H3367" t="s">
        <v>48</v>
      </c>
      <c r="I3367" t="s">
        <v>18</v>
      </c>
      <c r="J3367" t="s">
        <v>432</v>
      </c>
      <c r="K3367" s="1">
        <v>0.52315225694444445</v>
      </c>
      <c r="L3367">
        <f>YEAR(Coffe_sales[[#This Row],[Date]])</f>
        <v>2025</v>
      </c>
    </row>
    <row r="3368" spans="1:12" x14ac:dyDescent="0.2">
      <c r="A3368" t="s">
        <v>23</v>
      </c>
      <c r="B3368" t="s">
        <v>12</v>
      </c>
      <c r="C3368">
        <v>25.96</v>
      </c>
      <c r="D3368" t="s">
        <v>24</v>
      </c>
      <c r="E3368" t="s">
        <v>22</v>
      </c>
      <c r="F3368" t="s">
        <v>47</v>
      </c>
      <c r="G3368" t="s">
        <v>16</v>
      </c>
      <c r="H3368" t="s">
        <v>48</v>
      </c>
      <c r="I3368" t="s">
        <v>18</v>
      </c>
      <c r="J3368" t="s">
        <v>432</v>
      </c>
      <c r="K3368" s="1">
        <v>0.55341076388888888</v>
      </c>
      <c r="L3368">
        <f>YEAR(Coffe_sales[[#This Row],[Date]])</f>
        <v>2025</v>
      </c>
    </row>
    <row r="3369" spans="1:12" x14ac:dyDescent="0.2">
      <c r="A3369" t="s">
        <v>27</v>
      </c>
      <c r="B3369" t="s">
        <v>12</v>
      </c>
      <c r="C3369">
        <v>35.76</v>
      </c>
      <c r="D3369" t="s">
        <v>21</v>
      </c>
      <c r="E3369" t="s">
        <v>22</v>
      </c>
      <c r="F3369" t="s">
        <v>47</v>
      </c>
      <c r="G3369" t="s">
        <v>16</v>
      </c>
      <c r="H3369" t="s">
        <v>48</v>
      </c>
      <c r="I3369" t="s">
        <v>18</v>
      </c>
      <c r="J3369" t="s">
        <v>432</v>
      </c>
      <c r="K3369" s="1">
        <v>0.68716506944444444</v>
      </c>
      <c r="L3369">
        <f>YEAR(Coffe_sales[[#This Row],[Date]])</f>
        <v>2025</v>
      </c>
    </row>
    <row r="3370" spans="1:12" x14ac:dyDescent="0.2">
      <c r="A3370" t="s">
        <v>27</v>
      </c>
      <c r="B3370" t="s">
        <v>12</v>
      </c>
      <c r="C3370">
        <v>35.76</v>
      </c>
      <c r="D3370" t="s">
        <v>31</v>
      </c>
      <c r="E3370" t="s">
        <v>22</v>
      </c>
      <c r="F3370" t="s">
        <v>47</v>
      </c>
      <c r="G3370" t="s">
        <v>16</v>
      </c>
      <c r="H3370" t="s">
        <v>48</v>
      </c>
      <c r="I3370" t="s">
        <v>18</v>
      </c>
      <c r="J3370" t="s">
        <v>432</v>
      </c>
      <c r="K3370" s="1">
        <v>0.68768621527777773</v>
      </c>
      <c r="L3370">
        <f>YEAR(Coffe_sales[[#This Row],[Date]])</f>
        <v>2025</v>
      </c>
    </row>
    <row r="3371" spans="1:12" x14ac:dyDescent="0.2">
      <c r="A3371" t="s">
        <v>27</v>
      </c>
      <c r="B3371" t="s">
        <v>12</v>
      </c>
      <c r="C3371">
        <v>35.76</v>
      </c>
      <c r="D3371" t="s">
        <v>21</v>
      </c>
      <c r="E3371" t="s">
        <v>22</v>
      </c>
      <c r="F3371" t="s">
        <v>47</v>
      </c>
      <c r="G3371" t="s">
        <v>16</v>
      </c>
      <c r="H3371" t="s">
        <v>48</v>
      </c>
      <c r="I3371" t="s">
        <v>18</v>
      </c>
      <c r="J3371" t="s">
        <v>432</v>
      </c>
      <c r="K3371" s="1">
        <v>0.70116608796296298</v>
      </c>
      <c r="L3371">
        <f>YEAR(Coffe_sales[[#This Row],[Date]])</f>
        <v>2025</v>
      </c>
    </row>
    <row r="3372" spans="1:12" x14ac:dyDescent="0.2">
      <c r="A3372" t="s">
        <v>37</v>
      </c>
      <c r="B3372" t="s">
        <v>12</v>
      </c>
      <c r="C3372">
        <v>35.76</v>
      </c>
      <c r="D3372" t="s">
        <v>52</v>
      </c>
      <c r="E3372" t="s">
        <v>29</v>
      </c>
      <c r="F3372" t="s">
        <v>47</v>
      </c>
      <c r="G3372" t="s">
        <v>16</v>
      </c>
      <c r="H3372" t="s">
        <v>48</v>
      </c>
      <c r="I3372" t="s">
        <v>18</v>
      </c>
      <c r="J3372" t="s">
        <v>432</v>
      </c>
      <c r="K3372" s="1">
        <v>0.74085917824074077</v>
      </c>
      <c r="L3372">
        <f>YEAR(Coffe_sales[[#This Row],[Date]])</f>
        <v>2025</v>
      </c>
    </row>
    <row r="3373" spans="1:12" x14ac:dyDescent="0.2">
      <c r="A3373" t="s">
        <v>28</v>
      </c>
      <c r="B3373" t="s">
        <v>12</v>
      </c>
      <c r="C3373">
        <v>30.86</v>
      </c>
      <c r="D3373" t="s">
        <v>26</v>
      </c>
      <c r="E3373" t="s">
        <v>29</v>
      </c>
      <c r="F3373" t="s">
        <v>47</v>
      </c>
      <c r="G3373" t="s">
        <v>16</v>
      </c>
      <c r="H3373" t="s">
        <v>48</v>
      </c>
      <c r="I3373" t="s">
        <v>18</v>
      </c>
      <c r="J3373" t="s">
        <v>432</v>
      </c>
      <c r="K3373" s="1">
        <v>0.78949203703703708</v>
      </c>
      <c r="L3373">
        <f>YEAR(Coffe_sales[[#This Row],[Date]])</f>
        <v>2025</v>
      </c>
    </row>
    <row r="3374" spans="1:12" x14ac:dyDescent="0.2">
      <c r="A3374" t="s">
        <v>30</v>
      </c>
      <c r="B3374" t="s">
        <v>12</v>
      </c>
      <c r="C3374">
        <v>35.76</v>
      </c>
      <c r="D3374" t="s">
        <v>13</v>
      </c>
      <c r="E3374" t="s">
        <v>29</v>
      </c>
      <c r="F3374" t="s">
        <v>47</v>
      </c>
      <c r="G3374" t="s">
        <v>16</v>
      </c>
      <c r="H3374" t="s">
        <v>48</v>
      </c>
      <c r="I3374" t="s">
        <v>18</v>
      </c>
      <c r="J3374" t="s">
        <v>432</v>
      </c>
      <c r="K3374" s="1">
        <v>0.79669414351851853</v>
      </c>
      <c r="L3374">
        <f>YEAR(Coffe_sales[[#This Row],[Date]])</f>
        <v>2025</v>
      </c>
    </row>
    <row r="3375" spans="1:12" x14ac:dyDescent="0.2">
      <c r="A3375" t="s">
        <v>91</v>
      </c>
      <c r="B3375" t="s">
        <v>12</v>
      </c>
      <c r="C3375">
        <v>35.76</v>
      </c>
      <c r="D3375" t="s">
        <v>31</v>
      </c>
      <c r="E3375" t="s">
        <v>29</v>
      </c>
      <c r="F3375" t="s">
        <v>47</v>
      </c>
      <c r="G3375" t="s">
        <v>16</v>
      </c>
      <c r="H3375" t="s">
        <v>48</v>
      </c>
      <c r="I3375" t="s">
        <v>18</v>
      </c>
      <c r="J3375" t="s">
        <v>432</v>
      </c>
      <c r="K3375" s="1">
        <v>0.83954084490740744</v>
      </c>
      <c r="L3375">
        <f>YEAR(Coffe_sales[[#This Row],[Date]])</f>
        <v>2025</v>
      </c>
    </row>
    <row r="3376" spans="1:12" x14ac:dyDescent="0.2">
      <c r="A3376" t="s">
        <v>35</v>
      </c>
      <c r="B3376" t="s">
        <v>12</v>
      </c>
      <c r="C3376">
        <v>35.76</v>
      </c>
      <c r="D3376" t="s">
        <v>31</v>
      </c>
      <c r="E3376" t="s">
        <v>14</v>
      </c>
      <c r="F3376" t="s">
        <v>50</v>
      </c>
      <c r="G3376" t="s">
        <v>16</v>
      </c>
      <c r="H3376" t="s">
        <v>18</v>
      </c>
      <c r="I3376" t="s">
        <v>18</v>
      </c>
      <c r="J3376" t="s">
        <v>433</v>
      </c>
      <c r="K3376" s="1">
        <v>0.46642877314814812</v>
      </c>
      <c r="L3376">
        <f>YEAR(Coffe_sales[[#This Row],[Date]])</f>
        <v>2025</v>
      </c>
    </row>
    <row r="3377" spans="1:12" x14ac:dyDescent="0.2">
      <c r="A3377" t="s">
        <v>35</v>
      </c>
      <c r="B3377" t="s">
        <v>12</v>
      </c>
      <c r="C3377">
        <v>30.86</v>
      </c>
      <c r="D3377" t="s">
        <v>26</v>
      </c>
      <c r="E3377" t="s">
        <v>14</v>
      </c>
      <c r="F3377" t="s">
        <v>50</v>
      </c>
      <c r="G3377" t="s">
        <v>16</v>
      </c>
      <c r="H3377" t="s">
        <v>18</v>
      </c>
      <c r="I3377" t="s">
        <v>18</v>
      </c>
      <c r="J3377" t="s">
        <v>433</v>
      </c>
      <c r="K3377" s="1">
        <v>0.49136871527777776</v>
      </c>
      <c r="L3377">
        <f>YEAR(Coffe_sales[[#This Row],[Date]])</f>
        <v>2025</v>
      </c>
    </row>
    <row r="3378" spans="1:12" x14ac:dyDescent="0.2">
      <c r="A3378" t="s">
        <v>35</v>
      </c>
      <c r="B3378" t="s">
        <v>12</v>
      </c>
      <c r="C3378">
        <v>35.76</v>
      </c>
      <c r="D3378" t="s">
        <v>52</v>
      </c>
      <c r="E3378" t="s">
        <v>14</v>
      </c>
      <c r="F3378" t="s">
        <v>50</v>
      </c>
      <c r="G3378" t="s">
        <v>16</v>
      </c>
      <c r="H3378" t="s">
        <v>18</v>
      </c>
      <c r="I3378" t="s">
        <v>18</v>
      </c>
      <c r="J3378" t="s">
        <v>433</v>
      </c>
      <c r="K3378" s="1">
        <v>0.49323378472222223</v>
      </c>
      <c r="L3378">
        <f>YEAR(Coffe_sales[[#This Row],[Date]])</f>
        <v>2025</v>
      </c>
    </row>
    <row r="3379" spans="1:12" x14ac:dyDescent="0.2">
      <c r="A3379" t="s">
        <v>35</v>
      </c>
      <c r="B3379" t="s">
        <v>12</v>
      </c>
      <c r="C3379">
        <v>25.96</v>
      </c>
      <c r="D3379" t="s">
        <v>24</v>
      </c>
      <c r="E3379" t="s">
        <v>14</v>
      </c>
      <c r="F3379" t="s">
        <v>50</v>
      </c>
      <c r="G3379" t="s">
        <v>16</v>
      </c>
      <c r="H3379" t="s">
        <v>18</v>
      </c>
      <c r="I3379" t="s">
        <v>18</v>
      </c>
      <c r="J3379" t="s">
        <v>433</v>
      </c>
      <c r="K3379" s="1">
        <v>0.4971742939814815</v>
      </c>
      <c r="L3379">
        <f>YEAR(Coffe_sales[[#This Row],[Date]])</f>
        <v>2025</v>
      </c>
    </row>
    <row r="3380" spans="1:12" x14ac:dyDescent="0.2">
      <c r="A3380" t="s">
        <v>35</v>
      </c>
      <c r="B3380" t="s">
        <v>12</v>
      </c>
      <c r="C3380">
        <v>25.96</v>
      </c>
      <c r="D3380" t="s">
        <v>24</v>
      </c>
      <c r="E3380" t="s">
        <v>14</v>
      </c>
      <c r="F3380" t="s">
        <v>50</v>
      </c>
      <c r="G3380" t="s">
        <v>16</v>
      </c>
      <c r="H3380" t="s">
        <v>18</v>
      </c>
      <c r="I3380" t="s">
        <v>18</v>
      </c>
      <c r="J3380" t="s">
        <v>433</v>
      </c>
      <c r="K3380" s="1">
        <v>0.49778818287037035</v>
      </c>
      <c r="L3380">
        <f>YEAR(Coffe_sales[[#This Row],[Date]])</f>
        <v>2025</v>
      </c>
    </row>
    <row r="3381" spans="1:12" x14ac:dyDescent="0.2">
      <c r="A3381" t="s">
        <v>20</v>
      </c>
      <c r="B3381" t="s">
        <v>12</v>
      </c>
      <c r="C3381">
        <v>25.96</v>
      </c>
      <c r="D3381" t="s">
        <v>24</v>
      </c>
      <c r="E3381" t="s">
        <v>22</v>
      </c>
      <c r="F3381" t="s">
        <v>50</v>
      </c>
      <c r="G3381" t="s">
        <v>16</v>
      </c>
      <c r="H3381" t="s">
        <v>18</v>
      </c>
      <c r="I3381" t="s">
        <v>18</v>
      </c>
      <c r="J3381" t="s">
        <v>433</v>
      </c>
      <c r="K3381" s="1">
        <v>0.50429465277777774</v>
      </c>
      <c r="L3381">
        <f>YEAR(Coffe_sales[[#This Row],[Date]])</f>
        <v>2025</v>
      </c>
    </row>
    <row r="3382" spans="1:12" x14ac:dyDescent="0.2">
      <c r="A3382" t="s">
        <v>20</v>
      </c>
      <c r="B3382" t="s">
        <v>12</v>
      </c>
      <c r="C3382">
        <v>35.76</v>
      </c>
      <c r="D3382" t="s">
        <v>21</v>
      </c>
      <c r="E3382" t="s">
        <v>22</v>
      </c>
      <c r="F3382" t="s">
        <v>50</v>
      </c>
      <c r="G3382" t="s">
        <v>16</v>
      </c>
      <c r="H3382" t="s">
        <v>18</v>
      </c>
      <c r="I3382" t="s">
        <v>18</v>
      </c>
      <c r="J3382" t="s">
        <v>433</v>
      </c>
      <c r="K3382" s="1">
        <v>0.53863902777777772</v>
      </c>
      <c r="L3382">
        <f>YEAR(Coffe_sales[[#This Row],[Date]])</f>
        <v>2025</v>
      </c>
    </row>
    <row r="3383" spans="1:12" x14ac:dyDescent="0.2">
      <c r="A3383" t="s">
        <v>23</v>
      </c>
      <c r="B3383" t="s">
        <v>12</v>
      </c>
      <c r="C3383">
        <v>35.76</v>
      </c>
      <c r="D3383" t="s">
        <v>13</v>
      </c>
      <c r="E3383" t="s">
        <v>22</v>
      </c>
      <c r="F3383" t="s">
        <v>50</v>
      </c>
      <c r="G3383" t="s">
        <v>16</v>
      </c>
      <c r="H3383" t="s">
        <v>18</v>
      </c>
      <c r="I3383" t="s">
        <v>18</v>
      </c>
      <c r="J3383" t="s">
        <v>433</v>
      </c>
      <c r="K3383" s="1">
        <v>0.54293181712962968</v>
      </c>
      <c r="L3383">
        <f>YEAR(Coffe_sales[[#This Row],[Date]])</f>
        <v>2025</v>
      </c>
    </row>
    <row r="3384" spans="1:12" x14ac:dyDescent="0.2">
      <c r="A3384" t="s">
        <v>23</v>
      </c>
      <c r="B3384" t="s">
        <v>12</v>
      </c>
      <c r="C3384">
        <v>35.76</v>
      </c>
      <c r="D3384" t="s">
        <v>13</v>
      </c>
      <c r="E3384" t="s">
        <v>22</v>
      </c>
      <c r="F3384" t="s">
        <v>50</v>
      </c>
      <c r="G3384" t="s">
        <v>16</v>
      </c>
      <c r="H3384" t="s">
        <v>18</v>
      </c>
      <c r="I3384" t="s">
        <v>18</v>
      </c>
      <c r="J3384" t="s">
        <v>433</v>
      </c>
      <c r="K3384" s="1">
        <v>0.58082917824074076</v>
      </c>
      <c r="L3384">
        <f>YEAR(Coffe_sales[[#This Row],[Date]])</f>
        <v>2025</v>
      </c>
    </row>
    <row r="3385" spans="1:12" x14ac:dyDescent="0.2">
      <c r="A3385" t="s">
        <v>27</v>
      </c>
      <c r="B3385" t="s">
        <v>12</v>
      </c>
      <c r="C3385">
        <v>35.76</v>
      </c>
      <c r="D3385" t="s">
        <v>52</v>
      </c>
      <c r="E3385" t="s">
        <v>22</v>
      </c>
      <c r="F3385" t="s">
        <v>50</v>
      </c>
      <c r="G3385" t="s">
        <v>16</v>
      </c>
      <c r="H3385" t="s">
        <v>18</v>
      </c>
      <c r="I3385" t="s">
        <v>18</v>
      </c>
      <c r="J3385" t="s">
        <v>433</v>
      </c>
      <c r="K3385" s="1">
        <v>0.68584700231481477</v>
      </c>
      <c r="L3385">
        <f>YEAR(Coffe_sales[[#This Row],[Date]])</f>
        <v>2025</v>
      </c>
    </row>
    <row r="3386" spans="1:12" x14ac:dyDescent="0.2">
      <c r="A3386" t="s">
        <v>27</v>
      </c>
      <c r="B3386" t="s">
        <v>12</v>
      </c>
      <c r="C3386">
        <v>35.76</v>
      </c>
      <c r="D3386" t="s">
        <v>13</v>
      </c>
      <c r="E3386" t="s">
        <v>22</v>
      </c>
      <c r="F3386" t="s">
        <v>50</v>
      </c>
      <c r="G3386" t="s">
        <v>16</v>
      </c>
      <c r="H3386" t="s">
        <v>18</v>
      </c>
      <c r="I3386" t="s">
        <v>18</v>
      </c>
      <c r="J3386" t="s">
        <v>433</v>
      </c>
      <c r="K3386" s="1">
        <v>0.69101828703703705</v>
      </c>
      <c r="L3386">
        <f>YEAR(Coffe_sales[[#This Row],[Date]])</f>
        <v>2025</v>
      </c>
    </row>
    <row r="3387" spans="1:12" x14ac:dyDescent="0.2">
      <c r="A3387" t="s">
        <v>27</v>
      </c>
      <c r="B3387" t="s">
        <v>12</v>
      </c>
      <c r="C3387">
        <v>35.76</v>
      </c>
      <c r="D3387" t="s">
        <v>13</v>
      </c>
      <c r="E3387" t="s">
        <v>22</v>
      </c>
      <c r="F3387" t="s">
        <v>50</v>
      </c>
      <c r="G3387" t="s">
        <v>16</v>
      </c>
      <c r="H3387" t="s">
        <v>18</v>
      </c>
      <c r="I3387" t="s">
        <v>18</v>
      </c>
      <c r="J3387" t="s">
        <v>433</v>
      </c>
      <c r="K3387" s="1">
        <v>0.69167425925925929</v>
      </c>
      <c r="L3387">
        <f>YEAR(Coffe_sales[[#This Row],[Date]])</f>
        <v>2025</v>
      </c>
    </row>
    <row r="3388" spans="1:12" x14ac:dyDescent="0.2">
      <c r="A3388" t="s">
        <v>28</v>
      </c>
      <c r="B3388" t="s">
        <v>12</v>
      </c>
      <c r="C3388">
        <v>25.96</v>
      </c>
      <c r="D3388" t="s">
        <v>24</v>
      </c>
      <c r="E3388" t="s">
        <v>29</v>
      </c>
      <c r="F3388" t="s">
        <v>50</v>
      </c>
      <c r="G3388" t="s">
        <v>16</v>
      </c>
      <c r="H3388" t="s">
        <v>18</v>
      </c>
      <c r="I3388" t="s">
        <v>18</v>
      </c>
      <c r="J3388" t="s">
        <v>433</v>
      </c>
      <c r="K3388" s="1">
        <v>0.75734038194444442</v>
      </c>
      <c r="L3388">
        <f>YEAR(Coffe_sales[[#This Row],[Date]])</f>
        <v>2025</v>
      </c>
    </row>
    <row r="3389" spans="1:12" x14ac:dyDescent="0.2">
      <c r="A3389" t="s">
        <v>28</v>
      </c>
      <c r="B3389" t="s">
        <v>12</v>
      </c>
      <c r="C3389">
        <v>35.76</v>
      </c>
      <c r="D3389" t="s">
        <v>31</v>
      </c>
      <c r="E3389" t="s">
        <v>29</v>
      </c>
      <c r="F3389" t="s">
        <v>50</v>
      </c>
      <c r="G3389" t="s">
        <v>16</v>
      </c>
      <c r="H3389" t="s">
        <v>18</v>
      </c>
      <c r="I3389" t="s">
        <v>18</v>
      </c>
      <c r="J3389" t="s">
        <v>433</v>
      </c>
      <c r="K3389" s="1">
        <v>0.76201208333333337</v>
      </c>
      <c r="L3389">
        <f>YEAR(Coffe_sales[[#This Row],[Date]])</f>
        <v>2025</v>
      </c>
    </row>
    <row r="3390" spans="1:12" x14ac:dyDescent="0.2">
      <c r="A3390" t="s">
        <v>28</v>
      </c>
      <c r="B3390" t="s">
        <v>12</v>
      </c>
      <c r="C3390">
        <v>25.96</v>
      </c>
      <c r="D3390" t="s">
        <v>24</v>
      </c>
      <c r="E3390" t="s">
        <v>29</v>
      </c>
      <c r="F3390" t="s">
        <v>50</v>
      </c>
      <c r="G3390" t="s">
        <v>16</v>
      </c>
      <c r="H3390" t="s">
        <v>18</v>
      </c>
      <c r="I3390" t="s">
        <v>18</v>
      </c>
      <c r="J3390" t="s">
        <v>433</v>
      </c>
      <c r="K3390" s="1">
        <v>0.7671353125</v>
      </c>
      <c r="L3390">
        <f>YEAR(Coffe_sales[[#This Row],[Date]])</f>
        <v>2025</v>
      </c>
    </row>
    <row r="3391" spans="1:12" x14ac:dyDescent="0.2">
      <c r="A3391" t="s">
        <v>28</v>
      </c>
      <c r="B3391" t="s">
        <v>12</v>
      </c>
      <c r="C3391">
        <v>35.76</v>
      </c>
      <c r="D3391" t="s">
        <v>52</v>
      </c>
      <c r="E3391" t="s">
        <v>29</v>
      </c>
      <c r="F3391" t="s">
        <v>50</v>
      </c>
      <c r="G3391" t="s">
        <v>16</v>
      </c>
      <c r="H3391" t="s">
        <v>18</v>
      </c>
      <c r="I3391" t="s">
        <v>18</v>
      </c>
      <c r="J3391" t="s">
        <v>433</v>
      </c>
      <c r="K3391" s="1">
        <v>0.77704453703703702</v>
      </c>
      <c r="L3391">
        <f>YEAR(Coffe_sales[[#This Row],[Date]])</f>
        <v>2025</v>
      </c>
    </row>
    <row r="3392" spans="1:12" x14ac:dyDescent="0.2">
      <c r="A3392" t="s">
        <v>28</v>
      </c>
      <c r="B3392" t="s">
        <v>12</v>
      </c>
      <c r="C3392">
        <v>25.96</v>
      </c>
      <c r="D3392" t="s">
        <v>24</v>
      </c>
      <c r="E3392" t="s">
        <v>29</v>
      </c>
      <c r="F3392" t="s">
        <v>50</v>
      </c>
      <c r="G3392" t="s">
        <v>16</v>
      </c>
      <c r="H3392" t="s">
        <v>18</v>
      </c>
      <c r="I3392" t="s">
        <v>18</v>
      </c>
      <c r="J3392" t="s">
        <v>433</v>
      </c>
      <c r="K3392" s="1">
        <v>0.77932472222222227</v>
      </c>
      <c r="L3392">
        <f>YEAR(Coffe_sales[[#This Row],[Date]])</f>
        <v>2025</v>
      </c>
    </row>
    <row r="3393" spans="1:12" x14ac:dyDescent="0.2">
      <c r="A3393" t="s">
        <v>39</v>
      </c>
      <c r="B3393" t="s">
        <v>12</v>
      </c>
      <c r="C3393">
        <v>35.76</v>
      </c>
      <c r="D3393" t="s">
        <v>52</v>
      </c>
      <c r="E3393" t="s">
        <v>14</v>
      </c>
      <c r="F3393" t="s">
        <v>53</v>
      </c>
      <c r="G3393" t="s">
        <v>16</v>
      </c>
      <c r="H3393" t="s">
        <v>54</v>
      </c>
      <c r="I3393" t="s">
        <v>18</v>
      </c>
      <c r="J3393" t="s">
        <v>434</v>
      </c>
      <c r="K3393" s="1">
        <v>0.2927825</v>
      </c>
      <c r="L3393">
        <f>YEAR(Coffe_sales[[#This Row],[Date]])</f>
        <v>2025</v>
      </c>
    </row>
    <row r="3394" spans="1:12" x14ac:dyDescent="0.2">
      <c r="A3394" t="s">
        <v>123</v>
      </c>
      <c r="B3394" t="s">
        <v>12</v>
      </c>
      <c r="C3394">
        <v>30.86</v>
      </c>
      <c r="D3394" t="s">
        <v>26</v>
      </c>
      <c r="E3394" t="s">
        <v>14</v>
      </c>
      <c r="F3394" t="s">
        <v>53</v>
      </c>
      <c r="G3394" t="s">
        <v>16</v>
      </c>
      <c r="H3394" t="s">
        <v>54</v>
      </c>
      <c r="I3394" t="s">
        <v>18</v>
      </c>
      <c r="J3394" t="s">
        <v>434</v>
      </c>
      <c r="K3394" s="1">
        <v>0.34950782407407405</v>
      </c>
      <c r="L3394">
        <f>YEAR(Coffe_sales[[#This Row],[Date]])</f>
        <v>2025</v>
      </c>
    </row>
    <row r="3395" spans="1:12" x14ac:dyDescent="0.2">
      <c r="A3395" t="s">
        <v>46</v>
      </c>
      <c r="B3395" t="s">
        <v>12</v>
      </c>
      <c r="C3395">
        <v>30.86</v>
      </c>
      <c r="D3395" t="s">
        <v>26</v>
      </c>
      <c r="E3395" t="s">
        <v>14</v>
      </c>
      <c r="F3395" t="s">
        <v>53</v>
      </c>
      <c r="G3395" t="s">
        <v>16</v>
      </c>
      <c r="H3395" t="s">
        <v>54</v>
      </c>
      <c r="I3395" t="s">
        <v>18</v>
      </c>
      <c r="J3395" t="s">
        <v>434</v>
      </c>
      <c r="K3395" s="1">
        <v>0.37832504629629632</v>
      </c>
      <c r="L3395">
        <f>YEAR(Coffe_sales[[#This Row],[Date]])</f>
        <v>2025</v>
      </c>
    </row>
    <row r="3396" spans="1:12" x14ac:dyDescent="0.2">
      <c r="A3396" t="s">
        <v>46</v>
      </c>
      <c r="B3396" t="s">
        <v>12</v>
      </c>
      <c r="C3396">
        <v>35.76</v>
      </c>
      <c r="D3396" t="s">
        <v>13</v>
      </c>
      <c r="E3396" t="s">
        <v>14</v>
      </c>
      <c r="F3396" t="s">
        <v>53</v>
      </c>
      <c r="G3396" t="s">
        <v>16</v>
      </c>
      <c r="H3396" t="s">
        <v>54</v>
      </c>
      <c r="I3396" t="s">
        <v>18</v>
      </c>
      <c r="J3396" t="s">
        <v>434</v>
      </c>
      <c r="K3396" s="1">
        <v>0.38899844907407405</v>
      </c>
      <c r="L3396">
        <f>YEAR(Coffe_sales[[#This Row],[Date]])</f>
        <v>2025</v>
      </c>
    </row>
    <row r="3397" spans="1:12" x14ac:dyDescent="0.2">
      <c r="A3397" t="s">
        <v>46</v>
      </c>
      <c r="B3397" t="s">
        <v>12</v>
      </c>
      <c r="C3397">
        <v>21.06</v>
      </c>
      <c r="D3397" t="s">
        <v>45</v>
      </c>
      <c r="E3397" t="s">
        <v>14</v>
      </c>
      <c r="F3397" t="s">
        <v>53</v>
      </c>
      <c r="G3397" t="s">
        <v>16</v>
      </c>
      <c r="H3397" t="s">
        <v>54</v>
      </c>
      <c r="I3397" t="s">
        <v>18</v>
      </c>
      <c r="J3397" t="s">
        <v>434</v>
      </c>
      <c r="K3397" s="1">
        <v>0.39033126157407405</v>
      </c>
      <c r="L3397">
        <f>YEAR(Coffe_sales[[#This Row],[Date]])</f>
        <v>2025</v>
      </c>
    </row>
    <row r="3398" spans="1:12" x14ac:dyDescent="0.2">
      <c r="A3398" t="s">
        <v>46</v>
      </c>
      <c r="B3398" t="s">
        <v>12</v>
      </c>
      <c r="C3398">
        <v>25.96</v>
      </c>
      <c r="D3398" t="s">
        <v>24</v>
      </c>
      <c r="E3398" t="s">
        <v>14</v>
      </c>
      <c r="F3398" t="s">
        <v>53</v>
      </c>
      <c r="G3398" t="s">
        <v>16</v>
      </c>
      <c r="H3398" t="s">
        <v>54</v>
      </c>
      <c r="I3398" t="s">
        <v>18</v>
      </c>
      <c r="J3398" t="s">
        <v>434</v>
      </c>
      <c r="K3398" s="1">
        <v>0.40161605324074073</v>
      </c>
      <c r="L3398">
        <f>YEAR(Coffe_sales[[#This Row],[Date]])</f>
        <v>2025</v>
      </c>
    </row>
    <row r="3399" spans="1:12" x14ac:dyDescent="0.2">
      <c r="A3399" t="s">
        <v>46</v>
      </c>
      <c r="B3399" t="s">
        <v>12</v>
      </c>
      <c r="C3399">
        <v>30.86</v>
      </c>
      <c r="D3399" t="s">
        <v>26</v>
      </c>
      <c r="E3399" t="s">
        <v>14</v>
      </c>
      <c r="F3399" t="s">
        <v>53</v>
      </c>
      <c r="G3399" t="s">
        <v>16</v>
      </c>
      <c r="H3399" t="s">
        <v>54</v>
      </c>
      <c r="I3399" t="s">
        <v>18</v>
      </c>
      <c r="J3399" t="s">
        <v>434</v>
      </c>
      <c r="K3399" s="1">
        <v>0.40225217592592594</v>
      </c>
      <c r="L3399">
        <f>YEAR(Coffe_sales[[#This Row],[Date]])</f>
        <v>2025</v>
      </c>
    </row>
    <row r="3400" spans="1:12" x14ac:dyDescent="0.2">
      <c r="A3400" t="s">
        <v>35</v>
      </c>
      <c r="B3400" t="s">
        <v>12</v>
      </c>
      <c r="C3400">
        <v>25.96</v>
      </c>
      <c r="D3400" t="s">
        <v>24</v>
      </c>
      <c r="E3400" t="s">
        <v>14</v>
      </c>
      <c r="F3400" t="s">
        <v>53</v>
      </c>
      <c r="G3400" t="s">
        <v>16</v>
      </c>
      <c r="H3400" t="s">
        <v>54</v>
      </c>
      <c r="I3400" t="s">
        <v>18</v>
      </c>
      <c r="J3400" t="s">
        <v>434</v>
      </c>
      <c r="K3400" s="1">
        <v>0.47086005787037039</v>
      </c>
      <c r="L3400">
        <f>YEAR(Coffe_sales[[#This Row],[Date]])</f>
        <v>2025</v>
      </c>
    </row>
    <row r="3401" spans="1:12" x14ac:dyDescent="0.2">
      <c r="A3401" t="s">
        <v>20</v>
      </c>
      <c r="B3401" t="s">
        <v>12</v>
      </c>
      <c r="C3401">
        <v>35.76</v>
      </c>
      <c r="D3401" t="s">
        <v>13</v>
      </c>
      <c r="E3401" t="s">
        <v>22</v>
      </c>
      <c r="F3401" t="s">
        <v>53</v>
      </c>
      <c r="G3401" t="s">
        <v>16</v>
      </c>
      <c r="H3401" t="s">
        <v>54</v>
      </c>
      <c r="I3401" t="s">
        <v>18</v>
      </c>
      <c r="J3401" t="s">
        <v>434</v>
      </c>
      <c r="K3401" s="1">
        <v>0.50946024305555559</v>
      </c>
      <c r="L3401">
        <f>YEAR(Coffe_sales[[#This Row],[Date]])</f>
        <v>2025</v>
      </c>
    </row>
    <row r="3402" spans="1:12" x14ac:dyDescent="0.2">
      <c r="A3402" t="s">
        <v>36</v>
      </c>
      <c r="B3402" t="s">
        <v>12</v>
      </c>
      <c r="C3402">
        <v>30.86</v>
      </c>
      <c r="D3402" t="s">
        <v>26</v>
      </c>
      <c r="E3402" t="s">
        <v>22</v>
      </c>
      <c r="F3402" t="s">
        <v>53</v>
      </c>
      <c r="G3402" t="s">
        <v>16</v>
      </c>
      <c r="H3402" t="s">
        <v>54</v>
      </c>
      <c r="I3402" t="s">
        <v>18</v>
      </c>
      <c r="J3402" t="s">
        <v>434</v>
      </c>
      <c r="K3402" s="1">
        <v>0.62071767361111108</v>
      </c>
      <c r="L3402">
        <f>YEAR(Coffe_sales[[#This Row],[Date]])</f>
        <v>2025</v>
      </c>
    </row>
    <row r="3403" spans="1:12" x14ac:dyDescent="0.2">
      <c r="A3403" t="s">
        <v>36</v>
      </c>
      <c r="B3403" t="s">
        <v>12</v>
      </c>
      <c r="C3403">
        <v>25.96</v>
      </c>
      <c r="D3403" t="s">
        <v>24</v>
      </c>
      <c r="E3403" t="s">
        <v>22</v>
      </c>
      <c r="F3403" t="s">
        <v>53</v>
      </c>
      <c r="G3403" t="s">
        <v>16</v>
      </c>
      <c r="H3403" t="s">
        <v>54</v>
      </c>
      <c r="I3403" t="s">
        <v>18</v>
      </c>
      <c r="J3403" t="s">
        <v>434</v>
      </c>
      <c r="K3403" s="1">
        <v>0.6218929861111111</v>
      </c>
      <c r="L3403">
        <f>YEAR(Coffe_sales[[#This Row],[Date]])</f>
        <v>2025</v>
      </c>
    </row>
    <row r="3404" spans="1:12" x14ac:dyDescent="0.2">
      <c r="A3404" t="s">
        <v>28</v>
      </c>
      <c r="B3404" t="s">
        <v>12</v>
      </c>
      <c r="C3404">
        <v>35.76</v>
      </c>
      <c r="D3404" t="s">
        <v>52</v>
      </c>
      <c r="E3404" t="s">
        <v>29</v>
      </c>
      <c r="F3404" t="s">
        <v>53</v>
      </c>
      <c r="G3404" t="s">
        <v>16</v>
      </c>
      <c r="H3404" t="s">
        <v>54</v>
      </c>
      <c r="I3404" t="s">
        <v>18</v>
      </c>
      <c r="J3404" t="s">
        <v>434</v>
      </c>
      <c r="K3404" s="1">
        <v>0.78314403935185184</v>
      </c>
      <c r="L3404">
        <f>YEAR(Coffe_sales[[#This Row],[Date]])</f>
        <v>2025</v>
      </c>
    </row>
    <row r="3405" spans="1:12" x14ac:dyDescent="0.2">
      <c r="A3405" t="s">
        <v>39</v>
      </c>
      <c r="B3405" t="s">
        <v>12</v>
      </c>
      <c r="C3405">
        <v>25.96</v>
      </c>
      <c r="D3405" t="s">
        <v>24</v>
      </c>
      <c r="E3405" t="s">
        <v>14</v>
      </c>
      <c r="F3405" t="s">
        <v>15</v>
      </c>
      <c r="G3405" t="s">
        <v>16</v>
      </c>
      <c r="H3405" t="s">
        <v>17</v>
      </c>
      <c r="I3405" t="s">
        <v>18</v>
      </c>
      <c r="J3405" t="s">
        <v>435</v>
      </c>
      <c r="K3405" s="1">
        <v>0.32993</v>
      </c>
      <c r="L3405">
        <f>YEAR(Coffe_sales[[#This Row],[Date]])</f>
        <v>2025</v>
      </c>
    </row>
    <row r="3406" spans="1:12" x14ac:dyDescent="0.2">
      <c r="A3406" t="s">
        <v>123</v>
      </c>
      <c r="B3406" t="s">
        <v>12</v>
      </c>
      <c r="C3406">
        <v>30.86</v>
      </c>
      <c r="D3406" t="s">
        <v>26</v>
      </c>
      <c r="E3406" t="s">
        <v>14</v>
      </c>
      <c r="F3406" t="s">
        <v>15</v>
      </c>
      <c r="G3406" t="s">
        <v>16</v>
      </c>
      <c r="H3406" t="s">
        <v>17</v>
      </c>
      <c r="I3406" t="s">
        <v>18</v>
      </c>
      <c r="J3406" t="s">
        <v>435</v>
      </c>
      <c r="K3406" s="1">
        <v>0.3428262037037037</v>
      </c>
      <c r="L3406">
        <f>YEAR(Coffe_sales[[#This Row],[Date]])</f>
        <v>2025</v>
      </c>
    </row>
    <row r="3407" spans="1:12" x14ac:dyDescent="0.2">
      <c r="A3407" t="s">
        <v>123</v>
      </c>
      <c r="B3407" t="s">
        <v>12</v>
      </c>
      <c r="C3407">
        <v>25.96</v>
      </c>
      <c r="D3407" t="s">
        <v>24</v>
      </c>
      <c r="E3407" t="s">
        <v>14</v>
      </c>
      <c r="F3407" t="s">
        <v>15</v>
      </c>
      <c r="G3407" t="s">
        <v>16</v>
      </c>
      <c r="H3407" t="s">
        <v>17</v>
      </c>
      <c r="I3407" t="s">
        <v>18</v>
      </c>
      <c r="J3407" t="s">
        <v>435</v>
      </c>
      <c r="K3407" s="1">
        <v>0.3746160648148148</v>
      </c>
      <c r="L3407">
        <f>YEAR(Coffe_sales[[#This Row],[Date]])</f>
        <v>2025</v>
      </c>
    </row>
    <row r="3408" spans="1:12" x14ac:dyDescent="0.2">
      <c r="A3408" t="s">
        <v>46</v>
      </c>
      <c r="B3408" t="s">
        <v>12</v>
      </c>
      <c r="C3408">
        <v>35.76</v>
      </c>
      <c r="D3408" t="s">
        <v>13</v>
      </c>
      <c r="E3408" t="s">
        <v>14</v>
      </c>
      <c r="F3408" t="s">
        <v>15</v>
      </c>
      <c r="G3408" t="s">
        <v>16</v>
      </c>
      <c r="H3408" t="s">
        <v>17</v>
      </c>
      <c r="I3408" t="s">
        <v>18</v>
      </c>
      <c r="J3408" t="s">
        <v>435</v>
      </c>
      <c r="K3408" s="1">
        <v>0.37534586805555553</v>
      </c>
      <c r="L3408">
        <f>YEAR(Coffe_sales[[#This Row],[Date]])</f>
        <v>2025</v>
      </c>
    </row>
    <row r="3409" spans="1:12" x14ac:dyDescent="0.2">
      <c r="A3409" t="s">
        <v>46</v>
      </c>
      <c r="B3409" t="s">
        <v>12</v>
      </c>
      <c r="C3409">
        <v>21.06</v>
      </c>
      <c r="D3409" t="s">
        <v>45</v>
      </c>
      <c r="E3409" t="s">
        <v>14</v>
      </c>
      <c r="F3409" t="s">
        <v>15</v>
      </c>
      <c r="G3409" t="s">
        <v>16</v>
      </c>
      <c r="H3409" t="s">
        <v>17</v>
      </c>
      <c r="I3409" t="s">
        <v>18</v>
      </c>
      <c r="J3409" t="s">
        <v>435</v>
      </c>
      <c r="K3409" s="1">
        <v>0.39314703703703702</v>
      </c>
      <c r="L3409">
        <f>YEAR(Coffe_sales[[#This Row],[Date]])</f>
        <v>2025</v>
      </c>
    </row>
    <row r="3410" spans="1:12" x14ac:dyDescent="0.2">
      <c r="A3410" t="s">
        <v>46</v>
      </c>
      <c r="B3410" t="s">
        <v>12</v>
      </c>
      <c r="C3410">
        <v>25.96</v>
      </c>
      <c r="D3410" t="s">
        <v>24</v>
      </c>
      <c r="E3410" t="s">
        <v>14</v>
      </c>
      <c r="F3410" t="s">
        <v>15</v>
      </c>
      <c r="G3410" t="s">
        <v>16</v>
      </c>
      <c r="H3410" t="s">
        <v>17</v>
      </c>
      <c r="I3410" t="s">
        <v>18</v>
      </c>
      <c r="J3410" t="s">
        <v>435</v>
      </c>
      <c r="K3410" s="1">
        <v>0.39487501157407406</v>
      </c>
      <c r="L3410">
        <f>YEAR(Coffe_sales[[#This Row],[Date]])</f>
        <v>2025</v>
      </c>
    </row>
    <row r="3411" spans="1:12" x14ac:dyDescent="0.2">
      <c r="A3411" t="s">
        <v>11</v>
      </c>
      <c r="B3411" t="s">
        <v>12</v>
      </c>
      <c r="C3411">
        <v>25.96</v>
      </c>
      <c r="D3411" t="s">
        <v>24</v>
      </c>
      <c r="E3411" t="s">
        <v>14</v>
      </c>
      <c r="F3411" t="s">
        <v>15</v>
      </c>
      <c r="G3411" t="s">
        <v>16</v>
      </c>
      <c r="H3411" t="s">
        <v>17</v>
      </c>
      <c r="I3411" t="s">
        <v>18</v>
      </c>
      <c r="J3411" t="s">
        <v>435</v>
      </c>
      <c r="K3411" s="1">
        <v>0.43114982638888888</v>
      </c>
      <c r="L3411">
        <f>YEAR(Coffe_sales[[#This Row],[Date]])</f>
        <v>2025</v>
      </c>
    </row>
    <row r="3412" spans="1:12" x14ac:dyDescent="0.2">
      <c r="A3412" t="s">
        <v>11</v>
      </c>
      <c r="B3412" t="s">
        <v>12</v>
      </c>
      <c r="C3412">
        <v>35.76</v>
      </c>
      <c r="D3412" t="s">
        <v>13</v>
      </c>
      <c r="E3412" t="s">
        <v>14</v>
      </c>
      <c r="F3412" t="s">
        <v>15</v>
      </c>
      <c r="G3412" t="s">
        <v>16</v>
      </c>
      <c r="H3412" t="s">
        <v>17</v>
      </c>
      <c r="I3412" t="s">
        <v>18</v>
      </c>
      <c r="J3412" t="s">
        <v>435</v>
      </c>
      <c r="K3412" s="1">
        <v>0.4502639351851852</v>
      </c>
      <c r="L3412">
        <f>YEAR(Coffe_sales[[#This Row],[Date]])</f>
        <v>2025</v>
      </c>
    </row>
    <row r="3413" spans="1:12" x14ac:dyDescent="0.2">
      <c r="A3413" t="s">
        <v>11</v>
      </c>
      <c r="B3413" t="s">
        <v>12</v>
      </c>
      <c r="C3413">
        <v>35.76</v>
      </c>
      <c r="D3413" t="s">
        <v>52</v>
      </c>
      <c r="E3413" t="s">
        <v>14</v>
      </c>
      <c r="F3413" t="s">
        <v>15</v>
      </c>
      <c r="G3413" t="s">
        <v>16</v>
      </c>
      <c r="H3413" t="s">
        <v>17</v>
      </c>
      <c r="I3413" t="s">
        <v>18</v>
      </c>
      <c r="J3413" t="s">
        <v>435</v>
      </c>
      <c r="K3413" s="1">
        <v>0.45101615740740741</v>
      </c>
      <c r="L3413">
        <f>YEAR(Coffe_sales[[#This Row],[Date]])</f>
        <v>2025</v>
      </c>
    </row>
    <row r="3414" spans="1:12" x14ac:dyDescent="0.2">
      <c r="A3414" t="s">
        <v>36</v>
      </c>
      <c r="B3414" t="s">
        <v>12</v>
      </c>
      <c r="C3414">
        <v>25.96</v>
      </c>
      <c r="D3414" t="s">
        <v>24</v>
      </c>
      <c r="E3414" t="s">
        <v>22</v>
      </c>
      <c r="F3414" t="s">
        <v>15</v>
      </c>
      <c r="G3414" t="s">
        <v>16</v>
      </c>
      <c r="H3414" t="s">
        <v>17</v>
      </c>
      <c r="I3414" t="s">
        <v>18</v>
      </c>
      <c r="J3414" t="s">
        <v>435</v>
      </c>
      <c r="K3414" s="1">
        <v>0.60783891203703699</v>
      </c>
      <c r="L3414">
        <f>YEAR(Coffe_sales[[#This Row],[Date]])</f>
        <v>2025</v>
      </c>
    </row>
    <row r="3415" spans="1:12" x14ac:dyDescent="0.2">
      <c r="A3415" t="s">
        <v>36</v>
      </c>
      <c r="B3415" t="s">
        <v>12</v>
      </c>
      <c r="C3415">
        <v>35.76</v>
      </c>
      <c r="D3415" t="s">
        <v>13</v>
      </c>
      <c r="E3415" t="s">
        <v>22</v>
      </c>
      <c r="F3415" t="s">
        <v>15</v>
      </c>
      <c r="G3415" t="s">
        <v>16</v>
      </c>
      <c r="H3415" t="s">
        <v>17</v>
      </c>
      <c r="I3415" t="s">
        <v>18</v>
      </c>
      <c r="J3415" t="s">
        <v>435</v>
      </c>
      <c r="K3415" s="1">
        <v>0.60858582175925924</v>
      </c>
      <c r="L3415">
        <f>YEAR(Coffe_sales[[#This Row],[Date]])</f>
        <v>2025</v>
      </c>
    </row>
    <row r="3416" spans="1:12" x14ac:dyDescent="0.2">
      <c r="A3416" t="s">
        <v>25</v>
      </c>
      <c r="B3416" t="s">
        <v>12</v>
      </c>
      <c r="C3416">
        <v>35.76</v>
      </c>
      <c r="D3416" t="s">
        <v>13</v>
      </c>
      <c r="E3416" t="s">
        <v>22</v>
      </c>
      <c r="F3416" t="s">
        <v>15</v>
      </c>
      <c r="G3416" t="s">
        <v>16</v>
      </c>
      <c r="H3416" t="s">
        <v>17</v>
      </c>
      <c r="I3416" t="s">
        <v>18</v>
      </c>
      <c r="J3416" t="s">
        <v>435</v>
      </c>
      <c r="K3416" s="1">
        <v>0.6627428125</v>
      </c>
      <c r="L3416">
        <f>YEAR(Coffe_sales[[#This Row],[Date]])</f>
        <v>2025</v>
      </c>
    </row>
    <row r="3417" spans="1:12" x14ac:dyDescent="0.2">
      <c r="A3417" t="s">
        <v>25</v>
      </c>
      <c r="B3417" t="s">
        <v>12</v>
      </c>
      <c r="C3417">
        <v>35.76</v>
      </c>
      <c r="D3417" t="s">
        <v>13</v>
      </c>
      <c r="E3417" t="s">
        <v>22</v>
      </c>
      <c r="F3417" t="s">
        <v>15</v>
      </c>
      <c r="G3417" t="s">
        <v>16</v>
      </c>
      <c r="H3417" t="s">
        <v>17</v>
      </c>
      <c r="I3417" t="s">
        <v>18</v>
      </c>
      <c r="J3417" t="s">
        <v>435</v>
      </c>
      <c r="K3417" s="1">
        <v>0.66366722222222219</v>
      </c>
      <c r="L3417">
        <f>YEAR(Coffe_sales[[#This Row],[Date]])</f>
        <v>2025</v>
      </c>
    </row>
    <row r="3418" spans="1:12" x14ac:dyDescent="0.2">
      <c r="A3418" t="s">
        <v>27</v>
      </c>
      <c r="B3418" t="s">
        <v>12</v>
      </c>
      <c r="C3418">
        <v>25.96</v>
      </c>
      <c r="D3418" t="s">
        <v>24</v>
      </c>
      <c r="E3418" t="s">
        <v>22</v>
      </c>
      <c r="F3418" t="s">
        <v>15</v>
      </c>
      <c r="G3418" t="s">
        <v>16</v>
      </c>
      <c r="H3418" t="s">
        <v>17</v>
      </c>
      <c r="I3418" t="s">
        <v>18</v>
      </c>
      <c r="J3418" t="s">
        <v>435</v>
      </c>
      <c r="K3418" s="1">
        <v>0.68546314814814813</v>
      </c>
      <c r="L3418">
        <f>YEAR(Coffe_sales[[#This Row],[Date]])</f>
        <v>2025</v>
      </c>
    </row>
    <row r="3419" spans="1:12" x14ac:dyDescent="0.2">
      <c r="A3419" t="s">
        <v>27</v>
      </c>
      <c r="B3419" t="s">
        <v>12</v>
      </c>
      <c r="C3419">
        <v>35.76</v>
      </c>
      <c r="D3419" t="s">
        <v>31</v>
      </c>
      <c r="E3419" t="s">
        <v>22</v>
      </c>
      <c r="F3419" t="s">
        <v>15</v>
      </c>
      <c r="G3419" t="s">
        <v>16</v>
      </c>
      <c r="H3419" t="s">
        <v>17</v>
      </c>
      <c r="I3419" t="s">
        <v>18</v>
      </c>
      <c r="J3419" t="s">
        <v>435</v>
      </c>
      <c r="K3419" s="1">
        <v>0.68819660879629629</v>
      </c>
      <c r="L3419">
        <f>YEAR(Coffe_sales[[#This Row],[Date]])</f>
        <v>2025</v>
      </c>
    </row>
    <row r="3420" spans="1:12" x14ac:dyDescent="0.2">
      <c r="A3420" t="s">
        <v>27</v>
      </c>
      <c r="B3420" t="s">
        <v>12</v>
      </c>
      <c r="C3420">
        <v>35.76</v>
      </c>
      <c r="D3420" t="s">
        <v>31</v>
      </c>
      <c r="E3420" t="s">
        <v>22</v>
      </c>
      <c r="F3420" t="s">
        <v>15</v>
      </c>
      <c r="G3420" t="s">
        <v>16</v>
      </c>
      <c r="H3420" t="s">
        <v>17</v>
      </c>
      <c r="I3420" t="s">
        <v>18</v>
      </c>
      <c r="J3420" t="s">
        <v>435</v>
      </c>
      <c r="K3420" s="1">
        <v>0.68883192129629633</v>
      </c>
      <c r="L3420">
        <f>YEAR(Coffe_sales[[#This Row],[Date]])</f>
        <v>2025</v>
      </c>
    </row>
    <row r="3421" spans="1:12" x14ac:dyDescent="0.2">
      <c r="A3421" t="s">
        <v>27</v>
      </c>
      <c r="B3421" t="s">
        <v>12</v>
      </c>
      <c r="C3421">
        <v>35.76</v>
      </c>
      <c r="D3421" t="s">
        <v>31</v>
      </c>
      <c r="E3421" t="s">
        <v>22</v>
      </c>
      <c r="F3421" t="s">
        <v>15</v>
      </c>
      <c r="G3421" t="s">
        <v>16</v>
      </c>
      <c r="H3421" t="s">
        <v>17</v>
      </c>
      <c r="I3421" t="s">
        <v>18</v>
      </c>
      <c r="J3421" t="s">
        <v>435</v>
      </c>
      <c r="K3421" s="1">
        <v>0.68935440972222217</v>
      </c>
      <c r="L3421">
        <f>YEAR(Coffe_sales[[#This Row],[Date]])</f>
        <v>2025</v>
      </c>
    </row>
    <row r="3422" spans="1:12" x14ac:dyDescent="0.2">
      <c r="A3422" t="s">
        <v>37</v>
      </c>
      <c r="B3422" t="s">
        <v>12</v>
      </c>
      <c r="C3422">
        <v>25.96</v>
      </c>
      <c r="D3422" t="s">
        <v>24</v>
      </c>
      <c r="E3422" t="s">
        <v>29</v>
      </c>
      <c r="F3422" t="s">
        <v>15</v>
      </c>
      <c r="G3422" t="s">
        <v>16</v>
      </c>
      <c r="H3422" t="s">
        <v>17</v>
      </c>
      <c r="I3422" t="s">
        <v>18</v>
      </c>
      <c r="J3422" t="s">
        <v>435</v>
      </c>
      <c r="K3422" s="1">
        <v>0.71208464120370374</v>
      </c>
      <c r="L3422">
        <f>YEAR(Coffe_sales[[#This Row],[Date]])</f>
        <v>2025</v>
      </c>
    </row>
    <row r="3423" spans="1:12" x14ac:dyDescent="0.2">
      <c r="A3423" t="s">
        <v>37</v>
      </c>
      <c r="B3423" t="s">
        <v>12</v>
      </c>
      <c r="C3423">
        <v>25.96</v>
      </c>
      <c r="D3423" t="s">
        <v>24</v>
      </c>
      <c r="E3423" t="s">
        <v>29</v>
      </c>
      <c r="F3423" t="s">
        <v>15</v>
      </c>
      <c r="G3423" t="s">
        <v>16</v>
      </c>
      <c r="H3423" t="s">
        <v>17</v>
      </c>
      <c r="I3423" t="s">
        <v>18</v>
      </c>
      <c r="J3423" t="s">
        <v>435</v>
      </c>
      <c r="K3423" s="1">
        <v>0.72378084490740746</v>
      </c>
      <c r="L3423">
        <f>YEAR(Coffe_sales[[#This Row],[Date]])</f>
        <v>2025</v>
      </c>
    </row>
    <row r="3424" spans="1:12" x14ac:dyDescent="0.2">
      <c r="A3424" t="s">
        <v>37</v>
      </c>
      <c r="B3424" t="s">
        <v>12</v>
      </c>
      <c r="C3424">
        <v>35.76</v>
      </c>
      <c r="D3424" t="s">
        <v>13</v>
      </c>
      <c r="E3424" t="s">
        <v>29</v>
      </c>
      <c r="F3424" t="s">
        <v>15</v>
      </c>
      <c r="G3424" t="s">
        <v>16</v>
      </c>
      <c r="H3424" t="s">
        <v>17</v>
      </c>
      <c r="I3424" t="s">
        <v>18</v>
      </c>
      <c r="J3424" t="s">
        <v>435</v>
      </c>
      <c r="K3424" s="1">
        <v>0.7272601851851852</v>
      </c>
      <c r="L3424">
        <f>YEAR(Coffe_sales[[#This Row],[Date]])</f>
        <v>2025</v>
      </c>
    </row>
    <row r="3425" spans="1:12" x14ac:dyDescent="0.2">
      <c r="A3425" t="s">
        <v>37</v>
      </c>
      <c r="B3425" t="s">
        <v>12</v>
      </c>
      <c r="C3425">
        <v>35.76</v>
      </c>
      <c r="D3425" t="s">
        <v>13</v>
      </c>
      <c r="E3425" t="s">
        <v>29</v>
      </c>
      <c r="F3425" t="s">
        <v>15</v>
      </c>
      <c r="G3425" t="s">
        <v>16</v>
      </c>
      <c r="H3425" t="s">
        <v>17</v>
      </c>
      <c r="I3425" t="s">
        <v>18</v>
      </c>
      <c r="J3425" t="s">
        <v>435</v>
      </c>
      <c r="K3425" s="1">
        <v>0.72822143518518523</v>
      </c>
      <c r="L3425">
        <f>YEAR(Coffe_sales[[#This Row],[Date]])</f>
        <v>2025</v>
      </c>
    </row>
    <row r="3426" spans="1:12" x14ac:dyDescent="0.2">
      <c r="A3426" t="s">
        <v>91</v>
      </c>
      <c r="B3426" t="s">
        <v>12</v>
      </c>
      <c r="C3426">
        <v>25.96</v>
      </c>
      <c r="D3426" t="s">
        <v>24</v>
      </c>
      <c r="E3426" t="s">
        <v>29</v>
      </c>
      <c r="F3426" t="s">
        <v>15</v>
      </c>
      <c r="G3426" t="s">
        <v>16</v>
      </c>
      <c r="H3426" t="s">
        <v>17</v>
      </c>
      <c r="I3426" t="s">
        <v>18</v>
      </c>
      <c r="J3426" t="s">
        <v>435</v>
      </c>
      <c r="K3426" s="1">
        <v>0.84747710648148145</v>
      </c>
      <c r="L3426">
        <f>YEAR(Coffe_sales[[#This Row],[Date]])</f>
        <v>2025</v>
      </c>
    </row>
    <row r="3427" spans="1:12" x14ac:dyDescent="0.2">
      <c r="A3427" t="s">
        <v>131</v>
      </c>
      <c r="B3427" t="s">
        <v>12</v>
      </c>
      <c r="C3427">
        <v>25.96</v>
      </c>
      <c r="D3427" t="s">
        <v>24</v>
      </c>
      <c r="E3427" t="s">
        <v>29</v>
      </c>
      <c r="F3427" t="s">
        <v>15</v>
      </c>
      <c r="G3427" t="s">
        <v>16</v>
      </c>
      <c r="H3427" t="s">
        <v>17</v>
      </c>
      <c r="I3427" t="s">
        <v>18</v>
      </c>
      <c r="J3427" t="s">
        <v>435</v>
      </c>
      <c r="K3427" s="1">
        <v>0.90328224537037038</v>
      </c>
      <c r="L3427">
        <f>YEAR(Coffe_sales[[#This Row],[Date]])</f>
        <v>2025</v>
      </c>
    </row>
    <row r="3428" spans="1:12" x14ac:dyDescent="0.2">
      <c r="A3428" t="s">
        <v>46</v>
      </c>
      <c r="B3428" t="s">
        <v>12</v>
      </c>
      <c r="C3428">
        <v>30.86</v>
      </c>
      <c r="D3428" t="s">
        <v>26</v>
      </c>
      <c r="E3428" t="s">
        <v>14</v>
      </c>
      <c r="F3428" t="s">
        <v>32</v>
      </c>
      <c r="G3428" t="s">
        <v>16</v>
      </c>
      <c r="H3428" t="s">
        <v>33</v>
      </c>
      <c r="I3428" t="s">
        <v>18</v>
      </c>
      <c r="J3428" t="s">
        <v>436</v>
      </c>
      <c r="K3428" s="1">
        <v>0.41206337962962963</v>
      </c>
      <c r="L3428">
        <f>YEAR(Coffe_sales[[#This Row],[Date]])</f>
        <v>2025</v>
      </c>
    </row>
    <row r="3429" spans="1:12" x14ac:dyDescent="0.2">
      <c r="A3429" t="s">
        <v>11</v>
      </c>
      <c r="B3429" t="s">
        <v>12</v>
      </c>
      <c r="C3429">
        <v>35.76</v>
      </c>
      <c r="D3429" t="s">
        <v>52</v>
      </c>
      <c r="E3429" t="s">
        <v>14</v>
      </c>
      <c r="F3429" t="s">
        <v>32</v>
      </c>
      <c r="G3429" t="s">
        <v>16</v>
      </c>
      <c r="H3429" t="s">
        <v>33</v>
      </c>
      <c r="I3429" t="s">
        <v>18</v>
      </c>
      <c r="J3429" t="s">
        <v>436</v>
      </c>
      <c r="K3429" s="1">
        <v>0.41901090277777781</v>
      </c>
      <c r="L3429">
        <f>YEAR(Coffe_sales[[#This Row],[Date]])</f>
        <v>2025</v>
      </c>
    </row>
    <row r="3430" spans="1:12" x14ac:dyDescent="0.2">
      <c r="A3430" t="s">
        <v>23</v>
      </c>
      <c r="B3430" t="s">
        <v>12</v>
      </c>
      <c r="C3430">
        <v>25.96</v>
      </c>
      <c r="D3430" t="s">
        <v>24</v>
      </c>
      <c r="E3430" t="s">
        <v>22</v>
      </c>
      <c r="F3430" t="s">
        <v>32</v>
      </c>
      <c r="G3430" t="s">
        <v>16</v>
      </c>
      <c r="H3430" t="s">
        <v>33</v>
      </c>
      <c r="I3430" t="s">
        <v>18</v>
      </c>
      <c r="J3430" t="s">
        <v>436</v>
      </c>
      <c r="K3430" s="1">
        <v>0.58034667824074071</v>
      </c>
      <c r="L3430">
        <f>YEAR(Coffe_sales[[#This Row],[Date]])</f>
        <v>2025</v>
      </c>
    </row>
    <row r="3431" spans="1:12" x14ac:dyDescent="0.2">
      <c r="A3431" t="s">
        <v>37</v>
      </c>
      <c r="B3431" t="s">
        <v>12</v>
      </c>
      <c r="C3431">
        <v>35.76</v>
      </c>
      <c r="D3431" t="s">
        <v>52</v>
      </c>
      <c r="E3431" t="s">
        <v>29</v>
      </c>
      <c r="F3431" t="s">
        <v>32</v>
      </c>
      <c r="G3431" t="s">
        <v>16</v>
      </c>
      <c r="H3431" t="s">
        <v>33</v>
      </c>
      <c r="I3431" t="s">
        <v>18</v>
      </c>
      <c r="J3431" t="s">
        <v>436</v>
      </c>
      <c r="K3431" s="1">
        <v>0.7155486342592593</v>
      </c>
      <c r="L3431">
        <f>YEAR(Coffe_sales[[#This Row],[Date]])</f>
        <v>2025</v>
      </c>
    </row>
    <row r="3432" spans="1:12" x14ac:dyDescent="0.2">
      <c r="A3432" t="s">
        <v>37</v>
      </c>
      <c r="B3432" t="s">
        <v>12</v>
      </c>
      <c r="C3432">
        <v>30.86</v>
      </c>
      <c r="D3432" t="s">
        <v>26</v>
      </c>
      <c r="E3432" t="s">
        <v>29</v>
      </c>
      <c r="F3432" t="s">
        <v>32</v>
      </c>
      <c r="G3432" t="s">
        <v>16</v>
      </c>
      <c r="H3432" t="s">
        <v>33</v>
      </c>
      <c r="I3432" t="s">
        <v>18</v>
      </c>
      <c r="J3432" t="s">
        <v>436</v>
      </c>
      <c r="K3432" s="1">
        <v>0.71676341435185187</v>
      </c>
      <c r="L3432">
        <f>YEAR(Coffe_sales[[#This Row],[Date]])</f>
        <v>2025</v>
      </c>
    </row>
    <row r="3433" spans="1:12" x14ac:dyDescent="0.2">
      <c r="A3433" t="s">
        <v>30</v>
      </c>
      <c r="B3433" t="s">
        <v>12</v>
      </c>
      <c r="C3433">
        <v>30.86</v>
      </c>
      <c r="D3433" t="s">
        <v>26</v>
      </c>
      <c r="E3433" t="s">
        <v>29</v>
      </c>
      <c r="F3433" t="s">
        <v>32</v>
      </c>
      <c r="G3433" t="s">
        <v>16</v>
      </c>
      <c r="H3433" t="s">
        <v>33</v>
      </c>
      <c r="I3433" t="s">
        <v>18</v>
      </c>
      <c r="J3433" t="s">
        <v>436</v>
      </c>
      <c r="K3433" s="1">
        <v>0.81292251157407402</v>
      </c>
      <c r="L3433">
        <f>YEAR(Coffe_sales[[#This Row],[Date]])</f>
        <v>2025</v>
      </c>
    </row>
    <row r="3434" spans="1:12" x14ac:dyDescent="0.2">
      <c r="A3434" t="s">
        <v>30</v>
      </c>
      <c r="B3434" t="s">
        <v>12</v>
      </c>
      <c r="C3434">
        <v>35.76</v>
      </c>
      <c r="D3434" t="s">
        <v>52</v>
      </c>
      <c r="E3434" t="s">
        <v>29</v>
      </c>
      <c r="F3434" t="s">
        <v>32</v>
      </c>
      <c r="G3434" t="s">
        <v>16</v>
      </c>
      <c r="H3434" t="s">
        <v>33</v>
      </c>
      <c r="I3434" t="s">
        <v>18</v>
      </c>
      <c r="J3434" t="s">
        <v>436</v>
      </c>
      <c r="K3434" s="1">
        <v>0.82739686342592589</v>
      </c>
      <c r="L3434">
        <f>YEAR(Coffe_sales[[#This Row],[Date]])</f>
        <v>2025</v>
      </c>
    </row>
    <row r="3435" spans="1:12" x14ac:dyDescent="0.2">
      <c r="A3435" t="s">
        <v>46</v>
      </c>
      <c r="B3435" t="s">
        <v>12</v>
      </c>
      <c r="C3435">
        <v>35.76</v>
      </c>
      <c r="D3435" t="s">
        <v>52</v>
      </c>
      <c r="E3435" t="s">
        <v>14</v>
      </c>
      <c r="F3435" t="s">
        <v>38</v>
      </c>
      <c r="G3435" t="s">
        <v>16</v>
      </c>
      <c r="H3435" t="s">
        <v>39</v>
      </c>
      <c r="I3435" t="s">
        <v>18</v>
      </c>
      <c r="J3435" t="s">
        <v>437</v>
      </c>
      <c r="K3435" s="1">
        <v>0.39742253472222222</v>
      </c>
      <c r="L3435">
        <f>YEAR(Coffe_sales[[#This Row],[Date]])</f>
        <v>2025</v>
      </c>
    </row>
    <row r="3436" spans="1:12" x14ac:dyDescent="0.2">
      <c r="A3436" t="s">
        <v>46</v>
      </c>
      <c r="B3436" t="s">
        <v>12</v>
      </c>
      <c r="C3436">
        <v>30.86</v>
      </c>
      <c r="D3436" t="s">
        <v>26</v>
      </c>
      <c r="E3436" t="s">
        <v>14</v>
      </c>
      <c r="F3436" t="s">
        <v>38</v>
      </c>
      <c r="G3436" t="s">
        <v>16</v>
      </c>
      <c r="H3436" t="s">
        <v>39</v>
      </c>
      <c r="I3436" t="s">
        <v>18</v>
      </c>
      <c r="J3436" t="s">
        <v>437</v>
      </c>
      <c r="K3436" s="1">
        <v>0.40026846064814814</v>
      </c>
      <c r="L3436">
        <f>YEAR(Coffe_sales[[#This Row],[Date]])</f>
        <v>2025</v>
      </c>
    </row>
    <row r="3437" spans="1:12" x14ac:dyDescent="0.2">
      <c r="A3437" t="s">
        <v>11</v>
      </c>
      <c r="B3437" t="s">
        <v>12</v>
      </c>
      <c r="C3437">
        <v>35.76</v>
      </c>
      <c r="D3437" t="s">
        <v>13</v>
      </c>
      <c r="E3437" t="s">
        <v>14</v>
      </c>
      <c r="F3437" t="s">
        <v>38</v>
      </c>
      <c r="G3437" t="s">
        <v>16</v>
      </c>
      <c r="H3437" t="s">
        <v>39</v>
      </c>
      <c r="I3437" t="s">
        <v>18</v>
      </c>
      <c r="J3437" t="s">
        <v>437</v>
      </c>
      <c r="K3437" s="1">
        <v>0.45149736111111111</v>
      </c>
      <c r="L3437">
        <f>YEAR(Coffe_sales[[#This Row],[Date]])</f>
        <v>2025</v>
      </c>
    </row>
    <row r="3438" spans="1:12" x14ac:dyDescent="0.2">
      <c r="A3438" t="s">
        <v>20</v>
      </c>
      <c r="B3438" t="s">
        <v>12</v>
      </c>
      <c r="C3438">
        <v>35.76</v>
      </c>
      <c r="D3438" t="s">
        <v>21</v>
      </c>
      <c r="E3438" t="s">
        <v>22</v>
      </c>
      <c r="F3438" t="s">
        <v>38</v>
      </c>
      <c r="G3438" t="s">
        <v>16</v>
      </c>
      <c r="H3438" t="s">
        <v>39</v>
      </c>
      <c r="I3438" t="s">
        <v>18</v>
      </c>
      <c r="J3438" t="s">
        <v>437</v>
      </c>
      <c r="K3438" s="1">
        <v>0.50054554398148143</v>
      </c>
      <c r="L3438">
        <f>YEAR(Coffe_sales[[#This Row],[Date]])</f>
        <v>2025</v>
      </c>
    </row>
    <row r="3439" spans="1:12" x14ac:dyDescent="0.2">
      <c r="A3439" t="s">
        <v>36</v>
      </c>
      <c r="B3439" t="s">
        <v>12</v>
      </c>
      <c r="C3439">
        <v>25.96</v>
      </c>
      <c r="D3439" t="s">
        <v>24</v>
      </c>
      <c r="E3439" t="s">
        <v>22</v>
      </c>
      <c r="F3439" t="s">
        <v>38</v>
      </c>
      <c r="G3439" t="s">
        <v>16</v>
      </c>
      <c r="H3439" t="s">
        <v>39</v>
      </c>
      <c r="I3439" t="s">
        <v>18</v>
      </c>
      <c r="J3439" t="s">
        <v>437</v>
      </c>
      <c r="K3439" s="1">
        <v>0.59910454861111107</v>
      </c>
      <c r="L3439">
        <f>YEAR(Coffe_sales[[#This Row],[Date]])</f>
        <v>2025</v>
      </c>
    </row>
    <row r="3440" spans="1:12" x14ac:dyDescent="0.2">
      <c r="A3440" t="s">
        <v>33</v>
      </c>
      <c r="B3440" t="s">
        <v>12</v>
      </c>
      <c r="C3440">
        <v>25.96</v>
      </c>
      <c r="D3440" t="s">
        <v>24</v>
      </c>
      <c r="E3440" t="s">
        <v>14</v>
      </c>
      <c r="F3440" t="s">
        <v>42</v>
      </c>
      <c r="G3440" t="s">
        <v>16</v>
      </c>
      <c r="H3440" t="s">
        <v>43</v>
      </c>
      <c r="I3440" t="s">
        <v>18</v>
      </c>
      <c r="J3440" t="s">
        <v>438</v>
      </c>
      <c r="K3440" s="1">
        <v>0.28797028935185187</v>
      </c>
      <c r="L3440">
        <f>YEAR(Coffe_sales[[#This Row],[Date]])</f>
        <v>2025</v>
      </c>
    </row>
    <row r="3441" spans="1:12" x14ac:dyDescent="0.2">
      <c r="A3441" t="s">
        <v>123</v>
      </c>
      <c r="B3441" t="s">
        <v>12</v>
      </c>
      <c r="C3441">
        <v>25.96</v>
      </c>
      <c r="D3441" t="s">
        <v>24</v>
      </c>
      <c r="E3441" t="s">
        <v>14</v>
      </c>
      <c r="F3441" t="s">
        <v>42</v>
      </c>
      <c r="G3441" t="s">
        <v>16</v>
      </c>
      <c r="H3441" t="s">
        <v>43</v>
      </c>
      <c r="I3441" t="s">
        <v>18</v>
      </c>
      <c r="J3441" t="s">
        <v>438</v>
      </c>
      <c r="K3441" s="1">
        <v>0.34016268518518517</v>
      </c>
      <c r="L3441">
        <f>YEAR(Coffe_sales[[#This Row],[Date]])</f>
        <v>2025</v>
      </c>
    </row>
    <row r="3442" spans="1:12" x14ac:dyDescent="0.2">
      <c r="A3442" t="s">
        <v>123</v>
      </c>
      <c r="B3442" t="s">
        <v>12</v>
      </c>
      <c r="C3442">
        <v>25.96</v>
      </c>
      <c r="D3442" t="s">
        <v>24</v>
      </c>
      <c r="E3442" t="s">
        <v>14</v>
      </c>
      <c r="F3442" t="s">
        <v>42</v>
      </c>
      <c r="G3442" t="s">
        <v>16</v>
      </c>
      <c r="H3442" t="s">
        <v>43</v>
      </c>
      <c r="I3442" t="s">
        <v>18</v>
      </c>
      <c r="J3442" t="s">
        <v>438</v>
      </c>
      <c r="K3442" s="1">
        <v>0.34586409722222222</v>
      </c>
      <c r="L3442">
        <f>YEAR(Coffe_sales[[#This Row],[Date]])</f>
        <v>2025</v>
      </c>
    </row>
    <row r="3443" spans="1:12" x14ac:dyDescent="0.2">
      <c r="A3443" t="s">
        <v>46</v>
      </c>
      <c r="B3443" t="s">
        <v>12</v>
      </c>
      <c r="C3443">
        <v>30.86</v>
      </c>
      <c r="D3443" t="s">
        <v>26</v>
      </c>
      <c r="E3443" t="s">
        <v>14</v>
      </c>
      <c r="F3443" t="s">
        <v>42</v>
      </c>
      <c r="G3443" t="s">
        <v>16</v>
      </c>
      <c r="H3443" t="s">
        <v>43</v>
      </c>
      <c r="I3443" t="s">
        <v>18</v>
      </c>
      <c r="J3443" t="s">
        <v>438</v>
      </c>
      <c r="K3443" s="1">
        <v>0.37707122685185185</v>
      </c>
      <c r="L3443">
        <f>YEAR(Coffe_sales[[#This Row],[Date]])</f>
        <v>2025</v>
      </c>
    </row>
    <row r="3444" spans="1:12" x14ac:dyDescent="0.2">
      <c r="A3444" t="s">
        <v>11</v>
      </c>
      <c r="B3444" t="s">
        <v>12</v>
      </c>
      <c r="C3444">
        <v>25.96</v>
      </c>
      <c r="D3444" t="s">
        <v>24</v>
      </c>
      <c r="E3444" t="s">
        <v>14</v>
      </c>
      <c r="F3444" t="s">
        <v>42</v>
      </c>
      <c r="G3444" t="s">
        <v>16</v>
      </c>
      <c r="H3444" t="s">
        <v>43</v>
      </c>
      <c r="I3444" t="s">
        <v>18</v>
      </c>
      <c r="J3444" t="s">
        <v>438</v>
      </c>
      <c r="K3444" s="1">
        <v>0.43934649305555556</v>
      </c>
      <c r="L3444">
        <f>YEAR(Coffe_sales[[#This Row],[Date]])</f>
        <v>2025</v>
      </c>
    </row>
    <row r="3445" spans="1:12" x14ac:dyDescent="0.2">
      <c r="A3445" t="s">
        <v>23</v>
      </c>
      <c r="B3445" t="s">
        <v>12</v>
      </c>
      <c r="C3445">
        <v>25.96</v>
      </c>
      <c r="D3445" t="s">
        <v>24</v>
      </c>
      <c r="E3445" t="s">
        <v>22</v>
      </c>
      <c r="F3445" t="s">
        <v>42</v>
      </c>
      <c r="G3445" t="s">
        <v>16</v>
      </c>
      <c r="H3445" t="s">
        <v>43</v>
      </c>
      <c r="I3445" t="s">
        <v>18</v>
      </c>
      <c r="J3445" t="s">
        <v>438</v>
      </c>
      <c r="K3445" s="1">
        <v>0.58265040509259258</v>
      </c>
      <c r="L3445">
        <f>YEAR(Coffe_sales[[#This Row],[Date]])</f>
        <v>2025</v>
      </c>
    </row>
    <row r="3446" spans="1:12" x14ac:dyDescent="0.2">
      <c r="A3446" t="s">
        <v>36</v>
      </c>
      <c r="B3446" t="s">
        <v>12</v>
      </c>
      <c r="C3446">
        <v>35.76</v>
      </c>
      <c r="D3446" t="s">
        <v>31</v>
      </c>
      <c r="E3446" t="s">
        <v>22</v>
      </c>
      <c r="F3446" t="s">
        <v>42</v>
      </c>
      <c r="G3446" t="s">
        <v>16</v>
      </c>
      <c r="H3446" t="s">
        <v>43</v>
      </c>
      <c r="I3446" t="s">
        <v>18</v>
      </c>
      <c r="J3446" t="s">
        <v>438</v>
      </c>
      <c r="K3446" s="1">
        <v>0.59820077546296291</v>
      </c>
      <c r="L3446">
        <f>YEAR(Coffe_sales[[#This Row],[Date]])</f>
        <v>2025</v>
      </c>
    </row>
    <row r="3447" spans="1:12" x14ac:dyDescent="0.2">
      <c r="A3447" t="s">
        <v>36</v>
      </c>
      <c r="B3447" t="s">
        <v>12</v>
      </c>
      <c r="C3447">
        <v>35.76</v>
      </c>
      <c r="D3447" t="s">
        <v>31</v>
      </c>
      <c r="E3447" t="s">
        <v>22</v>
      </c>
      <c r="F3447" t="s">
        <v>42</v>
      </c>
      <c r="G3447" t="s">
        <v>16</v>
      </c>
      <c r="H3447" t="s">
        <v>43</v>
      </c>
      <c r="I3447" t="s">
        <v>18</v>
      </c>
      <c r="J3447" t="s">
        <v>438</v>
      </c>
      <c r="K3447" s="1">
        <v>0.59883960648148149</v>
      </c>
      <c r="L3447">
        <f>YEAR(Coffe_sales[[#This Row],[Date]])</f>
        <v>2025</v>
      </c>
    </row>
    <row r="3448" spans="1:12" x14ac:dyDescent="0.2">
      <c r="A3448" t="s">
        <v>36</v>
      </c>
      <c r="B3448" t="s">
        <v>12</v>
      </c>
      <c r="C3448">
        <v>35.76</v>
      </c>
      <c r="D3448" t="s">
        <v>13</v>
      </c>
      <c r="E3448" t="s">
        <v>22</v>
      </c>
      <c r="F3448" t="s">
        <v>42</v>
      </c>
      <c r="G3448" t="s">
        <v>16</v>
      </c>
      <c r="H3448" t="s">
        <v>43</v>
      </c>
      <c r="I3448" t="s">
        <v>18</v>
      </c>
      <c r="J3448" t="s">
        <v>438</v>
      </c>
      <c r="K3448" s="1">
        <v>0.61670738425925931</v>
      </c>
      <c r="L3448">
        <f>YEAR(Coffe_sales[[#This Row],[Date]])</f>
        <v>2025</v>
      </c>
    </row>
    <row r="3449" spans="1:12" x14ac:dyDescent="0.2">
      <c r="A3449" t="s">
        <v>25</v>
      </c>
      <c r="B3449" t="s">
        <v>12</v>
      </c>
      <c r="C3449">
        <v>35.76</v>
      </c>
      <c r="D3449" t="s">
        <v>52</v>
      </c>
      <c r="E3449" t="s">
        <v>22</v>
      </c>
      <c r="F3449" t="s">
        <v>42</v>
      </c>
      <c r="G3449" t="s">
        <v>16</v>
      </c>
      <c r="H3449" t="s">
        <v>43</v>
      </c>
      <c r="I3449" t="s">
        <v>18</v>
      </c>
      <c r="J3449" t="s">
        <v>438</v>
      </c>
      <c r="K3449" s="1">
        <v>0.63283898148148143</v>
      </c>
      <c r="L3449">
        <f>YEAR(Coffe_sales[[#This Row],[Date]])</f>
        <v>2025</v>
      </c>
    </row>
    <row r="3450" spans="1:12" x14ac:dyDescent="0.2">
      <c r="A3450" t="s">
        <v>25</v>
      </c>
      <c r="B3450" t="s">
        <v>12</v>
      </c>
      <c r="C3450">
        <v>35.76</v>
      </c>
      <c r="D3450" t="s">
        <v>13</v>
      </c>
      <c r="E3450" t="s">
        <v>22</v>
      </c>
      <c r="F3450" t="s">
        <v>42</v>
      </c>
      <c r="G3450" t="s">
        <v>16</v>
      </c>
      <c r="H3450" t="s">
        <v>43</v>
      </c>
      <c r="I3450" t="s">
        <v>18</v>
      </c>
      <c r="J3450" t="s">
        <v>438</v>
      </c>
      <c r="K3450" s="1">
        <v>0.65782306712962968</v>
      </c>
      <c r="L3450">
        <f>YEAR(Coffe_sales[[#This Row],[Date]])</f>
        <v>2025</v>
      </c>
    </row>
    <row r="3451" spans="1:12" x14ac:dyDescent="0.2">
      <c r="A3451" t="s">
        <v>25</v>
      </c>
      <c r="B3451" t="s">
        <v>12</v>
      </c>
      <c r="C3451">
        <v>35.76</v>
      </c>
      <c r="D3451" t="s">
        <v>13</v>
      </c>
      <c r="E3451" t="s">
        <v>22</v>
      </c>
      <c r="F3451" t="s">
        <v>42</v>
      </c>
      <c r="G3451" t="s">
        <v>16</v>
      </c>
      <c r="H3451" t="s">
        <v>43</v>
      </c>
      <c r="I3451" t="s">
        <v>18</v>
      </c>
      <c r="J3451" t="s">
        <v>438</v>
      </c>
      <c r="K3451" s="1">
        <v>0.65900989583333336</v>
      </c>
      <c r="L3451">
        <f>YEAR(Coffe_sales[[#This Row],[Date]])</f>
        <v>2025</v>
      </c>
    </row>
    <row r="3452" spans="1:12" x14ac:dyDescent="0.2">
      <c r="A3452" t="s">
        <v>27</v>
      </c>
      <c r="B3452" t="s">
        <v>12</v>
      </c>
      <c r="C3452">
        <v>25.96</v>
      </c>
      <c r="D3452" t="s">
        <v>24</v>
      </c>
      <c r="E3452" t="s">
        <v>22</v>
      </c>
      <c r="F3452" t="s">
        <v>42</v>
      </c>
      <c r="G3452" t="s">
        <v>16</v>
      </c>
      <c r="H3452" t="s">
        <v>43</v>
      </c>
      <c r="I3452" t="s">
        <v>18</v>
      </c>
      <c r="J3452" t="s">
        <v>438</v>
      </c>
      <c r="K3452" s="1">
        <v>0.69912702546296301</v>
      </c>
      <c r="L3452">
        <f>YEAR(Coffe_sales[[#This Row],[Date]])</f>
        <v>2025</v>
      </c>
    </row>
    <row r="3453" spans="1:12" x14ac:dyDescent="0.2">
      <c r="A3453" t="s">
        <v>123</v>
      </c>
      <c r="B3453" t="s">
        <v>12</v>
      </c>
      <c r="C3453">
        <v>30.86</v>
      </c>
      <c r="D3453" t="s">
        <v>26</v>
      </c>
      <c r="E3453" t="s">
        <v>14</v>
      </c>
      <c r="F3453" t="s">
        <v>47</v>
      </c>
      <c r="G3453" t="s">
        <v>16</v>
      </c>
      <c r="H3453" t="s">
        <v>48</v>
      </c>
      <c r="I3453" t="s">
        <v>18</v>
      </c>
      <c r="J3453" t="s">
        <v>439</v>
      </c>
      <c r="K3453" s="1">
        <v>0.34943269675925925</v>
      </c>
      <c r="L3453">
        <f>YEAR(Coffe_sales[[#This Row],[Date]])</f>
        <v>2025</v>
      </c>
    </row>
    <row r="3454" spans="1:12" x14ac:dyDescent="0.2">
      <c r="A3454" t="s">
        <v>123</v>
      </c>
      <c r="B3454" t="s">
        <v>12</v>
      </c>
      <c r="C3454">
        <v>35.76</v>
      </c>
      <c r="D3454" t="s">
        <v>13</v>
      </c>
      <c r="E3454" t="s">
        <v>14</v>
      </c>
      <c r="F3454" t="s">
        <v>47</v>
      </c>
      <c r="G3454" t="s">
        <v>16</v>
      </c>
      <c r="H3454" t="s">
        <v>48</v>
      </c>
      <c r="I3454" t="s">
        <v>18</v>
      </c>
      <c r="J3454" t="s">
        <v>439</v>
      </c>
      <c r="K3454" s="1">
        <v>0.35682359953703702</v>
      </c>
      <c r="L3454">
        <f>YEAR(Coffe_sales[[#This Row],[Date]])</f>
        <v>2025</v>
      </c>
    </row>
    <row r="3455" spans="1:12" x14ac:dyDescent="0.2">
      <c r="A3455" t="s">
        <v>11</v>
      </c>
      <c r="B3455" t="s">
        <v>12</v>
      </c>
      <c r="C3455">
        <v>35.76</v>
      </c>
      <c r="D3455" t="s">
        <v>13</v>
      </c>
      <c r="E3455" t="s">
        <v>14</v>
      </c>
      <c r="F3455" t="s">
        <v>47</v>
      </c>
      <c r="G3455" t="s">
        <v>16</v>
      </c>
      <c r="H3455" t="s">
        <v>48</v>
      </c>
      <c r="I3455" t="s">
        <v>18</v>
      </c>
      <c r="J3455" t="s">
        <v>439</v>
      </c>
      <c r="K3455" s="1">
        <v>0.45128944444444447</v>
      </c>
      <c r="L3455">
        <f>YEAR(Coffe_sales[[#This Row],[Date]])</f>
        <v>2025</v>
      </c>
    </row>
    <row r="3456" spans="1:12" x14ac:dyDescent="0.2">
      <c r="A3456" t="s">
        <v>11</v>
      </c>
      <c r="B3456" t="s">
        <v>12</v>
      </c>
      <c r="C3456">
        <v>25.96</v>
      </c>
      <c r="D3456" t="s">
        <v>24</v>
      </c>
      <c r="E3456" t="s">
        <v>14</v>
      </c>
      <c r="F3456" t="s">
        <v>47</v>
      </c>
      <c r="G3456" t="s">
        <v>16</v>
      </c>
      <c r="H3456" t="s">
        <v>48</v>
      </c>
      <c r="I3456" t="s">
        <v>18</v>
      </c>
      <c r="J3456" t="s">
        <v>439</v>
      </c>
      <c r="K3456" s="1">
        <v>0.45228835648148147</v>
      </c>
      <c r="L3456">
        <f>YEAR(Coffe_sales[[#This Row],[Date]])</f>
        <v>2025</v>
      </c>
    </row>
    <row r="3457" spans="1:12" x14ac:dyDescent="0.2">
      <c r="A3457" t="s">
        <v>35</v>
      </c>
      <c r="B3457" t="s">
        <v>12</v>
      </c>
      <c r="C3457">
        <v>35.76</v>
      </c>
      <c r="D3457" t="s">
        <v>21</v>
      </c>
      <c r="E3457" t="s">
        <v>14</v>
      </c>
      <c r="F3457" t="s">
        <v>47</v>
      </c>
      <c r="G3457" t="s">
        <v>16</v>
      </c>
      <c r="H3457" t="s">
        <v>48</v>
      </c>
      <c r="I3457" t="s">
        <v>18</v>
      </c>
      <c r="J3457" t="s">
        <v>439</v>
      </c>
      <c r="K3457" s="1">
        <v>0.49120334490740741</v>
      </c>
      <c r="L3457">
        <f>YEAR(Coffe_sales[[#This Row],[Date]])</f>
        <v>2025</v>
      </c>
    </row>
    <row r="3458" spans="1:12" x14ac:dyDescent="0.2">
      <c r="A3458" t="s">
        <v>35</v>
      </c>
      <c r="B3458" t="s">
        <v>12</v>
      </c>
      <c r="C3458">
        <v>35.76</v>
      </c>
      <c r="D3458" t="s">
        <v>21</v>
      </c>
      <c r="E3458" t="s">
        <v>14</v>
      </c>
      <c r="F3458" t="s">
        <v>47</v>
      </c>
      <c r="G3458" t="s">
        <v>16</v>
      </c>
      <c r="H3458" t="s">
        <v>48</v>
      </c>
      <c r="I3458" t="s">
        <v>18</v>
      </c>
      <c r="J3458" t="s">
        <v>439</v>
      </c>
      <c r="K3458" s="1">
        <v>0.49231081018518519</v>
      </c>
      <c r="L3458">
        <f>YEAR(Coffe_sales[[#This Row],[Date]])</f>
        <v>2025</v>
      </c>
    </row>
    <row r="3459" spans="1:12" x14ac:dyDescent="0.2">
      <c r="A3459" t="s">
        <v>36</v>
      </c>
      <c r="B3459" t="s">
        <v>12</v>
      </c>
      <c r="C3459">
        <v>30.86</v>
      </c>
      <c r="D3459" t="s">
        <v>26</v>
      </c>
      <c r="E3459" t="s">
        <v>22</v>
      </c>
      <c r="F3459" t="s">
        <v>47</v>
      </c>
      <c r="G3459" t="s">
        <v>16</v>
      </c>
      <c r="H3459" t="s">
        <v>48</v>
      </c>
      <c r="I3459" t="s">
        <v>18</v>
      </c>
      <c r="J3459" t="s">
        <v>439</v>
      </c>
      <c r="K3459" s="1">
        <v>0.61360089120370376</v>
      </c>
      <c r="L3459">
        <f>YEAR(Coffe_sales[[#This Row],[Date]])</f>
        <v>2025</v>
      </c>
    </row>
    <row r="3460" spans="1:12" x14ac:dyDescent="0.2">
      <c r="A3460" t="s">
        <v>25</v>
      </c>
      <c r="B3460" t="s">
        <v>12</v>
      </c>
      <c r="C3460">
        <v>25.96</v>
      </c>
      <c r="D3460" t="s">
        <v>24</v>
      </c>
      <c r="E3460" t="s">
        <v>22</v>
      </c>
      <c r="F3460" t="s">
        <v>47</v>
      </c>
      <c r="G3460" t="s">
        <v>16</v>
      </c>
      <c r="H3460" t="s">
        <v>48</v>
      </c>
      <c r="I3460" t="s">
        <v>18</v>
      </c>
      <c r="J3460" t="s">
        <v>439</v>
      </c>
      <c r="K3460" s="1">
        <v>0.62770168981481478</v>
      </c>
      <c r="L3460">
        <f>YEAR(Coffe_sales[[#This Row],[Date]])</f>
        <v>2025</v>
      </c>
    </row>
    <row r="3461" spans="1:12" x14ac:dyDescent="0.2">
      <c r="A3461" t="s">
        <v>25</v>
      </c>
      <c r="B3461" t="s">
        <v>12</v>
      </c>
      <c r="C3461">
        <v>30.86</v>
      </c>
      <c r="D3461" t="s">
        <v>26</v>
      </c>
      <c r="E3461" t="s">
        <v>22</v>
      </c>
      <c r="F3461" t="s">
        <v>47</v>
      </c>
      <c r="G3461" t="s">
        <v>16</v>
      </c>
      <c r="H3461" t="s">
        <v>48</v>
      </c>
      <c r="I3461" t="s">
        <v>18</v>
      </c>
      <c r="J3461" t="s">
        <v>439</v>
      </c>
      <c r="K3461" s="1">
        <v>0.6327244675925926</v>
      </c>
      <c r="L3461">
        <f>YEAR(Coffe_sales[[#This Row],[Date]])</f>
        <v>2025</v>
      </c>
    </row>
    <row r="3462" spans="1:12" x14ac:dyDescent="0.2">
      <c r="A3462" t="s">
        <v>27</v>
      </c>
      <c r="B3462" t="s">
        <v>12</v>
      </c>
      <c r="C3462">
        <v>25.96</v>
      </c>
      <c r="D3462" t="s">
        <v>24</v>
      </c>
      <c r="E3462" t="s">
        <v>22</v>
      </c>
      <c r="F3462" t="s">
        <v>47</v>
      </c>
      <c r="G3462" t="s">
        <v>16</v>
      </c>
      <c r="H3462" t="s">
        <v>48</v>
      </c>
      <c r="I3462" t="s">
        <v>18</v>
      </c>
      <c r="J3462" t="s">
        <v>439</v>
      </c>
      <c r="K3462" s="1">
        <v>0.67300436342592596</v>
      </c>
      <c r="L3462">
        <f>YEAR(Coffe_sales[[#This Row],[Date]])</f>
        <v>2025</v>
      </c>
    </row>
    <row r="3463" spans="1:12" x14ac:dyDescent="0.2">
      <c r="A3463" t="s">
        <v>27</v>
      </c>
      <c r="B3463" t="s">
        <v>12</v>
      </c>
      <c r="C3463">
        <v>35.76</v>
      </c>
      <c r="D3463" t="s">
        <v>13</v>
      </c>
      <c r="E3463" t="s">
        <v>22</v>
      </c>
      <c r="F3463" t="s">
        <v>47</v>
      </c>
      <c r="G3463" t="s">
        <v>16</v>
      </c>
      <c r="H3463" t="s">
        <v>48</v>
      </c>
      <c r="I3463" t="s">
        <v>18</v>
      </c>
      <c r="J3463" t="s">
        <v>439</v>
      </c>
      <c r="K3463" s="1">
        <v>0.67482803240740741</v>
      </c>
      <c r="L3463">
        <f>YEAR(Coffe_sales[[#This Row],[Date]])</f>
        <v>2025</v>
      </c>
    </row>
    <row r="3464" spans="1:12" x14ac:dyDescent="0.2">
      <c r="A3464" t="s">
        <v>27</v>
      </c>
      <c r="B3464" t="s">
        <v>12</v>
      </c>
      <c r="C3464">
        <v>21.06</v>
      </c>
      <c r="D3464" t="s">
        <v>45</v>
      </c>
      <c r="E3464" t="s">
        <v>22</v>
      </c>
      <c r="F3464" t="s">
        <v>47</v>
      </c>
      <c r="G3464" t="s">
        <v>16</v>
      </c>
      <c r="H3464" t="s">
        <v>48</v>
      </c>
      <c r="I3464" t="s">
        <v>18</v>
      </c>
      <c r="J3464" t="s">
        <v>439</v>
      </c>
      <c r="K3464" s="1">
        <v>0.68287756944444444</v>
      </c>
      <c r="L3464">
        <f>YEAR(Coffe_sales[[#This Row],[Date]])</f>
        <v>2025</v>
      </c>
    </row>
    <row r="3465" spans="1:12" x14ac:dyDescent="0.2">
      <c r="A3465" t="s">
        <v>28</v>
      </c>
      <c r="B3465" t="s">
        <v>12</v>
      </c>
      <c r="C3465">
        <v>35.76</v>
      </c>
      <c r="D3465" t="s">
        <v>31</v>
      </c>
      <c r="E3465" t="s">
        <v>29</v>
      </c>
      <c r="F3465" t="s">
        <v>47</v>
      </c>
      <c r="G3465" t="s">
        <v>16</v>
      </c>
      <c r="H3465" t="s">
        <v>48</v>
      </c>
      <c r="I3465" t="s">
        <v>18</v>
      </c>
      <c r="J3465" t="s">
        <v>439</v>
      </c>
      <c r="K3465" s="1">
        <v>0.77952090277777775</v>
      </c>
      <c r="L3465">
        <f>YEAR(Coffe_sales[[#This Row],[Date]])</f>
        <v>2025</v>
      </c>
    </row>
    <row r="3466" spans="1:12" x14ac:dyDescent="0.2">
      <c r="A3466" t="s">
        <v>28</v>
      </c>
      <c r="B3466" t="s">
        <v>12</v>
      </c>
      <c r="C3466">
        <v>35.76</v>
      </c>
      <c r="D3466" t="s">
        <v>31</v>
      </c>
      <c r="E3466" t="s">
        <v>29</v>
      </c>
      <c r="F3466" t="s">
        <v>47</v>
      </c>
      <c r="G3466" t="s">
        <v>16</v>
      </c>
      <c r="H3466" t="s">
        <v>48</v>
      </c>
      <c r="I3466" t="s">
        <v>18</v>
      </c>
      <c r="J3466" t="s">
        <v>439</v>
      </c>
      <c r="K3466" s="1">
        <v>0.78006358796296293</v>
      </c>
      <c r="L3466">
        <f>YEAR(Coffe_sales[[#This Row],[Date]])</f>
        <v>2025</v>
      </c>
    </row>
    <row r="3467" spans="1:12" x14ac:dyDescent="0.2">
      <c r="A3467" t="s">
        <v>91</v>
      </c>
      <c r="B3467" t="s">
        <v>12</v>
      </c>
      <c r="C3467">
        <v>35.76</v>
      </c>
      <c r="D3467" t="s">
        <v>31</v>
      </c>
      <c r="E3467" t="s">
        <v>29</v>
      </c>
      <c r="F3467" t="s">
        <v>47</v>
      </c>
      <c r="G3467" t="s">
        <v>16</v>
      </c>
      <c r="H3467" t="s">
        <v>48</v>
      </c>
      <c r="I3467" t="s">
        <v>18</v>
      </c>
      <c r="J3467" t="s">
        <v>439</v>
      </c>
      <c r="K3467" s="1">
        <v>0.83373799768518519</v>
      </c>
      <c r="L3467">
        <f>YEAR(Coffe_sales[[#This Row],[Date]])</f>
        <v>2025</v>
      </c>
    </row>
    <row r="3468" spans="1:12" x14ac:dyDescent="0.2">
      <c r="A3468" t="s">
        <v>91</v>
      </c>
      <c r="B3468" t="s">
        <v>12</v>
      </c>
      <c r="C3468">
        <v>35.76</v>
      </c>
      <c r="D3468" t="s">
        <v>31</v>
      </c>
      <c r="E3468" t="s">
        <v>29</v>
      </c>
      <c r="F3468" t="s">
        <v>47</v>
      </c>
      <c r="G3468" t="s">
        <v>16</v>
      </c>
      <c r="H3468" t="s">
        <v>48</v>
      </c>
      <c r="I3468" t="s">
        <v>18</v>
      </c>
      <c r="J3468" t="s">
        <v>439</v>
      </c>
      <c r="K3468" s="1">
        <v>0.83446454861111108</v>
      </c>
      <c r="L3468">
        <f>YEAR(Coffe_sales[[#This Row],[Date]])</f>
        <v>2025</v>
      </c>
    </row>
    <row r="3469" spans="1:12" x14ac:dyDescent="0.2">
      <c r="A3469" t="s">
        <v>131</v>
      </c>
      <c r="B3469" t="s">
        <v>12</v>
      </c>
      <c r="C3469">
        <v>35.76</v>
      </c>
      <c r="D3469" t="s">
        <v>13</v>
      </c>
      <c r="E3469" t="s">
        <v>29</v>
      </c>
      <c r="F3469" t="s">
        <v>47</v>
      </c>
      <c r="G3469" t="s">
        <v>16</v>
      </c>
      <c r="H3469" t="s">
        <v>48</v>
      </c>
      <c r="I3469" t="s">
        <v>18</v>
      </c>
      <c r="J3469" t="s">
        <v>439</v>
      </c>
      <c r="K3469" s="1">
        <v>0.88935221064814818</v>
      </c>
      <c r="L3469">
        <f>YEAR(Coffe_sales[[#This Row],[Date]])</f>
        <v>2025</v>
      </c>
    </row>
    <row r="3470" spans="1:12" x14ac:dyDescent="0.2">
      <c r="A3470" t="s">
        <v>39</v>
      </c>
      <c r="B3470" t="s">
        <v>12</v>
      </c>
      <c r="C3470">
        <v>25.96</v>
      </c>
      <c r="D3470" t="s">
        <v>24</v>
      </c>
      <c r="E3470" t="s">
        <v>14</v>
      </c>
      <c r="F3470" t="s">
        <v>50</v>
      </c>
      <c r="G3470" t="s">
        <v>16</v>
      </c>
      <c r="H3470" t="s">
        <v>18</v>
      </c>
      <c r="I3470" t="s">
        <v>18</v>
      </c>
      <c r="J3470" t="s">
        <v>440</v>
      </c>
      <c r="K3470" s="1">
        <v>0.29383186342592593</v>
      </c>
      <c r="L3470">
        <f>YEAR(Coffe_sales[[#This Row],[Date]])</f>
        <v>2025</v>
      </c>
    </row>
    <row r="3471" spans="1:12" x14ac:dyDescent="0.2">
      <c r="A3471" t="s">
        <v>39</v>
      </c>
      <c r="B3471" t="s">
        <v>12</v>
      </c>
      <c r="C3471">
        <v>25.96</v>
      </c>
      <c r="D3471" t="s">
        <v>24</v>
      </c>
      <c r="E3471" t="s">
        <v>14</v>
      </c>
      <c r="F3471" t="s">
        <v>50</v>
      </c>
      <c r="G3471" t="s">
        <v>16</v>
      </c>
      <c r="H3471" t="s">
        <v>18</v>
      </c>
      <c r="I3471" t="s">
        <v>18</v>
      </c>
      <c r="J3471" t="s">
        <v>440</v>
      </c>
      <c r="K3471" s="1">
        <v>0.29454418981481484</v>
      </c>
      <c r="L3471">
        <f>YEAR(Coffe_sales[[#This Row],[Date]])</f>
        <v>2025</v>
      </c>
    </row>
    <row r="3472" spans="1:12" x14ac:dyDescent="0.2">
      <c r="A3472" t="s">
        <v>39</v>
      </c>
      <c r="B3472" t="s">
        <v>12</v>
      </c>
      <c r="C3472">
        <v>35.76</v>
      </c>
      <c r="D3472" t="s">
        <v>52</v>
      </c>
      <c r="E3472" t="s">
        <v>14</v>
      </c>
      <c r="F3472" t="s">
        <v>50</v>
      </c>
      <c r="G3472" t="s">
        <v>16</v>
      </c>
      <c r="H3472" t="s">
        <v>18</v>
      </c>
      <c r="I3472" t="s">
        <v>18</v>
      </c>
      <c r="J3472" t="s">
        <v>440</v>
      </c>
      <c r="K3472" s="1">
        <v>0.29623741898148148</v>
      </c>
      <c r="L3472">
        <f>YEAR(Coffe_sales[[#This Row],[Date]])</f>
        <v>2025</v>
      </c>
    </row>
    <row r="3473" spans="1:12" x14ac:dyDescent="0.2">
      <c r="A3473" t="s">
        <v>123</v>
      </c>
      <c r="B3473" t="s">
        <v>12</v>
      </c>
      <c r="C3473">
        <v>25.96</v>
      </c>
      <c r="D3473" t="s">
        <v>24</v>
      </c>
      <c r="E3473" t="s">
        <v>14</v>
      </c>
      <c r="F3473" t="s">
        <v>50</v>
      </c>
      <c r="G3473" t="s">
        <v>16</v>
      </c>
      <c r="H3473" t="s">
        <v>18</v>
      </c>
      <c r="I3473" t="s">
        <v>18</v>
      </c>
      <c r="J3473" t="s">
        <v>440</v>
      </c>
      <c r="K3473" s="1">
        <v>0.3356284259259259</v>
      </c>
      <c r="L3473">
        <f>YEAR(Coffe_sales[[#This Row],[Date]])</f>
        <v>2025</v>
      </c>
    </row>
    <row r="3474" spans="1:12" x14ac:dyDescent="0.2">
      <c r="A3474" t="s">
        <v>11</v>
      </c>
      <c r="B3474" t="s">
        <v>12</v>
      </c>
      <c r="C3474">
        <v>35.76</v>
      </c>
      <c r="D3474" t="s">
        <v>21</v>
      </c>
      <c r="E3474" t="s">
        <v>14</v>
      </c>
      <c r="F3474" t="s">
        <v>50</v>
      </c>
      <c r="G3474" t="s">
        <v>16</v>
      </c>
      <c r="H3474" t="s">
        <v>18</v>
      </c>
      <c r="I3474" t="s">
        <v>18</v>
      </c>
      <c r="J3474" t="s">
        <v>440</v>
      </c>
      <c r="K3474" s="1">
        <v>0.42962065972222224</v>
      </c>
      <c r="L3474">
        <f>YEAR(Coffe_sales[[#This Row],[Date]])</f>
        <v>2025</v>
      </c>
    </row>
    <row r="3475" spans="1:12" x14ac:dyDescent="0.2">
      <c r="A3475" t="s">
        <v>35</v>
      </c>
      <c r="B3475" t="s">
        <v>12</v>
      </c>
      <c r="C3475">
        <v>25.96</v>
      </c>
      <c r="D3475" t="s">
        <v>24</v>
      </c>
      <c r="E3475" t="s">
        <v>14</v>
      </c>
      <c r="F3475" t="s">
        <v>50</v>
      </c>
      <c r="G3475" t="s">
        <v>16</v>
      </c>
      <c r="H3475" t="s">
        <v>18</v>
      </c>
      <c r="I3475" t="s">
        <v>18</v>
      </c>
      <c r="J3475" t="s">
        <v>440</v>
      </c>
      <c r="K3475" s="1">
        <v>0.49698871527777777</v>
      </c>
      <c r="L3475">
        <f>YEAR(Coffe_sales[[#This Row],[Date]])</f>
        <v>2025</v>
      </c>
    </row>
    <row r="3476" spans="1:12" x14ac:dyDescent="0.2">
      <c r="A3476" t="s">
        <v>20</v>
      </c>
      <c r="B3476" t="s">
        <v>12</v>
      </c>
      <c r="C3476">
        <v>25.96</v>
      </c>
      <c r="D3476" t="s">
        <v>24</v>
      </c>
      <c r="E3476" t="s">
        <v>22</v>
      </c>
      <c r="F3476" t="s">
        <v>50</v>
      </c>
      <c r="G3476" t="s">
        <v>16</v>
      </c>
      <c r="H3476" t="s">
        <v>18</v>
      </c>
      <c r="I3476" t="s">
        <v>18</v>
      </c>
      <c r="J3476" t="s">
        <v>440</v>
      </c>
      <c r="K3476" s="1">
        <v>0.54059232638888888</v>
      </c>
      <c r="L3476">
        <f>YEAR(Coffe_sales[[#This Row],[Date]])</f>
        <v>2025</v>
      </c>
    </row>
    <row r="3477" spans="1:12" x14ac:dyDescent="0.2">
      <c r="A3477" t="s">
        <v>25</v>
      </c>
      <c r="B3477" t="s">
        <v>12</v>
      </c>
      <c r="C3477">
        <v>35.76</v>
      </c>
      <c r="D3477" t="s">
        <v>13</v>
      </c>
      <c r="E3477" t="s">
        <v>22</v>
      </c>
      <c r="F3477" t="s">
        <v>50</v>
      </c>
      <c r="G3477" t="s">
        <v>16</v>
      </c>
      <c r="H3477" t="s">
        <v>18</v>
      </c>
      <c r="I3477" t="s">
        <v>18</v>
      </c>
      <c r="J3477" t="s">
        <v>440</v>
      </c>
      <c r="K3477" s="1">
        <v>0.63394865740740736</v>
      </c>
      <c r="L3477">
        <f>YEAR(Coffe_sales[[#This Row],[Date]])</f>
        <v>2025</v>
      </c>
    </row>
    <row r="3478" spans="1:12" x14ac:dyDescent="0.2">
      <c r="A3478" t="s">
        <v>25</v>
      </c>
      <c r="B3478" t="s">
        <v>12</v>
      </c>
      <c r="C3478">
        <v>35.76</v>
      </c>
      <c r="D3478" t="s">
        <v>13</v>
      </c>
      <c r="E3478" t="s">
        <v>22</v>
      </c>
      <c r="F3478" t="s">
        <v>50</v>
      </c>
      <c r="G3478" t="s">
        <v>16</v>
      </c>
      <c r="H3478" t="s">
        <v>18</v>
      </c>
      <c r="I3478" t="s">
        <v>18</v>
      </c>
      <c r="J3478" t="s">
        <v>440</v>
      </c>
      <c r="K3478" s="1">
        <v>0.63499327546296291</v>
      </c>
      <c r="L3478">
        <f>YEAR(Coffe_sales[[#This Row],[Date]])</f>
        <v>2025</v>
      </c>
    </row>
    <row r="3479" spans="1:12" x14ac:dyDescent="0.2">
      <c r="A3479" t="s">
        <v>27</v>
      </c>
      <c r="B3479" t="s">
        <v>12</v>
      </c>
      <c r="C3479">
        <v>35.76</v>
      </c>
      <c r="D3479" t="s">
        <v>13</v>
      </c>
      <c r="E3479" t="s">
        <v>22</v>
      </c>
      <c r="F3479" t="s">
        <v>50</v>
      </c>
      <c r="G3479" t="s">
        <v>16</v>
      </c>
      <c r="H3479" t="s">
        <v>18</v>
      </c>
      <c r="I3479" t="s">
        <v>18</v>
      </c>
      <c r="J3479" t="s">
        <v>440</v>
      </c>
      <c r="K3479" s="1">
        <v>0.680253912037037</v>
      </c>
      <c r="L3479">
        <f>YEAR(Coffe_sales[[#This Row],[Date]])</f>
        <v>2025</v>
      </c>
    </row>
    <row r="3480" spans="1:12" x14ac:dyDescent="0.2">
      <c r="A3480" t="s">
        <v>27</v>
      </c>
      <c r="B3480" t="s">
        <v>12</v>
      </c>
      <c r="C3480">
        <v>25.96</v>
      </c>
      <c r="D3480" t="s">
        <v>24</v>
      </c>
      <c r="E3480" t="s">
        <v>22</v>
      </c>
      <c r="F3480" t="s">
        <v>50</v>
      </c>
      <c r="G3480" t="s">
        <v>16</v>
      </c>
      <c r="H3480" t="s">
        <v>18</v>
      </c>
      <c r="I3480" t="s">
        <v>18</v>
      </c>
      <c r="J3480" t="s">
        <v>440</v>
      </c>
      <c r="K3480" s="1">
        <v>0.68745689814814814</v>
      </c>
      <c r="L3480">
        <f>YEAR(Coffe_sales[[#This Row],[Date]])</f>
        <v>2025</v>
      </c>
    </row>
    <row r="3481" spans="1:12" x14ac:dyDescent="0.2">
      <c r="A3481" t="s">
        <v>27</v>
      </c>
      <c r="B3481" t="s">
        <v>12</v>
      </c>
      <c r="C3481">
        <v>35.76</v>
      </c>
      <c r="D3481" t="s">
        <v>52</v>
      </c>
      <c r="E3481" t="s">
        <v>22</v>
      </c>
      <c r="F3481" t="s">
        <v>50</v>
      </c>
      <c r="G3481" t="s">
        <v>16</v>
      </c>
      <c r="H3481" t="s">
        <v>18</v>
      </c>
      <c r="I3481" t="s">
        <v>18</v>
      </c>
      <c r="J3481" t="s">
        <v>440</v>
      </c>
      <c r="K3481" s="1">
        <v>0.69483525462962958</v>
      </c>
      <c r="L3481">
        <f>YEAR(Coffe_sales[[#This Row],[Date]])</f>
        <v>2025</v>
      </c>
    </row>
    <row r="3482" spans="1:12" x14ac:dyDescent="0.2">
      <c r="A3482" t="s">
        <v>27</v>
      </c>
      <c r="B3482" t="s">
        <v>12</v>
      </c>
      <c r="C3482">
        <v>35.76</v>
      </c>
      <c r="D3482" t="s">
        <v>52</v>
      </c>
      <c r="E3482" t="s">
        <v>22</v>
      </c>
      <c r="F3482" t="s">
        <v>50</v>
      </c>
      <c r="G3482" t="s">
        <v>16</v>
      </c>
      <c r="H3482" t="s">
        <v>18</v>
      </c>
      <c r="I3482" t="s">
        <v>18</v>
      </c>
      <c r="J3482" t="s">
        <v>440</v>
      </c>
      <c r="K3482" s="1">
        <v>0.69601892361111106</v>
      </c>
      <c r="L3482">
        <f>YEAR(Coffe_sales[[#This Row],[Date]])</f>
        <v>2025</v>
      </c>
    </row>
    <row r="3483" spans="1:12" x14ac:dyDescent="0.2">
      <c r="A3483" t="s">
        <v>27</v>
      </c>
      <c r="B3483" t="s">
        <v>12</v>
      </c>
      <c r="C3483">
        <v>25.96</v>
      </c>
      <c r="D3483" t="s">
        <v>24</v>
      </c>
      <c r="E3483" t="s">
        <v>22</v>
      </c>
      <c r="F3483" t="s">
        <v>50</v>
      </c>
      <c r="G3483" t="s">
        <v>16</v>
      </c>
      <c r="H3483" t="s">
        <v>18</v>
      </c>
      <c r="I3483" t="s">
        <v>18</v>
      </c>
      <c r="J3483" t="s">
        <v>440</v>
      </c>
      <c r="K3483" s="1">
        <v>0.70249020833333331</v>
      </c>
      <c r="L3483">
        <f>YEAR(Coffe_sales[[#This Row],[Date]])</f>
        <v>2025</v>
      </c>
    </row>
    <row r="3484" spans="1:12" x14ac:dyDescent="0.2">
      <c r="A3484" t="s">
        <v>27</v>
      </c>
      <c r="B3484" t="s">
        <v>12</v>
      </c>
      <c r="C3484">
        <v>25.96</v>
      </c>
      <c r="D3484" t="s">
        <v>24</v>
      </c>
      <c r="E3484" t="s">
        <v>22</v>
      </c>
      <c r="F3484" t="s">
        <v>50</v>
      </c>
      <c r="G3484" t="s">
        <v>16</v>
      </c>
      <c r="H3484" t="s">
        <v>18</v>
      </c>
      <c r="I3484" t="s">
        <v>18</v>
      </c>
      <c r="J3484" t="s">
        <v>440</v>
      </c>
      <c r="K3484" s="1">
        <v>0.70312098379629628</v>
      </c>
      <c r="L3484">
        <f>YEAR(Coffe_sales[[#This Row],[Date]])</f>
        <v>2025</v>
      </c>
    </row>
    <row r="3485" spans="1:12" x14ac:dyDescent="0.2">
      <c r="A3485" t="s">
        <v>37</v>
      </c>
      <c r="B3485" t="s">
        <v>12</v>
      </c>
      <c r="C3485">
        <v>35.76</v>
      </c>
      <c r="D3485" t="s">
        <v>31</v>
      </c>
      <c r="E3485" t="s">
        <v>29</v>
      </c>
      <c r="F3485" t="s">
        <v>50</v>
      </c>
      <c r="G3485" t="s">
        <v>16</v>
      </c>
      <c r="H3485" t="s">
        <v>18</v>
      </c>
      <c r="I3485" t="s">
        <v>18</v>
      </c>
      <c r="J3485" t="s">
        <v>440</v>
      </c>
      <c r="K3485" s="1">
        <v>0.70833325231481481</v>
      </c>
      <c r="L3485">
        <f>YEAR(Coffe_sales[[#This Row],[Date]])</f>
        <v>2025</v>
      </c>
    </row>
    <row r="3486" spans="1:12" x14ac:dyDescent="0.2">
      <c r="A3486" t="s">
        <v>37</v>
      </c>
      <c r="B3486" t="s">
        <v>12</v>
      </c>
      <c r="C3486">
        <v>30.86</v>
      </c>
      <c r="D3486" t="s">
        <v>26</v>
      </c>
      <c r="E3486" t="s">
        <v>29</v>
      </c>
      <c r="F3486" t="s">
        <v>50</v>
      </c>
      <c r="G3486" t="s">
        <v>16</v>
      </c>
      <c r="H3486" t="s">
        <v>18</v>
      </c>
      <c r="I3486" t="s">
        <v>18</v>
      </c>
      <c r="J3486" t="s">
        <v>440</v>
      </c>
      <c r="K3486" s="1">
        <v>0.71522028935185189</v>
      </c>
      <c r="L3486">
        <f>YEAR(Coffe_sales[[#This Row],[Date]])</f>
        <v>2025</v>
      </c>
    </row>
    <row r="3487" spans="1:12" x14ac:dyDescent="0.2">
      <c r="A3487" t="s">
        <v>37</v>
      </c>
      <c r="B3487" t="s">
        <v>12</v>
      </c>
      <c r="C3487">
        <v>30.86</v>
      </c>
      <c r="D3487" t="s">
        <v>26</v>
      </c>
      <c r="E3487" t="s">
        <v>29</v>
      </c>
      <c r="F3487" t="s">
        <v>50</v>
      </c>
      <c r="G3487" t="s">
        <v>16</v>
      </c>
      <c r="H3487" t="s">
        <v>18</v>
      </c>
      <c r="I3487" t="s">
        <v>18</v>
      </c>
      <c r="J3487" t="s">
        <v>440</v>
      </c>
      <c r="K3487" s="1">
        <v>0.72754248842592595</v>
      </c>
      <c r="L3487">
        <f>YEAR(Coffe_sales[[#This Row],[Date]])</f>
        <v>2025</v>
      </c>
    </row>
    <row r="3488" spans="1:12" x14ac:dyDescent="0.2">
      <c r="A3488" t="s">
        <v>28</v>
      </c>
      <c r="B3488" t="s">
        <v>12</v>
      </c>
      <c r="C3488">
        <v>25.96</v>
      </c>
      <c r="D3488" t="s">
        <v>41</v>
      </c>
      <c r="E3488" t="s">
        <v>29</v>
      </c>
      <c r="F3488" t="s">
        <v>50</v>
      </c>
      <c r="G3488" t="s">
        <v>16</v>
      </c>
      <c r="H3488" t="s">
        <v>18</v>
      </c>
      <c r="I3488" t="s">
        <v>18</v>
      </c>
      <c r="J3488" t="s">
        <v>440</v>
      </c>
      <c r="K3488" s="1">
        <v>0.77072196759259259</v>
      </c>
      <c r="L3488">
        <f>YEAR(Coffe_sales[[#This Row],[Date]])</f>
        <v>2025</v>
      </c>
    </row>
    <row r="3489" spans="1:12" x14ac:dyDescent="0.2">
      <c r="A3489" t="s">
        <v>28</v>
      </c>
      <c r="B3489" t="s">
        <v>12</v>
      </c>
      <c r="C3489">
        <v>21.06</v>
      </c>
      <c r="D3489" t="s">
        <v>45</v>
      </c>
      <c r="E3489" t="s">
        <v>29</v>
      </c>
      <c r="F3489" t="s">
        <v>50</v>
      </c>
      <c r="G3489" t="s">
        <v>16</v>
      </c>
      <c r="H3489" t="s">
        <v>18</v>
      </c>
      <c r="I3489" t="s">
        <v>18</v>
      </c>
      <c r="J3489" t="s">
        <v>440</v>
      </c>
      <c r="K3489" s="1">
        <v>0.77134267361111108</v>
      </c>
      <c r="L3489">
        <f>YEAR(Coffe_sales[[#This Row],[Date]])</f>
        <v>2025</v>
      </c>
    </row>
    <row r="3490" spans="1:12" x14ac:dyDescent="0.2">
      <c r="A3490" t="s">
        <v>28</v>
      </c>
      <c r="B3490" t="s">
        <v>12</v>
      </c>
      <c r="C3490">
        <v>21.06</v>
      </c>
      <c r="D3490" t="s">
        <v>45</v>
      </c>
      <c r="E3490" t="s">
        <v>29</v>
      </c>
      <c r="F3490" t="s">
        <v>50</v>
      </c>
      <c r="G3490" t="s">
        <v>16</v>
      </c>
      <c r="H3490" t="s">
        <v>18</v>
      </c>
      <c r="I3490" t="s">
        <v>18</v>
      </c>
      <c r="J3490" t="s">
        <v>440</v>
      </c>
      <c r="K3490" s="1">
        <v>0.77182858796296294</v>
      </c>
      <c r="L3490">
        <f>YEAR(Coffe_sales[[#This Row],[Date]])</f>
        <v>2025</v>
      </c>
    </row>
    <row r="3491" spans="1:12" x14ac:dyDescent="0.2">
      <c r="A3491" t="s">
        <v>123</v>
      </c>
      <c r="B3491" t="s">
        <v>12</v>
      </c>
      <c r="C3491">
        <v>30.86</v>
      </c>
      <c r="D3491" t="s">
        <v>26</v>
      </c>
      <c r="E3491" t="s">
        <v>14</v>
      </c>
      <c r="F3491" t="s">
        <v>53</v>
      </c>
      <c r="G3491" t="s">
        <v>16</v>
      </c>
      <c r="H3491" t="s">
        <v>54</v>
      </c>
      <c r="I3491" t="s">
        <v>18</v>
      </c>
      <c r="J3491" t="s">
        <v>441</v>
      </c>
      <c r="K3491" s="1">
        <v>0.34254957175925926</v>
      </c>
      <c r="L3491">
        <f>YEAR(Coffe_sales[[#This Row],[Date]])</f>
        <v>2025</v>
      </c>
    </row>
    <row r="3492" spans="1:12" x14ac:dyDescent="0.2">
      <c r="A3492" t="s">
        <v>46</v>
      </c>
      <c r="B3492" t="s">
        <v>12</v>
      </c>
      <c r="C3492">
        <v>30.86</v>
      </c>
      <c r="D3492" t="s">
        <v>26</v>
      </c>
      <c r="E3492" t="s">
        <v>14</v>
      </c>
      <c r="F3492" t="s">
        <v>53</v>
      </c>
      <c r="G3492" t="s">
        <v>16</v>
      </c>
      <c r="H3492" t="s">
        <v>54</v>
      </c>
      <c r="I3492" t="s">
        <v>18</v>
      </c>
      <c r="J3492" t="s">
        <v>441</v>
      </c>
      <c r="K3492" s="1">
        <v>0.41116631944444443</v>
      </c>
      <c r="L3492">
        <f>YEAR(Coffe_sales[[#This Row],[Date]])</f>
        <v>2025</v>
      </c>
    </row>
    <row r="3493" spans="1:12" x14ac:dyDescent="0.2">
      <c r="A3493" t="s">
        <v>11</v>
      </c>
      <c r="B3493" t="s">
        <v>12</v>
      </c>
      <c r="C3493">
        <v>30.86</v>
      </c>
      <c r="D3493" t="s">
        <v>26</v>
      </c>
      <c r="E3493" t="s">
        <v>14</v>
      </c>
      <c r="F3493" t="s">
        <v>53</v>
      </c>
      <c r="G3493" t="s">
        <v>16</v>
      </c>
      <c r="H3493" t="s">
        <v>54</v>
      </c>
      <c r="I3493" t="s">
        <v>18</v>
      </c>
      <c r="J3493" t="s">
        <v>441</v>
      </c>
      <c r="K3493" s="1">
        <v>0.42134624999999998</v>
      </c>
      <c r="L3493">
        <f>YEAR(Coffe_sales[[#This Row],[Date]])</f>
        <v>2025</v>
      </c>
    </row>
    <row r="3494" spans="1:12" x14ac:dyDescent="0.2">
      <c r="A3494" t="s">
        <v>11</v>
      </c>
      <c r="B3494" t="s">
        <v>12</v>
      </c>
      <c r="C3494">
        <v>25.96</v>
      </c>
      <c r="D3494" t="s">
        <v>24</v>
      </c>
      <c r="E3494" t="s">
        <v>14</v>
      </c>
      <c r="F3494" t="s">
        <v>53</v>
      </c>
      <c r="G3494" t="s">
        <v>16</v>
      </c>
      <c r="H3494" t="s">
        <v>54</v>
      </c>
      <c r="I3494" t="s">
        <v>18</v>
      </c>
      <c r="J3494" t="s">
        <v>441</v>
      </c>
      <c r="K3494" s="1">
        <v>0.4484280902777778</v>
      </c>
      <c r="L3494">
        <f>YEAR(Coffe_sales[[#This Row],[Date]])</f>
        <v>2025</v>
      </c>
    </row>
    <row r="3495" spans="1:12" x14ac:dyDescent="0.2">
      <c r="A3495" t="s">
        <v>11</v>
      </c>
      <c r="B3495" t="s">
        <v>12</v>
      </c>
      <c r="C3495">
        <v>25.96</v>
      </c>
      <c r="D3495" t="s">
        <v>24</v>
      </c>
      <c r="E3495" t="s">
        <v>14</v>
      </c>
      <c r="F3495" t="s">
        <v>53</v>
      </c>
      <c r="G3495" t="s">
        <v>16</v>
      </c>
      <c r="H3495" t="s">
        <v>54</v>
      </c>
      <c r="I3495" t="s">
        <v>18</v>
      </c>
      <c r="J3495" t="s">
        <v>441</v>
      </c>
      <c r="K3495" s="1">
        <v>0.45506298611111112</v>
      </c>
      <c r="L3495">
        <f>YEAR(Coffe_sales[[#This Row],[Date]])</f>
        <v>2025</v>
      </c>
    </row>
    <row r="3496" spans="1:12" x14ac:dyDescent="0.2">
      <c r="A3496" t="s">
        <v>20</v>
      </c>
      <c r="B3496" t="s">
        <v>12</v>
      </c>
      <c r="C3496">
        <v>25.96</v>
      </c>
      <c r="D3496" t="s">
        <v>24</v>
      </c>
      <c r="E3496" t="s">
        <v>22</v>
      </c>
      <c r="F3496" t="s">
        <v>53</v>
      </c>
      <c r="G3496" t="s">
        <v>16</v>
      </c>
      <c r="H3496" t="s">
        <v>54</v>
      </c>
      <c r="I3496" t="s">
        <v>18</v>
      </c>
      <c r="J3496" t="s">
        <v>441</v>
      </c>
      <c r="K3496" s="1">
        <v>0.53361561342592589</v>
      </c>
      <c r="L3496">
        <f>YEAR(Coffe_sales[[#This Row],[Date]])</f>
        <v>2025</v>
      </c>
    </row>
    <row r="3497" spans="1:12" x14ac:dyDescent="0.2">
      <c r="A3497" t="s">
        <v>36</v>
      </c>
      <c r="B3497" t="s">
        <v>12</v>
      </c>
      <c r="C3497">
        <v>25.96</v>
      </c>
      <c r="D3497" t="s">
        <v>24</v>
      </c>
      <c r="E3497" t="s">
        <v>22</v>
      </c>
      <c r="F3497" t="s">
        <v>53</v>
      </c>
      <c r="G3497" t="s">
        <v>16</v>
      </c>
      <c r="H3497" t="s">
        <v>54</v>
      </c>
      <c r="I3497" t="s">
        <v>18</v>
      </c>
      <c r="J3497" t="s">
        <v>441</v>
      </c>
      <c r="K3497" s="1">
        <v>0.58661887731481477</v>
      </c>
      <c r="L3497">
        <f>YEAR(Coffe_sales[[#This Row],[Date]])</f>
        <v>2025</v>
      </c>
    </row>
    <row r="3498" spans="1:12" x14ac:dyDescent="0.2">
      <c r="A3498" t="s">
        <v>36</v>
      </c>
      <c r="B3498" t="s">
        <v>12</v>
      </c>
      <c r="C3498">
        <v>25.96</v>
      </c>
      <c r="D3498" t="s">
        <v>24</v>
      </c>
      <c r="E3498" t="s">
        <v>22</v>
      </c>
      <c r="F3498" t="s">
        <v>53</v>
      </c>
      <c r="G3498" t="s">
        <v>16</v>
      </c>
      <c r="H3498" t="s">
        <v>54</v>
      </c>
      <c r="I3498" t="s">
        <v>18</v>
      </c>
      <c r="J3498" t="s">
        <v>441</v>
      </c>
      <c r="K3498" s="1">
        <v>0.59766062499999995</v>
      </c>
      <c r="L3498">
        <f>YEAR(Coffe_sales[[#This Row],[Date]])</f>
        <v>2025</v>
      </c>
    </row>
    <row r="3499" spans="1:12" x14ac:dyDescent="0.2">
      <c r="A3499" t="s">
        <v>36</v>
      </c>
      <c r="B3499" t="s">
        <v>12</v>
      </c>
      <c r="C3499">
        <v>21.06</v>
      </c>
      <c r="D3499" t="s">
        <v>45</v>
      </c>
      <c r="E3499" t="s">
        <v>22</v>
      </c>
      <c r="F3499" t="s">
        <v>53</v>
      </c>
      <c r="G3499" t="s">
        <v>16</v>
      </c>
      <c r="H3499" t="s">
        <v>54</v>
      </c>
      <c r="I3499" t="s">
        <v>18</v>
      </c>
      <c r="J3499" t="s">
        <v>441</v>
      </c>
      <c r="K3499" s="1">
        <v>0.5984016319444444</v>
      </c>
      <c r="L3499">
        <f>YEAR(Coffe_sales[[#This Row],[Date]])</f>
        <v>2025</v>
      </c>
    </row>
    <row r="3500" spans="1:12" x14ac:dyDescent="0.2">
      <c r="A3500" t="s">
        <v>36</v>
      </c>
      <c r="B3500" t="s">
        <v>12</v>
      </c>
      <c r="C3500">
        <v>25.96</v>
      </c>
      <c r="D3500" t="s">
        <v>41</v>
      </c>
      <c r="E3500" t="s">
        <v>22</v>
      </c>
      <c r="F3500" t="s">
        <v>53</v>
      </c>
      <c r="G3500" t="s">
        <v>16</v>
      </c>
      <c r="H3500" t="s">
        <v>54</v>
      </c>
      <c r="I3500" t="s">
        <v>18</v>
      </c>
      <c r="J3500" t="s">
        <v>441</v>
      </c>
      <c r="K3500" s="1">
        <v>0.60074872685185188</v>
      </c>
      <c r="L3500">
        <f>YEAR(Coffe_sales[[#This Row],[Date]])</f>
        <v>2025</v>
      </c>
    </row>
    <row r="3501" spans="1:12" x14ac:dyDescent="0.2">
      <c r="A3501" t="s">
        <v>36</v>
      </c>
      <c r="B3501" t="s">
        <v>12</v>
      </c>
      <c r="C3501">
        <v>35.76</v>
      </c>
      <c r="D3501" t="s">
        <v>52</v>
      </c>
      <c r="E3501" t="s">
        <v>22</v>
      </c>
      <c r="F3501" t="s">
        <v>53</v>
      </c>
      <c r="G3501" t="s">
        <v>16</v>
      </c>
      <c r="H3501" t="s">
        <v>54</v>
      </c>
      <c r="I3501" t="s">
        <v>18</v>
      </c>
      <c r="J3501" t="s">
        <v>441</v>
      </c>
      <c r="K3501" s="1">
        <v>0.60192957175925921</v>
      </c>
      <c r="L3501">
        <f>YEAR(Coffe_sales[[#This Row],[Date]])</f>
        <v>2025</v>
      </c>
    </row>
    <row r="3502" spans="1:12" x14ac:dyDescent="0.2">
      <c r="A3502" t="s">
        <v>36</v>
      </c>
      <c r="B3502" t="s">
        <v>12</v>
      </c>
      <c r="C3502">
        <v>35.76</v>
      </c>
      <c r="D3502" t="s">
        <v>52</v>
      </c>
      <c r="E3502" t="s">
        <v>22</v>
      </c>
      <c r="F3502" t="s">
        <v>53</v>
      </c>
      <c r="G3502" t="s">
        <v>16</v>
      </c>
      <c r="H3502" t="s">
        <v>54</v>
      </c>
      <c r="I3502" t="s">
        <v>18</v>
      </c>
      <c r="J3502" t="s">
        <v>441</v>
      </c>
      <c r="K3502" s="1">
        <v>0.62485475694444448</v>
      </c>
      <c r="L3502">
        <f>YEAR(Coffe_sales[[#This Row],[Date]])</f>
        <v>2025</v>
      </c>
    </row>
    <row r="3503" spans="1:12" x14ac:dyDescent="0.2">
      <c r="A3503" t="s">
        <v>25</v>
      </c>
      <c r="B3503" t="s">
        <v>12</v>
      </c>
      <c r="C3503">
        <v>25.96</v>
      </c>
      <c r="D3503" t="s">
        <v>24</v>
      </c>
      <c r="E3503" t="s">
        <v>22</v>
      </c>
      <c r="F3503" t="s">
        <v>53</v>
      </c>
      <c r="G3503" t="s">
        <v>16</v>
      </c>
      <c r="H3503" t="s">
        <v>54</v>
      </c>
      <c r="I3503" t="s">
        <v>18</v>
      </c>
      <c r="J3503" t="s">
        <v>441</v>
      </c>
      <c r="K3503" s="1">
        <v>0.62873142361111112</v>
      </c>
      <c r="L3503">
        <f>YEAR(Coffe_sales[[#This Row],[Date]])</f>
        <v>2025</v>
      </c>
    </row>
    <row r="3504" spans="1:12" x14ac:dyDescent="0.2">
      <c r="A3504" t="s">
        <v>25</v>
      </c>
      <c r="B3504" t="s">
        <v>12</v>
      </c>
      <c r="C3504">
        <v>25.96</v>
      </c>
      <c r="D3504" t="s">
        <v>24</v>
      </c>
      <c r="E3504" t="s">
        <v>22</v>
      </c>
      <c r="F3504" t="s">
        <v>53</v>
      </c>
      <c r="G3504" t="s">
        <v>16</v>
      </c>
      <c r="H3504" t="s">
        <v>54</v>
      </c>
      <c r="I3504" t="s">
        <v>18</v>
      </c>
      <c r="J3504" t="s">
        <v>441</v>
      </c>
      <c r="K3504" s="1">
        <v>0.64018312499999996</v>
      </c>
      <c r="L3504">
        <f>YEAR(Coffe_sales[[#This Row],[Date]])</f>
        <v>2025</v>
      </c>
    </row>
    <row r="3505" spans="1:12" x14ac:dyDescent="0.2">
      <c r="A3505" t="s">
        <v>27</v>
      </c>
      <c r="B3505" t="s">
        <v>12</v>
      </c>
      <c r="C3505">
        <v>35.76</v>
      </c>
      <c r="D3505" t="s">
        <v>52</v>
      </c>
      <c r="E3505" t="s">
        <v>22</v>
      </c>
      <c r="F3505" t="s">
        <v>53</v>
      </c>
      <c r="G3505" t="s">
        <v>16</v>
      </c>
      <c r="H3505" t="s">
        <v>54</v>
      </c>
      <c r="I3505" t="s">
        <v>18</v>
      </c>
      <c r="J3505" t="s">
        <v>441</v>
      </c>
      <c r="K3505" s="1">
        <v>0.69843717592592591</v>
      </c>
      <c r="L3505">
        <f>YEAR(Coffe_sales[[#This Row],[Date]])</f>
        <v>2025</v>
      </c>
    </row>
    <row r="3506" spans="1:12" x14ac:dyDescent="0.2">
      <c r="A3506" t="s">
        <v>37</v>
      </c>
      <c r="B3506" t="s">
        <v>12</v>
      </c>
      <c r="C3506">
        <v>25.96</v>
      </c>
      <c r="D3506" t="s">
        <v>24</v>
      </c>
      <c r="E3506" t="s">
        <v>29</v>
      </c>
      <c r="F3506" t="s">
        <v>53</v>
      </c>
      <c r="G3506" t="s">
        <v>16</v>
      </c>
      <c r="H3506" t="s">
        <v>54</v>
      </c>
      <c r="I3506" t="s">
        <v>18</v>
      </c>
      <c r="J3506" t="s">
        <v>441</v>
      </c>
      <c r="K3506" s="1">
        <v>0.72490070601851853</v>
      </c>
      <c r="L3506">
        <f>YEAR(Coffe_sales[[#This Row],[Date]])</f>
        <v>2025</v>
      </c>
    </row>
    <row r="3507" spans="1:12" x14ac:dyDescent="0.2">
      <c r="A3507" t="s">
        <v>28</v>
      </c>
      <c r="B3507" t="s">
        <v>12</v>
      </c>
      <c r="C3507">
        <v>35.76</v>
      </c>
      <c r="D3507" t="s">
        <v>21</v>
      </c>
      <c r="E3507" t="s">
        <v>29</v>
      </c>
      <c r="F3507" t="s">
        <v>53</v>
      </c>
      <c r="G3507" t="s">
        <v>16</v>
      </c>
      <c r="H3507" t="s">
        <v>54</v>
      </c>
      <c r="I3507" t="s">
        <v>18</v>
      </c>
      <c r="J3507" t="s">
        <v>441</v>
      </c>
      <c r="K3507" s="1">
        <v>0.7888735185185185</v>
      </c>
      <c r="L3507">
        <f>YEAR(Coffe_sales[[#This Row],[Date]])</f>
        <v>2025</v>
      </c>
    </row>
    <row r="3508" spans="1:12" x14ac:dyDescent="0.2">
      <c r="A3508" t="s">
        <v>30</v>
      </c>
      <c r="B3508" t="s">
        <v>12</v>
      </c>
      <c r="C3508">
        <v>35.76</v>
      </c>
      <c r="D3508" t="s">
        <v>31</v>
      </c>
      <c r="E3508" t="s">
        <v>29</v>
      </c>
      <c r="F3508" t="s">
        <v>53</v>
      </c>
      <c r="G3508" t="s">
        <v>16</v>
      </c>
      <c r="H3508" t="s">
        <v>54</v>
      </c>
      <c r="I3508" t="s">
        <v>18</v>
      </c>
      <c r="J3508" t="s">
        <v>441</v>
      </c>
      <c r="K3508" s="1">
        <v>0.81714814814814818</v>
      </c>
      <c r="L3508">
        <f>YEAR(Coffe_sales[[#This Row],[Date]])</f>
        <v>2025</v>
      </c>
    </row>
    <row r="3509" spans="1:12" x14ac:dyDescent="0.2">
      <c r="A3509" t="s">
        <v>30</v>
      </c>
      <c r="B3509" t="s">
        <v>12</v>
      </c>
      <c r="C3509">
        <v>35.76</v>
      </c>
      <c r="D3509" t="s">
        <v>52</v>
      </c>
      <c r="E3509" t="s">
        <v>29</v>
      </c>
      <c r="F3509" t="s">
        <v>53</v>
      </c>
      <c r="G3509" t="s">
        <v>16</v>
      </c>
      <c r="H3509" t="s">
        <v>54</v>
      </c>
      <c r="I3509" t="s">
        <v>18</v>
      </c>
      <c r="J3509" t="s">
        <v>441</v>
      </c>
      <c r="K3509" s="1">
        <v>0.83181109953703702</v>
      </c>
      <c r="L3509">
        <f>YEAR(Coffe_sales[[#This Row],[Date]])</f>
        <v>2025</v>
      </c>
    </row>
    <row r="3510" spans="1:12" x14ac:dyDescent="0.2">
      <c r="A3510" t="s">
        <v>131</v>
      </c>
      <c r="B3510" t="s">
        <v>12</v>
      </c>
      <c r="C3510">
        <v>35.76</v>
      </c>
      <c r="D3510" t="s">
        <v>13</v>
      </c>
      <c r="E3510" t="s">
        <v>29</v>
      </c>
      <c r="F3510" t="s">
        <v>53</v>
      </c>
      <c r="G3510" t="s">
        <v>16</v>
      </c>
      <c r="H3510" t="s">
        <v>54</v>
      </c>
      <c r="I3510" t="s">
        <v>18</v>
      </c>
      <c r="J3510" t="s">
        <v>441</v>
      </c>
      <c r="K3510" s="1">
        <v>0.9099029282407407</v>
      </c>
      <c r="L3510">
        <f>YEAR(Coffe_sales[[#This Row],[Date]])</f>
        <v>2025</v>
      </c>
    </row>
    <row r="3511" spans="1:12" x14ac:dyDescent="0.2">
      <c r="A3511" t="s">
        <v>39</v>
      </c>
      <c r="B3511" t="s">
        <v>12</v>
      </c>
      <c r="C3511">
        <v>30.86</v>
      </c>
      <c r="D3511" t="s">
        <v>26</v>
      </c>
      <c r="E3511" t="s">
        <v>14</v>
      </c>
      <c r="F3511" t="s">
        <v>15</v>
      </c>
      <c r="G3511" t="s">
        <v>16</v>
      </c>
      <c r="H3511" t="s">
        <v>17</v>
      </c>
      <c r="I3511" t="s">
        <v>18</v>
      </c>
      <c r="J3511" t="s">
        <v>442</v>
      </c>
      <c r="K3511" s="1">
        <v>0.29597197916666668</v>
      </c>
      <c r="L3511">
        <f>YEAR(Coffe_sales[[#This Row],[Date]])</f>
        <v>2025</v>
      </c>
    </row>
    <row r="3512" spans="1:12" x14ac:dyDescent="0.2">
      <c r="A3512" t="s">
        <v>39</v>
      </c>
      <c r="B3512" t="s">
        <v>12</v>
      </c>
      <c r="C3512">
        <v>30.86</v>
      </c>
      <c r="D3512" t="s">
        <v>26</v>
      </c>
      <c r="E3512" t="s">
        <v>14</v>
      </c>
      <c r="F3512" t="s">
        <v>15</v>
      </c>
      <c r="G3512" t="s">
        <v>16</v>
      </c>
      <c r="H3512" t="s">
        <v>17</v>
      </c>
      <c r="I3512" t="s">
        <v>18</v>
      </c>
      <c r="J3512" t="s">
        <v>442</v>
      </c>
      <c r="K3512" s="1">
        <v>0.29801048611111108</v>
      </c>
      <c r="L3512">
        <f>YEAR(Coffe_sales[[#This Row],[Date]])</f>
        <v>2025</v>
      </c>
    </row>
    <row r="3513" spans="1:12" x14ac:dyDescent="0.2">
      <c r="A3513" t="s">
        <v>123</v>
      </c>
      <c r="B3513" t="s">
        <v>12</v>
      </c>
      <c r="C3513">
        <v>25.96</v>
      </c>
      <c r="D3513" t="s">
        <v>24</v>
      </c>
      <c r="E3513" t="s">
        <v>14</v>
      </c>
      <c r="F3513" t="s">
        <v>15</v>
      </c>
      <c r="G3513" t="s">
        <v>16</v>
      </c>
      <c r="H3513" t="s">
        <v>17</v>
      </c>
      <c r="I3513" t="s">
        <v>18</v>
      </c>
      <c r="J3513" t="s">
        <v>442</v>
      </c>
      <c r="K3513" s="1">
        <v>0.34495045138888891</v>
      </c>
      <c r="L3513">
        <f>YEAR(Coffe_sales[[#This Row],[Date]])</f>
        <v>2025</v>
      </c>
    </row>
    <row r="3514" spans="1:12" x14ac:dyDescent="0.2">
      <c r="A3514" t="s">
        <v>123</v>
      </c>
      <c r="B3514" t="s">
        <v>12</v>
      </c>
      <c r="C3514">
        <v>25.96</v>
      </c>
      <c r="D3514" t="s">
        <v>24</v>
      </c>
      <c r="E3514" t="s">
        <v>14</v>
      </c>
      <c r="F3514" t="s">
        <v>15</v>
      </c>
      <c r="G3514" t="s">
        <v>16</v>
      </c>
      <c r="H3514" t="s">
        <v>17</v>
      </c>
      <c r="I3514" t="s">
        <v>18</v>
      </c>
      <c r="J3514" t="s">
        <v>442</v>
      </c>
      <c r="K3514" s="1">
        <v>0.35320046296296298</v>
      </c>
      <c r="L3514">
        <f>YEAR(Coffe_sales[[#This Row],[Date]])</f>
        <v>2025</v>
      </c>
    </row>
    <row r="3515" spans="1:12" x14ac:dyDescent="0.2">
      <c r="A3515" t="s">
        <v>123</v>
      </c>
      <c r="B3515" t="s">
        <v>12</v>
      </c>
      <c r="C3515">
        <v>25.96</v>
      </c>
      <c r="D3515" t="s">
        <v>24</v>
      </c>
      <c r="E3515" t="s">
        <v>14</v>
      </c>
      <c r="F3515" t="s">
        <v>15</v>
      </c>
      <c r="G3515" t="s">
        <v>16</v>
      </c>
      <c r="H3515" t="s">
        <v>17</v>
      </c>
      <c r="I3515" t="s">
        <v>18</v>
      </c>
      <c r="J3515" t="s">
        <v>442</v>
      </c>
      <c r="K3515" s="1">
        <v>0.35371409722222225</v>
      </c>
      <c r="L3515">
        <f>YEAR(Coffe_sales[[#This Row],[Date]])</f>
        <v>2025</v>
      </c>
    </row>
    <row r="3516" spans="1:12" x14ac:dyDescent="0.2">
      <c r="A3516" t="s">
        <v>123</v>
      </c>
      <c r="B3516" t="s">
        <v>12</v>
      </c>
      <c r="C3516">
        <v>35.76</v>
      </c>
      <c r="D3516" t="s">
        <v>52</v>
      </c>
      <c r="E3516" t="s">
        <v>14</v>
      </c>
      <c r="F3516" t="s">
        <v>15</v>
      </c>
      <c r="G3516" t="s">
        <v>16</v>
      </c>
      <c r="H3516" t="s">
        <v>17</v>
      </c>
      <c r="I3516" t="s">
        <v>18</v>
      </c>
      <c r="J3516" t="s">
        <v>442</v>
      </c>
      <c r="K3516" s="1">
        <v>0.35785875</v>
      </c>
      <c r="L3516">
        <f>YEAR(Coffe_sales[[#This Row],[Date]])</f>
        <v>2025</v>
      </c>
    </row>
    <row r="3517" spans="1:12" x14ac:dyDescent="0.2">
      <c r="A3517" t="s">
        <v>35</v>
      </c>
      <c r="B3517" t="s">
        <v>12</v>
      </c>
      <c r="C3517">
        <v>25.96</v>
      </c>
      <c r="D3517" t="s">
        <v>24</v>
      </c>
      <c r="E3517" t="s">
        <v>14</v>
      </c>
      <c r="F3517" t="s">
        <v>15</v>
      </c>
      <c r="G3517" t="s">
        <v>16</v>
      </c>
      <c r="H3517" t="s">
        <v>17</v>
      </c>
      <c r="I3517" t="s">
        <v>18</v>
      </c>
      <c r="J3517" t="s">
        <v>442</v>
      </c>
      <c r="K3517" s="1">
        <v>0.49316322916666666</v>
      </c>
      <c r="L3517">
        <f>YEAR(Coffe_sales[[#This Row],[Date]])</f>
        <v>2025</v>
      </c>
    </row>
    <row r="3518" spans="1:12" x14ac:dyDescent="0.2">
      <c r="A3518" t="s">
        <v>35</v>
      </c>
      <c r="B3518" t="s">
        <v>12</v>
      </c>
      <c r="C3518">
        <v>35.76</v>
      </c>
      <c r="D3518" t="s">
        <v>13</v>
      </c>
      <c r="E3518" t="s">
        <v>14</v>
      </c>
      <c r="F3518" t="s">
        <v>15</v>
      </c>
      <c r="G3518" t="s">
        <v>16</v>
      </c>
      <c r="H3518" t="s">
        <v>17</v>
      </c>
      <c r="I3518" t="s">
        <v>18</v>
      </c>
      <c r="J3518" t="s">
        <v>442</v>
      </c>
      <c r="K3518" s="1">
        <v>0.49383715277777779</v>
      </c>
      <c r="L3518">
        <f>YEAR(Coffe_sales[[#This Row],[Date]])</f>
        <v>2025</v>
      </c>
    </row>
    <row r="3519" spans="1:12" x14ac:dyDescent="0.2">
      <c r="A3519" t="s">
        <v>23</v>
      </c>
      <c r="B3519" t="s">
        <v>12</v>
      </c>
      <c r="C3519">
        <v>25.96</v>
      </c>
      <c r="D3519" t="s">
        <v>24</v>
      </c>
      <c r="E3519" t="s">
        <v>22</v>
      </c>
      <c r="F3519" t="s">
        <v>15</v>
      </c>
      <c r="G3519" t="s">
        <v>16</v>
      </c>
      <c r="H3519" t="s">
        <v>17</v>
      </c>
      <c r="I3519" t="s">
        <v>18</v>
      </c>
      <c r="J3519" t="s">
        <v>442</v>
      </c>
      <c r="K3519" s="1">
        <v>0.54361512731481476</v>
      </c>
      <c r="L3519">
        <f>YEAR(Coffe_sales[[#This Row],[Date]])</f>
        <v>2025</v>
      </c>
    </row>
    <row r="3520" spans="1:12" x14ac:dyDescent="0.2">
      <c r="A3520" t="s">
        <v>23</v>
      </c>
      <c r="B3520" t="s">
        <v>12</v>
      </c>
      <c r="C3520">
        <v>35.76</v>
      </c>
      <c r="D3520" t="s">
        <v>13</v>
      </c>
      <c r="E3520" t="s">
        <v>22</v>
      </c>
      <c r="F3520" t="s">
        <v>15</v>
      </c>
      <c r="G3520" t="s">
        <v>16</v>
      </c>
      <c r="H3520" t="s">
        <v>17</v>
      </c>
      <c r="I3520" t="s">
        <v>18</v>
      </c>
      <c r="J3520" t="s">
        <v>442</v>
      </c>
      <c r="K3520" s="1">
        <v>0.5582986342592593</v>
      </c>
      <c r="L3520">
        <f>YEAR(Coffe_sales[[#This Row],[Date]])</f>
        <v>2025</v>
      </c>
    </row>
    <row r="3521" spans="1:12" x14ac:dyDescent="0.2">
      <c r="A3521" t="s">
        <v>36</v>
      </c>
      <c r="B3521" t="s">
        <v>12</v>
      </c>
      <c r="C3521">
        <v>35.76</v>
      </c>
      <c r="D3521" t="s">
        <v>52</v>
      </c>
      <c r="E3521" t="s">
        <v>22</v>
      </c>
      <c r="F3521" t="s">
        <v>15</v>
      </c>
      <c r="G3521" t="s">
        <v>16</v>
      </c>
      <c r="H3521" t="s">
        <v>17</v>
      </c>
      <c r="I3521" t="s">
        <v>18</v>
      </c>
      <c r="J3521" t="s">
        <v>442</v>
      </c>
      <c r="K3521" s="1">
        <v>0.59148211805555551</v>
      </c>
      <c r="L3521">
        <f>YEAR(Coffe_sales[[#This Row],[Date]])</f>
        <v>2025</v>
      </c>
    </row>
    <row r="3522" spans="1:12" x14ac:dyDescent="0.2">
      <c r="A3522" t="s">
        <v>25</v>
      </c>
      <c r="B3522" t="s">
        <v>12</v>
      </c>
      <c r="C3522">
        <v>35.76</v>
      </c>
      <c r="D3522" t="s">
        <v>52</v>
      </c>
      <c r="E3522" t="s">
        <v>22</v>
      </c>
      <c r="F3522" t="s">
        <v>15</v>
      </c>
      <c r="G3522" t="s">
        <v>16</v>
      </c>
      <c r="H3522" t="s">
        <v>17</v>
      </c>
      <c r="I3522" t="s">
        <v>18</v>
      </c>
      <c r="J3522" t="s">
        <v>442</v>
      </c>
      <c r="K3522" s="1">
        <v>0.63128497685185181</v>
      </c>
      <c r="L3522">
        <f>YEAR(Coffe_sales[[#This Row],[Date]])</f>
        <v>2025</v>
      </c>
    </row>
    <row r="3523" spans="1:12" x14ac:dyDescent="0.2">
      <c r="A3523" t="s">
        <v>25</v>
      </c>
      <c r="B3523" t="s">
        <v>12</v>
      </c>
      <c r="C3523">
        <v>25.96</v>
      </c>
      <c r="D3523" t="s">
        <v>24</v>
      </c>
      <c r="E3523" t="s">
        <v>22</v>
      </c>
      <c r="F3523" t="s">
        <v>15</v>
      </c>
      <c r="G3523" t="s">
        <v>16</v>
      </c>
      <c r="H3523" t="s">
        <v>17</v>
      </c>
      <c r="I3523" t="s">
        <v>18</v>
      </c>
      <c r="J3523" t="s">
        <v>442</v>
      </c>
      <c r="K3523" s="1">
        <v>0.64215873842592597</v>
      </c>
      <c r="L3523">
        <f>YEAR(Coffe_sales[[#This Row],[Date]])</f>
        <v>2025</v>
      </c>
    </row>
    <row r="3524" spans="1:12" x14ac:dyDescent="0.2">
      <c r="A3524" t="s">
        <v>25</v>
      </c>
      <c r="B3524" t="s">
        <v>12</v>
      </c>
      <c r="C3524">
        <v>35.76</v>
      </c>
      <c r="D3524" t="s">
        <v>13</v>
      </c>
      <c r="E3524" t="s">
        <v>22</v>
      </c>
      <c r="F3524" t="s">
        <v>15</v>
      </c>
      <c r="G3524" t="s">
        <v>16</v>
      </c>
      <c r="H3524" t="s">
        <v>17</v>
      </c>
      <c r="I3524" t="s">
        <v>18</v>
      </c>
      <c r="J3524" t="s">
        <v>442</v>
      </c>
      <c r="K3524" s="1">
        <v>0.64467087962962966</v>
      </c>
      <c r="L3524">
        <f>YEAR(Coffe_sales[[#This Row],[Date]])</f>
        <v>2025</v>
      </c>
    </row>
    <row r="3525" spans="1:12" x14ac:dyDescent="0.2">
      <c r="A3525" t="s">
        <v>25</v>
      </c>
      <c r="B3525" t="s">
        <v>12</v>
      </c>
      <c r="C3525">
        <v>35.76</v>
      </c>
      <c r="D3525" t="s">
        <v>52</v>
      </c>
      <c r="E3525" t="s">
        <v>22</v>
      </c>
      <c r="F3525" t="s">
        <v>15</v>
      </c>
      <c r="G3525" t="s">
        <v>16</v>
      </c>
      <c r="H3525" t="s">
        <v>17</v>
      </c>
      <c r="I3525" t="s">
        <v>18</v>
      </c>
      <c r="J3525" t="s">
        <v>442</v>
      </c>
      <c r="K3525" s="1">
        <v>0.64551307870370367</v>
      </c>
      <c r="L3525">
        <f>YEAR(Coffe_sales[[#This Row],[Date]])</f>
        <v>2025</v>
      </c>
    </row>
    <row r="3526" spans="1:12" x14ac:dyDescent="0.2">
      <c r="A3526" t="s">
        <v>37</v>
      </c>
      <c r="B3526" t="s">
        <v>12</v>
      </c>
      <c r="C3526">
        <v>35.76</v>
      </c>
      <c r="D3526" t="s">
        <v>21</v>
      </c>
      <c r="E3526" t="s">
        <v>29</v>
      </c>
      <c r="F3526" t="s">
        <v>15</v>
      </c>
      <c r="G3526" t="s">
        <v>16</v>
      </c>
      <c r="H3526" t="s">
        <v>17</v>
      </c>
      <c r="I3526" t="s">
        <v>18</v>
      </c>
      <c r="J3526" t="s">
        <v>442</v>
      </c>
      <c r="K3526" s="1">
        <v>0.70936077546296294</v>
      </c>
      <c r="L3526">
        <f>YEAR(Coffe_sales[[#This Row],[Date]])</f>
        <v>2025</v>
      </c>
    </row>
    <row r="3527" spans="1:12" x14ac:dyDescent="0.2">
      <c r="A3527" t="s">
        <v>37</v>
      </c>
      <c r="B3527" t="s">
        <v>12</v>
      </c>
      <c r="C3527">
        <v>35.76</v>
      </c>
      <c r="D3527" t="s">
        <v>13</v>
      </c>
      <c r="E3527" t="s">
        <v>29</v>
      </c>
      <c r="F3527" t="s">
        <v>15</v>
      </c>
      <c r="G3527" t="s">
        <v>16</v>
      </c>
      <c r="H3527" t="s">
        <v>17</v>
      </c>
      <c r="I3527" t="s">
        <v>18</v>
      </c>
      <c r="J3527" t="s">
        <v>442</v>
      </c>
      <c r="K3527" s="1">
        <v>0.72311261574074071</v>
      </c>
      <c r="L3527">
        <f>YEAR(Coffe_sales[[#This Row],[Date]])</f>
        <v>2025</v>
      </c>
    </row>
    <row r="3528" spans="1:12" x14ac:dyDescent="0.2">
      <c r="A3528" t="s">
        <v>37</v>
      </c>
      <c r="B3528" t="s">
        <v>12</v>
      </c>
      <c r="C3528">
        <v>35.76</v>
      </c>
      <c r="D3528" t="s">
        <v>13</v>
      </c>
      <c r="E3528" t="s">
        <v>29</v>
      </c>
      <c r="F3528" t="s">
        <v>15</v>
      </c>
      <c r="G3528" t="s">
        <v>16</v>
      </c>
      <c r="H3528" t="s">
        <v>17</v>
      </c>
      <c r="I3528" t="s">
        <v>18</v>
      </c>
      <c r="J3528" t="s">
        <v>442</v>
      </c>
      <c r="K3528" s="1">
        <v>0.72418836805555553</v>
      </c>
      <c r="L3528">
        <f>YEAR(Coffe_sales[[#This Row],[Date]])</f>
        <v>2025</v>
      </c>
    </row>
    <row r="3529" spans="1:12" x14ac:dyDescent="0.2">
      <c r="A3529" t="s">
        <v>28</v>
      </c>
      <c r="B3529" t="s">
        <v>12</v>
      </c>
      <c r="C3529">
        <v>35.76</v>
      </c>
      <c r="D3529" t="s">
        <v>13</v>
      </c>
      <c r="E3529" t="s">
        <v>29</v>
      </c>
      <c r="F3529" t="s">
        <v>15</v>
      </c>
      <c r="G3529" t="s">
        <v>16</v>
      </c>
      <c r="H3529" t="s">
        <v>17</v>
      </c>
      <c r="I3529" t="s">
        <v>18</v>
      </c>
      <c r="J3529" t="s">
        <v>442</v>
      </c>
      <c r="K3529" s="1">
        <v>0.78625770833333331</v>
      </c>
      <c r="L3529">
        <f>YEAR(Coffe_sales[[#This Row],[Date]])</f>
        <v>2025</v>
      </c>
    </row>
    <row r="3530" spans="1:12" x14ac:dyDescent="0.2">
      <c r="A3530" t="s">
        <v>28</v>
      </c>
      <c r="B3530" t="s">
        <v>12</v>
      </c>
      <c r="C3530">
        <v>25.96</v>
      </c>
      <c r="D3530" t="s">
        <v>24</v>
      </c>
      <c r="E3530" t="s">
        <v>29</v>
      </c>
      <c r="F3530" t="s">
        <v>15</v>
      </c>
      <c r="G3530" t="s">
        <v>16</v>
      </c>
      <c r="H3530" t="s">
        <v>17</v>
      </c>
      <c r="I3530" t="s">
        <v>18</v>
      </c>
      <c r="J3530" t="s">
        <v>442</v>
      </c>
      <c r="K3530" s="1">
        <v>0.79125313657407403</v>
      </c>
      <c r="L3530">
        <f>YEAR(Coffe_sales[[#This Row],[Date]])</f>
        <v>2025</v>
      </c>
    </row>
    <row r="3531" spans="1:12" x14ac:dyDescent="0.2">
      <c r="A3531" t="s">
        <v>46</v>
      </c>
      <c r="B3531" t="s">
        <v>12</v>
      </c>
      <c r="C3531">
        <v>30.86</v>
      </c>
      <c r="D3531" t="s">
        <v>26</v>
      </c>
      <c r="E3531" t="s">
        <v>14</v>
      </c>
      <c r="F3531" t="s">
        <v>32</v>
      </c>
      <c r="G3531" t="s">
        <v>16</v>
      </c>
      <c r="H3531" t="s">
        <v>33</v>
      </c>
      <c r="I3531" t="s">
        <v>18</v>
      </c>
      <c r="J3531" t="s">
        <v>443</v>
      </c>
      <c r="K3531" s="1">
        <v>0.37862336805555558</v>
      </c>
      <c r="L3531">
        <f>YEAR(Coffe_sales[[#This Row],[Date]])</f>
        <v>2025</v>
      </c>
    </row>
    <row r="3532" spans="1:12" x14ac:dyDescent="0.2">
      <c r="A3532" t="s">
        <v>11</v>
      </c>
      <c r="B3532" t="s">
        <v>12</v>
      </c>
      <c r="C3532">
        <v>30.86</v>
      </c>
      <c r="D3532" t="s">
        <v>26</v>
      </c>
      <c r="E3532" t="s">
        <v>14</v>
      </c>
      <c r="F3532" t="s">
        <v>32</v>
      </c>
      <c r="G3532" t="s">
        <v>16</v>
      </c>
      <c r="H3532" t="s">
        <v>33</v>
      </c>
      <c r="I3532" t="s">
        <v>18</v>
      </c>
      <c r="J3532" t="s">
        <v>443</v>
      </c>
      <c r="K3532" s="1">
        <v>0.4376088310185185</v>
      </c>
      <c r="L3532">
        <f>YEAR(Coffe_sales[[#This Row],[Date]])</f>
        <v>2025</v>
      </c>
    </row>
    <row r="3533" spans="1:12" x14ac:dyDescent="0.2">
      <c r="A3533" t="s">
        <v>35</v>
      </c>
      <c r="B3533" t="s">
        <v>12</v>
      </c>
      <c r="C3533">
        <v>35.76</v>
      </c>
      <c r="D3533" t="s">
        <v>21</v>
      </c>
      <c r="E3533" t="s">
        <v>14</v>
      </c>
      <c r="F3533" t="s">
        <v>32</v>
      </c>
      <c r="G3533" t="s">
        <v>16</v>
      </c>
      <c r="H3533" t="s">
        <v>33</v>
      </c>
      <c r="I3533" t="s">
        <v>18</v>
      </c>
      <c r="J3533" t="s">
        <v>443</v>
      </c>
      <c r="K3533" s="1">
        <v>0.46812453703703705</v>
      </c>
      <c r="L3533">
        <f>YEAR(Coffe_sales[[#This Row],[Date]])</f>
        <v>2025</v>
      </c>
    </row>
    <row r="3534" spans="1:12" x14ac:dyDescent="0.2">
      <c r="A3534" t="s">
        <v>35</v>
      </c>
      <c r="B3534" t="s">
        <v>12</v>
      </c>
      <c r="C3534">
        <v>35.76</v>
      </c>
      <c r="D3534" t="s">
        <v>31</v>
      </c>
      <c r="E3534" t="s">
        <v>14</v>
      </c>
      <c r="F3534" t="s">
        <v>32</v>
      </c>
      <c r="G3534" t="s">
        <v>16</v>
      </c>
      <c r="H3534" t="s">
        <v>33</v>
      </c>
      <c r="I3534" t="s">
        <v>18</v>
      </c>
      <c r="J3534" t="s">
        <v>443</v>
      </c>
      <c r="K3534" s="1">
        <v>0.48704373842592591</v>
      </c>
      <c r="L3534">
        <f>YEAR(Coffe_sales[[#This Row],[Date]])</f>
        <v>2025</v>
      </c>
    </row>
    <row r="3535" spans="1:12" x14ac:dyDescent="0.2">
      <c r="A3535" t="s">
        <v>20</v>
      </c>
      <c r="B3535" t="s">
        <v>12</v>
      </c>
      <c r="C3535">
        <v>30.86</v>
      </c>
      <c r="D3535" t="s">
        <v>26</v>
      </c>
      <c r="E3535" t="s">
        <v>22</v>
      </c>
      <c r="F3535" t="s">
        <v>32</v>
      </c>
      <c r="G3535" t="s">
        <v>16</v>
      </c>
      <c r="H3535" t="s">
        <v>33</v>
      </c>
      <c r="I3535" t="s">
        <v>18</v>
      </c>
      <c r="J3535" t="s">
        <v>443</v>
      </c>
      <c r="K3535" s="1">
        <v>0.5128181828703704</v>
      </c>
      <c r="L3535">
        <f>YEAR(Coffe_sales[[#This Row],[Date]])</f>
        <v>2025</v>
      </c>
    </row>
    <row r="3536" spans="1:12" x14ac:dyDescent="0.2">
      <c r="A3536" t="s">
        <v>20</v>
      </c>
      <c r="B3536" t="s">
        <v>12</v>
      </c>
      <c r="C3536">
        <v>25.96</v>
      </c>
      <c r="D3536" t="s">
        <v>24</v>
      </c>
      <c r="E3536" t="s">
        <v>22</v>
      </c>
      <c r="F3536" t="s">
        <v>32</v>
      </c>
      <c r="G3536" t="s">
        <v>16</v>
      </c>
      <c r="H3536" t="s">
        <v>33</v>
      </c>
      <c r="I3536" t="s">
        <v>18</v>
      </c>
      <c r="J3536" t="s">
        <v>443</v>
      </c>
      <c r="K3536" s="1">
        <v>0.51805180555555552</v>
      </c>
      <c r="L3536">
        <f>YEAR(Coffe_sales[[#This Row],[Date]])</f>
        <v>2025</v>
      </c>
    </row>
    <row r="3537" spans="1:12" x14ac:dyDescent="0.2">
      <c r="A3537" t="s">
        <v>23</v>
      </c>
      <c r="B3537" t="s">
        <v>12</v>
      </c>
      <c r="C3537">
        <v>25.96</v>
      </c>
      <c r="D3537" t="s">
        <v>24</v>
      </c>
      <c r="E3537" t="s">
        <v>22</v>
      </c>
      <c r="F3537" t="s">
        <v>32</v>
      </c>
      <c r="G3537" t="s">
        <v>16</v>
      </c>
      <c r="H3537" t="s">
        <v>33</v>
      </c>
      <c r="I3537" t="s">
        <v>18</v>
      </c>
      <c r="J3537" t="s">
        <v>443</v>
      </c>
      <c r="K3537" s="1">
        <v>0.5460832175925926</v>
      </c>
      <c r="L3537">
        <f>YEAR(Coffe_sales[[#This Row],[Date]])</f>
        <v>2025</v>
      </c>
    </row>
    <row r="3538" spans="1:12" x14ac:dyDescent="0.2">
      <c r="A3538" t="s">
        <v>23</v>
      </c>
      <c r="B3538" t="s">
        <v>12</v>
      </c>
      <c r="C3538">
        <v>30.86</v>
      </c>
      <c r="D3538" t="s">
        <v>26</v>
      </c>
      <c r="E3538" t="s">
        <v>22</v>
      </c>
      <c r="F3538" t="s">
        <v>32</v>
      </c>
      <c r="G3538" t="s">
        <v>16</v>
      </c>
      <c r="H3538" t="s">
        <v>33</v>
      </c>
      <c r="I3538" t="s">
        <v>18</v>
      </c>
      <c r="J3538" t="s">
        <v>443</v>
      </c>
      <c r="K3538" s="1">
        <v>0.55784627314814816</v>
      </c>
      <c r="L3538">
        <f>YEAR(Coffe_sales[[#This Row],[Date]])</f>
        <v>2025</v>
      </c>
    </row>
    <row r="3539" spans="1:12" x14ac:dyDescent="0.2">
      <c r="A3539" t="s">
        <v>25</v>
      </c>
      <c r="B3539" t="s">
        <v>12</v>
      </c>
      <c r="C3539">
        <v>21.06</v>
      </c>
      <c r="D3539" t="s">
        <v>45</v>
      </c>
      <c r="E3539" t="s">
        <v>22</v>
      </c>
      <c r="F3539" t="s">
        <v>32</v>
      </c>
      <c r="G3539" t="s">
        <v>16</v>
      </c>
      <c r="H3539" t="s">
        <v>33</v>
      </c>
      <c r="I3539" t="s">
        <v>18</v>
      </c>
      <c r="J3539" t="s">
        <v>443</v>
      </c>
      <c r="K3539" s="1">
        <v>0.66525674768518517</v>
      </c>
      <c r="L3539">
        <f>YEAR(Coffe_sales[[#This Row],[Date]])</f>
        <v>2025</v>
      </c>
    </row>
    <row r="3540" spans="1:12" x14ac:dyDescent="0.2">
      <c r="A3540" t="s">
        <v>27</v>
      </c>
      <c r="B3540" t="s">
        <v>12</v>
      </c>
      <c r="C3540">
        <v>35.76</v>
      </c>
      <c r="D3540" t="s">
        <v>13</v>
      </c>
      <c r="E3540" t="s">
        <v>22</v>
      </c>
      <c r="F3540" t="s">
        <v>32</v>
      </c>
      <c r="G3540" t="s">
        <v>16</v>
      </c>
      <c r="H3540" t="s">
        <v>33</v>
      </c>
      <c r="I3540" t="s">
        <v>18</v>
      </c>
      <c r="J3540" t="s">
        <v>443</v>
      </c>
      <c r="K3540" s="1">
        <v>0.6854139583333333</v>
      </c>
      <c r="L3540">
        <f>YEAR(Coffe_sales[[#This Row],[Date]])</f>
        <v>2025</v>
      </c>
    </row>
    <row r="3541" spans="1:12" x14ac:dyDescent="0.2">
      <c r="A3541" t="s">
        <v>37</v>
      </c>
      <c r="B3541" t="s">
        <v>12</v>
      </c>
      <c r="C3541">
        <v>30.86</v>
      </c>
      <c r="D3541" t="s">
        <v>26</v>
      </c>
      <c r="E3541" t="s">
        <v>29</v>
      </c>
      <c r="F3541" t="s">
        <v>32</v>
      </c>
      <c r="G3541" t="s">
        <v>16</v>
      </c>
      <c r="H3541" t="s">
        <v>33</v>
      </c>
      <c r="I3541" t="s">
        <v>18</v>
      </c>
      <c r="J3541" t="s">
        <v>443</v>
      </c>
      <c r="K3541" s="1">
        <v>0.74555488425925931</v>
      </c>
      <c r="L3541">
        <f>YEAR(Coffe_sales[[#This Row],[Date]])</f>
        <v>2025</v>
      </c>
    </row>
    <row r="3542" spans="1:12" x14ac:dyDescent="0.2">
      <c r="A3542" t="s">
        <v>30</v>
      </c>
      <c r="B3542" t="s">
        <v>12</v>
      </c>
      <c r="C3542">
        <v>30.86</v>
      </c>
      <c r="D3542" t="s">
        <v>26</v>
      </c>
      <c r="E3542" t="s">
        <v>29</v>
      </c>
      <c r="F3542" t="s">
        <v>32</v>
      </c>
      <c r="G3542" t="s">
        <v>16</v>
      </c>
      <c r="H3542" t="s">
        <v>33</v>
      </c>
      <c r="I3542" t="s">
        <v>18</v>
      </c>
      <c r="J3542" t="s">
        <v>443</v>
      </c>
      <c r="K3542" s="1">
        <v>0.80338804398148145</v>
      </c>
      <c r="L3542">
        <f>YEAR(Coffe_sales[[#This Row],[Date]])</f>
        <v>2025</v>
      </c>
    </row>
    <row r="3543" spans="1:12" x14ac:dyDescent="0.2">
      <c r="A3543" t="s">
        <v>11</v>
      </c>
      <c r="B3543" t="s">
        <v>12</v>
      </c>
      <c r="C3543">
        <v>35.76</v>
      </c>
      <c r="D3543" t="s">
        <v>13</v>
      </c>
      <c r="E3543" t="s">
        <v>14</v>
      </c>
      <c r="F3543" t="s">
        <v>38</v>
      </c>
      <c r="G3543" t="s">
        <v>16</v>
      </c>
      <c r="H3543" t="s">
        <v>39</v>
      </c>
      <c r="I3543" t="s">
        <v>18</v>
      </c>
      <c r="J3543" t="s">
        <v>444</v>
      </c>
      <c r="K3543" s="1">
        <v>0.42165831018518518</v>
      </c>
      <c r="L3543">
        <f>YEAR(Coffe_sales[[#This Row],[Date]])</f>
        <v>2025</v>
      </c>
    </row>
    <row r="3544" spans="1:12" x14ac:dyDescent="0.2">
      <c r="A3544" t="s">
        <v>11</v>
      </c>
      <c r="B3544" t="s">
        <v>12</v>
      </c>
      <c r="C3544">
        <v>35.76</v>
      </c>
      <c r="D3544" t="s">
        <v>52</v>
      </c>
      <c r="E3544" t="s">
        <v>14</v>
      </c>
      <c r="F3544" t="s">
        <v>38</v>
      </c>
      <c r="G3544" t="s">
        <v>16</v>
      </c>
      <c r="H3544" t="s">
        <v>39</v>
      </c>
      <c r="I3544" t="s">
        <v>18</v>
      </c>
      <c r="J3544" t="s">
        <v>444</v>
      </c>
      <c r="K3544" s="1">
        <v>0.44091312500000002</v>
      </c>
      <c r="L3544">
        <f>YEAR(Coffe_sales[[#This Row],[Date]])</f>
        <v>2025</v>
      </c>
    </row>
    <row r="3545" spans="1:12" x14ac:dyDescent="0.2">
      <c r="A3545" t="s">
        <v>36</v>
      </c>
      <c r="B3545" t="s">
        <v>12</v>
      </c>
      <c r="C3545">
        <v>35.76</v>
      </c>
      <c r="D3545" t="s">
        <v>31</v>
      </c>
      <c r="E3545" t="s">
        <v>22</v>
      </c>
      <c r="F3545" t="s">
        <v>38</v>
      </c>
      <c r="G3545" t="s">
        <v>16</v>
      </c>
      <c r="H3545" t="s">
        <v>39</v>
      </c>
      <c r="I3545" t="s">
        <v>18</v>
      </c>
      <c r="J3545" t="s">
        <v>444</v>
      </c>
      <c r="K3545" s="1">
        <v>0.61362687500000002</v>
      </c>
      <c r="L3545">
        <f>YEAR(Coffe_sales[[#This Row],[Date]])</f>
        <v>2025</v>
      </c>
    </row>
    <row r="3546" spans="1:12" x14ac:dyDescent="0.2">
      <c r="A3546" t="s">
        <v>36</v>
      </c>
      <c r="B3546" t="s">
        <v>12</v>
      </c>
      <c r="C3546">
        <v>35.76</v>
      </c>
      <c r="D3546" t="s">
        <v>31</v>
      </c>
      <c r="E3546" t="s">
        <v>22</v>
      </c>
      <c r="F3546" t="s">
        <v>38</v>
      </c>
      <c r="G3546" t="s">
        <v>16</v>
      </c>
      <c r="H3546" t="s">
        <v>39</v>
      </c>
      <c r="I3546" t="s">
        <v>18</v>
      </c>
      <c r="J3546" t="s">
        <v>444</v>
      </c>
      <c r="K3546" s="1">
        <v>0.61408407407407406</v>
      </c>
      <c r="L3546">
        <f>YEAR(Coffe_sales[[#This Row],[Date]])</f>
        <v>2025</v>
      </c>
    </row>
    <row r="3547" spans="1:12" x14ac:dyDescent="0.2">
      <c r="A3547" t="s">
        <v>25</v>
      </c>
      <c r="B3547" t="s">
        <v>12</v>
      </c>
      <c r="C3547">
        <v>25.96</v>
      </c>
      <c r="D3547" t="s">
        <v>24</v>
      </c>
      <c r="E3547" t="s">
        <v>22</v>
      </c>
      <c r="F3547" t="s">
        <v>38</v>
      </c>
      <c r="G3547" t="s">
        <v>16</v>
      </c>
      <c r="H3547" t="s">
        <v>39</v>
      </c>
      <c r="I3547" t="s">
        <v>18</v>
      </c>
      <c r="J3547" t="s">
        <v>444</v>
      </c>
      <c r="K3547" s="1">
        <v>0.65797133101851857</v>
      </c>
      <c r="L3547">
        <f>YEAR(Coffe_sales[[#This Row],[Date]])</f>
        <v>2025</v>
      </c>
    </row>
    <row r="3548" spans="1:12" x14ac:dyDescent="0.2">
      <c r="A3548" t="s">
        <v>28</v>
      </c>
      <c r="B3548" t="s">
        <v>12</v>
      </c>
      <c r="C3548">
        <v>35.76</v>
      </c>
      <c r="D3548" t="s">
        <v>13</v>
      </c>
      <c r="E3548" t="s">
        <v>29</v>
      </c>
      <c r="F3548" t="s">
        <v>38</v>
      </c>
      <c r="G3548" t="s">
        <v>16</v>
      </c>
      <c r="H3548" t="s">
        <v>39</v>
      </c>
      <c r="I3548" t="s">
        <v>18</v>
      </c>
      <c r="J3548" t="s">
        <v>444</v>
      </c>
      <c r="K3548" s="1">
        <v>0.75808605324074074</v>
      </c>
      <c r="L3548">
        <f>YEAR(Coffe_sales[[#This Row],[Date]])</f>
        <v>2025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F372DE-7C56-47BB-A136-61BCC64DE03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PIVOTS</vt:lpstr>
      <vt:lpstr>Coffe_sales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REAMAE RAGAY</dc:creator>
  <cp:lastModifiedBy>REAMAE RAGAY</cp:lastModifiedBy>
  <dcterms:created xsi:type="dcterms:W3CDTF">2026-05-11T02:40:07Z</dcterms:created>
  <dcterms:modified xsi:type="dcterms:W3CDTF">2026-05-12T07:19:49Z</dcterms:modified>
</cp:coreProperties>
</file>